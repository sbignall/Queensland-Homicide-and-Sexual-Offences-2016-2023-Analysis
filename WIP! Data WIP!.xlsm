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pivotCache/pivotCacheDefinition5.xml" ContentType="application/vnd.openxmlformats-officedocument.spreadsheetml.pivotCacheDefinition+xml"/>
  <Override PartName="/xl/pivotTables/pivotTable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8.xml" ContentType="application/vnd.openxmlformats-officedocument.spreadsheetml.pivotTable+xml"/>
  <Override PartName="/xl/drawings/drawing10.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sam_b\Documents\Work\Applications\Justice Statistics\Skills Test\"/>
    </mc:Choice>
  </mc:AlternateContent>
  <xr:revisionPtr revIDLastSave="0" documentId="13_ncr:1_{3A5C9FFF-26B5-4F9A-9F12-3506F1D136AD}" xr6:coauthVersionLast="47" xr6:coauthVersionMax="47" xr10:uidLastSave="{00000000-0000-0000-0000-000000000000}"/>
  <bookViews>
    <workbookView xWindow="-110" yWindow="-110" windowWidth="38620" windowHeight="21100" activeTab="6" xr2:uid="{AE087950-AE85-4121-868A-4D0FD3F965CB}"/>
  </bookViews>
  <sheets>
    <sheet name="Raw Data Totals" sheetId="1" r:id="rId1"/>
    <sheet name="Dashboard" sheetId="32" r:id="rId2"/>
    <sheet name="pivot3" sheetId="33" r:id="rId3"/>
    <sheet name="pivot2" sheetId="34" r:id="rId4"/>
    <sheet name="pivot1" sheetId="35" r:id="rId5"/>
    <sheet name="Unpivoted" sheetId="28" r:id="rId6"/>
    <sheet name="Total Data" sheetId="27" r:id="rId7"/>
    <sheet name="Crime Totals Pivot Chart" sheetId="15" r:id="rId8"/>
    <sheet name="Raw Data Rates" sheetId="6" r:id="rId9"/>
    <sheet name="Crime Rates Pivot Chart" sheetId="14" r:id="rId10"/>
    <sheet name="Raw Data Totals With Totals" sheetId="13" r:id="rId11"/>
    <sheet name="Raw Data Rates With Averages" sheetId="12" r:id="rId12"/>
    <sheet name="Pivot Increase" sheetId="21" r:id="rId13"/>
    <sheet name="Raw Data Increase factor" sheetId="16" r:id="rId14"/>
  </sheets>
  <definedNames>
    <definedName name="_xlnm._FilterDatabase" localSheetId="5" hidden="1">Unpivoted!$A$1:$W$820</definedName>
    <definedName name="_xlcn.WorksheetConnection_UnpivotedA1G8201" hidden="1">Unpivoted!$A$1:$G$820</definedName>
    <definedName name="Slicer_Category">#N/A</definedName>
    <definedName name="Slicer_Locale">#N/A</definedName>
    <definedName name="Slicer_Year">#N/A</definedName>
  </definedNames>
  <calcPr calcId="191029"/>
  <pivotCaches>
    <pivotCache cacheId="0" r:id="rId15"/>
    <pivotCache cacheId="4" r:id="rId16"/>
    <pivotCache cacheId="2" r:id="rId17"/>
    <pivotCache cacheId="37" r:id="rId18"/>
  </pivotCaches>
  <extLst>
    <ext xmlns:x14="http://schemas.microsoft.com/office/spreadsheetml/2009/9/main" uri="{BBE1A952-AA13-448e-AADC-164F8A28A991}">
      <x14:slicerCaches>
        <x14:slicerCache r:id="rId19"/>
        <x14:slicerCache r:id="rId20"/>
        <x14:slicerCache r:id="rId21"/>
      </x14:slicerCaches>
    </ext>
    <ext xmlns:x14="http://schemas.microsoft.com/office/spreadsheetml/2009/9/main" uri="{79F54976-1DA5-4618-B147-4CDE4B953A38}">
      <x14:workbookPr/>
    </ext>
    <ext xmlns:x15="http://schemas.microsoft.com/office/spreadsheetml/2010/11/main" uri="{841E416B-1EF1-43b6-AB56-02D37102CBD5}">
      <x15:pivotCaches>
        <pivotCache cacheId="57" r:id="rId22"/>
      </x15:pivotCaches>
    </ext>
    <ext xmlns:x15="http://schemas.microsoft.com/office/spreadsheetml/2010/11/main" uri="{983426D0-5260-488c-9760-48F4B6AC55F4}">
      <x15:pivotTableReferences>
        <x15:pivotTableReference r:id="rId23"/>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Unpivoted!$A$1:$G$820"/>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55" i="6" l="1"/>
  <c r="U55" i="6"/>
  <c r="V55" i="6"/>
  <c r="W55" i="6"/>
  <c r="X55" i="6"/>
  <c r="Y55" i="6"/>
  <c r="Z55" i="6"/>
  <c r="AA55" i="6"/>
  <c r="AB55" i="6"/>
  <c r="T56" i="6"/>
  <c r="U56" i="6"/>
  <c r="V56" i="6"/>
  <c r="W56" i="6"/>
  <c r="X56" i="6"/>
  <c r="Y56" i="6"/>
  <c r="Z56" i="6"/>
  <c r="AA56" i="6"/>
  <c r="AB56" i="6"/>
  <c r="T57" i="6"/>
  <c r="U57" i="6"/>
  <c r="V57" i="6"/>
  <c r="W57" i="6"/>
  <c r="X57" i="6"/>
  <c r="Y57" i="6"/>
  <c r="Z57" i="6"/>
  <c r="AA57" i="6"/>
  <c r="AB57" i="6"/>
  <c r="T58" i="6"/>
  <c r="U58" i="6"/>
  <c r="V58" i="6"/>
  <c r="W58" i="6"/>
  <c r="X58" i="6"/>
  <c r="Y58" i="6"/>
  <c r="Z58" i="6"/>
  <c r="AA58" i="6"/>
  <c r="AB58" i="6"/>
  <c r="T59" i="6"/>
  <c r="U59" i="6"/>
  <c r="V59" i="6"/>
  <c r="W59" i="6"/>
  <c r="X59" i="6"/>
  <c r="Y59" i="6"/>
  <c r="Z59" i="6"/>
  <c r="AA59" i="6"/>
  <c r="AB59" i="6"/>
  <c r="T60" i="6"/>
  <c r="U60" i="6"/>
  <c r="V60" i="6"/>
  <c r="W60" i="6"/>
  <c r="X60" i="6"/>
  <c r="Y60" i="6"/>
  <c r="Z60" i="6"/>
  <c r="AA60" i="6"/>
  <c r="AB60" i="6"/>
  <c r="T61" i="6"/>
  <c r="U61" i="6"/>
  <c r="V61" i="6"/>
  <c r="W61" i="6"/>
  <c r="X61" i="6"/>
  <c r="Y61" i="6"/>
  <c r="Z61" i="6"/>
  <c r="AA61" i="6"/>
  <c r="AB61" i="6"/>
  <c r="T62" i="6"/>
  <c r="U62" i="6"/>
  <c r="V62" i="6"/>
  <c r="W62" i="6"/>
  <c r="X62" i="6"/>
  <c r="Y62" i="6"/>
  <c r="Z62" i="6"/>
  <c r="AA62" i="6"/>
  <c r="AB62" i="6"/>
  <c r="T63" i="6"/>
  <c r="U63" i="6"/>
  <c r="V63" i="6"/>
  <c r="W63" i="6"/>
  <c r="X63" i="6"/>
  <c r="Y63" i="6"/>
  <c r="Z63" i="6"/>
  <c r="AA63" i="6"/>
  <c r="AB63" i="6"/>
  <c r="T64" i="6"/>
  <c r="U64" i="6"/>
  <c r="V64" i="6"/>
  <c r="W64" i="6"/>
  <c r="X64" i="6"/>
  <c r="Y64" i="6"/>
  <c r="Z64" i="6"/>
  <c r="AA64" i="6"/>
  <c r="AB64" i="6"/>
  <c r="T65" i="6"/>
  <c r="U65" i="6"/>
  <c r="V65" i="6"/>
  <c r="W65" i="6"/>
  <c r="X65" i="6"/>
  <c r="Y65" i="6"/>
  <c r="Z65" i="6"/>
  <c r="AA65" i="6"/>
  <c r="AB65" i="6"/>
  <c r="T66" i="6"/>
  <c r="U66" i="6"/>
  <c r="V66" i="6"/>
  <c r="W66" i="6"/>
  <c r="X66" i="6"/>
  <c r="Y66" i="6"/>
  <c r="Z66" i="6"/>
  <c r="AA66" i="6"/>
  <c r="AB66" i="6"/>
  <c r="AB54" i="6"/>
  <c r="U54" i="6"/>
  <c r="V54" i="6"/>
  <c r="W54" i="6"/>
  <c r="X54" i="6"/>
  <c r="Y54" i="6"/>
  <c r="Z54" i="6"/>
  <c r="AA54" i="6"/>
  <c r="T54" i="6"/>
  <c r="Q4" i="32"/>
  <c r="F64" i="32"/>
  <c r="B71" i="32"/>
  <c r="B70" i="32"/>
  <c r="AJ6" i="6"/>
  <c r="AD6" i="6"/>
  <c r="AE6" i="6"/>
  <c r="AF6" i="6"/>
  <c r="AG6" i="6"/>
  <c r="AH6" i="6"/>
  <c r="AI6" i="6"/>
  <c r="AD7" i="6"/>
  <c r="AE7" i="6"/>
  <c r="AF7" i="6"/>
  <c r="AG7" i="6"/>
  <c r="AH7" i="6"/>
  <c r="AI7" i="6"/>
  <c r="AJ7" i="6"/>
  <c r="AD8" i="6"/>
  <c r="AE8" i="6"/>
  <c r="AF8" i="6"/>
  <c r="AG8" i="6"/>
  <c r="AH8" i="6"/>
  <c r="AI8" i="6"/>
  <c r="AJ8" i="6"/>
  <c r="AD9" i="6"/>
  <c r="AE9" i="6"/>
  <c r="AF9" i="6"/>
  <c r="AG9" i="6"/>
  <c r="AH9" i="6"/>
  <c r="AI9" i="6"/>
  <c r="AJ9" i="6"/>
  <c r="AD10" i="6"/>
  <c r="AE10" i="6"/>
  <c r="AF10" i="6"/>
  <c r="AG10" i="6"/>
  <c r="AH10" i="6"/>
  <c r="AI10" i="6"/>
  <c r="AJ10" i="6"/>
  <c r="AD11" i="6"/>
  <c r="AE11" i="6"/>
  <c r="AF11" i="6"/>
  <c r="AG11" i="6"/>
  <c r="AH11" i="6"/>
  <c r="AI11" i="6"/>
  <c r="AJ11" i="6"/>
  <c r="AD12" i="6"/>
  <c r="AE12" i="6"/>
  <c r="AF12" i="6"/>
  <c r="AG12" i="6"/>
  <c r="AH12" i="6"/>
  <c r="AI12" i="6"/>
  <c r="AJ12" i="6"/>
  <c r="AD13" i="6"/>
  <c r="AE13" i="6"/>
  <c r="AF13" i="6"/>
  <c r="AG13" i="6"/>
  <c r="AH13" i="6"/>
  <c r="AI13" i="6"/>
  <c r="AJ13" i="6"/>
  <c r="AD14" i="6"/>
  <c r="AE14" i="6"/>
  <c r="AF14" i="6"/>
  <c r="AG14" i="6"/>
  <c r="AH14" i="6"/>
  <c r="AI14" i="6"/>
  <c r="AJ14" i="6"/>
  <c r="AK6" i="6"/>
  <c r="D2" i="6"/>
  <c r="V69" i="13"/>
  <c r="V68" i="13" s="1"/>
  <c r="V70" i="13"/>
  <c r="W70" i="13" s="1"/>
  <c r="W71" i="13"/>
  <c r="X71" i="13" s="1"/>
  <c r="Y71" i="13" s="1"/>
  <c r="Z71" i="13" s="1"/>
  <c r="AA71" i="13" s="1"/>
  <c r="AB71" i="13" s="1"/>
  <c r="AC71" i="13" s="1"/>
  <c r="AD71" i="13" s="1"/>
  <c r="V71" i="13"/>
  <c r="H816" i="28"/>
  <c r="H813" i="28"/>
  <c r="H809" i="28"/>
  <c r="H808" i="28"/>
  <c r="H805" i="28"/>
  <c r="H800" i="28"/>
  <c r="H797" i="28"/>
  <c r="H793" i="28"/>
  <c r="H792" i="28"/>
  <c r="H789" i="28"/>
  <c r="H784" i="28"/>
  <c r="H781" i="28"/>
  <c r="H777" i="28"/>
  <c r="H776" i="28"/>
  <c r="H773" i="28"/>
  <c r="H768" i="28"/>
  <c r="H765" i="28"/>
  <c r="H762" i="28"/>
  <c r="H761" i="28"/>
  <c r="H760" i="28"/>
  <c r="H757" i="28"/>
  <c r="H752" i="28"/>
  <c r="H749" i="28"/>
  <c r="H745" i="28"/>
  <c r="H744" i="28"/>
  <c r="H741" i="28"/>
  <c r="H736" i="28"/>
  <c r="H733" i="28"/>
  <c r="H729" i="28"/>
  <c r="H728" i="28"/>
  <c r="H725" i="28"/>
  <c r="H720" i="28"/>
  <c r="H717" i="28"/>
  <c r="H713" i="28"/>
  <c r="H712" i="28"/>
  <c r="H709" i="28"/>
  <c r="H704" i="28"/>
  <c r="H701" i="28"/>
  <c r="H698" i="28"/>
  <c r="H697" i="28"/>
  <c r="H696" i="28"/>
  <c r="H693" i="28"/>
  <c r="H688" i="28"/>
  <c r="H685" i="28"/>
  <c r="H681" i="28"/>
  <c r="H680" i="28"/>
  <c r="H677" i="28"/>
  <c r="H672" i="28"/>
  <c r="H669" i="28"/>
  <c r="H665" i="28"/>
  <c r="H664" i="28"/>
  <c r="H661" i="28"/>
  <c r="H656" i="28"/>
  <c r="H653" i="28"/>
  <c r="H650" i="28"/>
  <c r="H649" i="28"/>
  <c r="H648" i="28"/>
  <c r="H645" i="28"/>
  <c r="H640" i="28"/>
  <c r="H637" i="28"/>
  <c r="H634" i="28"/>
  <c r="H633" i="28"/>
  <c r="H632" i="28"/>
  <c r="H629" i="28"/>
  <c r="H625" i="28"/>
  <c r="H624" i="28"/>
  <c r="H621" i="28"/>
  <c r="H617" i="28"/>
  <c r="H616" i="28"/>
  <c r="H613" i="28"/>
  <c r="H609" i="28"/>
  <c r="H608" i="28"/>
  <c r="H605" i="28"/>
  <c r="H602" i="28"/>
  <c r="H601" i="28"/>
  <c r="H600" i="28"/>
  <c r="H597" i="28"/>
  <c r="H593" i="28"/>
  <c r="H592" i="28"/>
  <c r="H589" i="28"/>
  <c r="H585" i="28"/>
  <c r="H584" i="28"/>
  <c r="H581" i="28"/>
  <c r="H577" i="28"/>
  <c r="H576" i="28"/>
  <c r="H573" i="28"/>
  <c r="H570" i="28"/>
  <c r="H569" i="28"/>
  <c r="H568" i="28"/>
  <c r="H565" i="28"/>
  <c r="H561" i="28"/>
  <c r="H560" i="28"/>
  <c r="H557" i="28"/>
  <c r="H554" i="28"/>
  <c r="H553" i="28"/>
  <c r="H552" i="28"/>
  <c r="H549" i="28"/>
  <c r="H545" i="28"/>
  <c r="H544" i="28"/>
  <c r="H541" i="28"/>
  <c r="H538" i="28"/>
  <c r="H537" i="28"/>
  <c r="H536" i="28"/>
  <c r="H533" i="28"/>
  <c r="H529" i="28"/>
  <c r="H528" i="28"/>
  <c r="H525" i="28"/>
  <c r="H521" i="28"/>
  <c r="H520" i="28"/>
  <c r="H517" i="28"/>
  <c r="H513" i="28"/>
  <c r="H512" i="28"/>
  <c r="H509" i="28"/>
  <c r="H506" i="28"/>
  <c r="H505" i="28"/>
  <c r="H504" i="28"/>
  <c r="H501" i="28"/>
  <c r="H497" i="28"/>
  <c r="H496" i="28"/>
  <c r="H493" i="28"/>
  <c r="H489" i="28"/>
  <c r="H488" i="28"/>
  <c r="H485" i="28"/>
  <c r="H481" i="28"/>
  <c r="H480" i="28"/>
  <c r="H477" i="28"/>
  <c r="H474" i="28"/>
  <c r="H473" i="28"/>
  <c r="H472" i="28"/>
  <c r="H469" i="28"/>
  <c r="H465" i="28"/>
  <c r="H464" i="28"/>
  <c r="H461" i="28"/>
  <c r="H457" i="28"/>
  <c r="H456" i="28"/>
  <c r="H453" i="28"/>
  <c r="H449" i="28"/>
  <c r="H448" i="28"/>
  <c r="H445" i="28"/>
  <c r="H442" i="28"/>
  <c r="H441" i="28"/>
  <c r="H440" i="28"/>
  <c r="H437" i="28"/>
  <c r="H433" i="28"/>
  <c r="H432" i="28"/>
  <c r="H429" i="28"/>
  <c r="H426" i="28"/>
  <c r="H425" i="28"/>
  <c r="H424" i="28"/>
  <c r="H421" i="28"/>
  <c r="H417" i="28"/>
  <c r="H416" i="28"/>
  <c r="H413" i="28"/>
  <c r="H410" i="28"/>
  <c r="H409" i="28"/>
  <c r="H408" i="28"/>
  <c r="H405" i="28"/>
  <c r="H401" i="28"/>
  <c r="H400" i="28"/>
  <c r="H397" i="28"/>
  <c r="H393" i="28"/>
  <c r="H392" i="28"/>
  <c r="H389" i="28"/>
  <c r="H385" i="28"/>
  <c r="H384" i="28"/>
  <c r="H381" i="28"/>
  <c r="H378" i="28"/>
  <c r="H377" i="28"/>
  <c r="H376" i="28"/>
  <c r="H373" i="28"/>
  <c r="H369" i="28"/>
  <c r="H368" i="28"/>
  <c r="H365" i="28"/>
  <c r="H361" i="28"/>
  <c r="H360" i="28"/>
  <c r="H357" i="28"/>
  <c r="H353" i="28"/>
  <c r="H352" i="28"/>
  <c r="H349" i="28"/>
  <c r="H346" i="28"/>
  <c r="H345" i="28"/>
  <c r="H344" i="28"/>
  <c r="H341" i="28"/>
  <c r="H337" i="28"/>
  <c r="H336" i="28"/>
  <c r="H333" i="28"/>
  <c r="H329" i="28"/>
  <c r="H328" i="28"/>
  <c r="H325" i="28"/>
  <c r="H321" i="28"/>
  <c r="H320" i="28"/>
  <c r="H317" i="28"/>
  <c r="H314" i="28"/>
  <c r="H313" i="28"/>
  <c r="H312" i="28"/>
  <c r="H309" i="28"/>
  <c r="H305" i="28"/>
  <c r="H304" i="28"/>
  <c r="H301" i="28"/>
  <c r="H298" i="28"/>
  <c r="H297" i="28"/>
  <c r="H296" i="28"/>
  <c r="H293" i="28"/>
  <c r="H289" i="28"/>
  <c r="H288" i="28"/>
  <c r="H285" i="28"/>
  <c r="H282" i="28"/>
  <c r="H281" i="28"/>
  <c r="H280" i="28"/>
  <c r="H277" i="28"/>
  <c r="H273" i="28"/>
  <c r="H272" i="28"/>
  <c r="H269" i="28"/>
  <c r="H265" i="28"/>
  <c r="H264" i="28"/>
  <c r="H261" i="28"/>
  <c r="H257" i="28"/>
  <c r="H256" i="28"/>
  <c r="H253" i="28"/>
  <c r="H250" i="28"/>
  <c r="H249" i="28"/>
  <c r="H248" i="28"/>
  <c r="H245" i="28"/>
  <c r="H241" i="28"/>
  <c r="H240" i="28"/>
  <c r="H237" i="28"/>
  <c r="H233" i="28"/>
  <c r="H232" i="28"/>
  <c r="H229" i="28"/>
  <c r="H225" i="28"/>
  <c r="H224" i="28"/>
  <c r="H221" i="28"/>
  <c r="H218" i="28"/>
  <c r="H217" i="28"/>
  <c r="H216" i="28"/>
  <c r="H213" i="28"/>
  <c r="H209" i="28"/>
  <c r="H208" i="28"/>
  <c r="H205" i="28"/>
  <c r="H201" i="28"/>
  <c r="H200" i="28"/>
  <c r="H197" i="28"/>
  <c r="H193" i="28"/>
  <c r="H192" i="28"/>
  <c r="H189" i="28"/>
  <c r="H186" i="28"/>
  <c r="H185" i="28"/>
  <c r="H184" i="28"/>
  <c r="H181" i="28"/>
  <c r="H177" i="28"/>
  <c r="H176" i="28"/>
  <c r="H173" i="28"/>
  <c r="H170" i="28"/>
  <c r="H169" i="28"/>
  <c r="H168" i="28"/>
  <c r="H165" i="28"/>
  <c r="H161" i="28"/>
  <c r="H160" i="28"/>
  <c r="H157" i="28"/>
  <c r="H154" i="28"/>
  <c r="H153" i="28"/>
  <c r="H152" i="28"/>
  <c r="H149" i="28"/>
  <c r="H145" i="28"/>
  <c r="H144" i="28"/>
  <c r="H141" i="28"/>
  <c r="H137" i="28"/>
  <c r="H136" i="28"/>
  <c r="H133" i="28"/>
  <c r="H129" i="28"/>
  <c r="H128" i="28"/>
  <c r="H126" i="28"/>
  <c r="H125" i="28"/>
  <c r="H122" i="28"/>
  <c r="H121" i="28"/>
  <c r="H120" i="28"/>
  <c r="H117" i="28"/>
  <c r="H113" i="28"/>
  <c r="H112" i="28"/>
  <c r="H110" i="28"/>
  <c r="H109" i="28"/>
  <c r="H106" i="28"/>
  <c r="H105" i="28"/>
  <c r="H104" i="28"/>
  <c r="H101" i="28"/>
  <c r="H97" i="28"/>
  <c r="H96" i="28"/>
  <c r="H94" i="28"/>
  <c r="H93" i="28"/>
  <c r="H90" i="28"/>
  <c r="H89" i="28"/>
  <c r="H88" i="28"/>
  <c r="H85" i="28"/>
  <c r="H81" i="28"/>
  <c r="H80" i="28"/>
  <c r="H78" i="28"/>
  <c r="H77" i="28"/>
  <c r="H73" i="28"/>
  <c r="H72" i="28"/>
  <c r="H69" i="28"/>
  <c r="H65" i="28"/>
  <c r="H64" i="28"/>
  <c r="H62" i="28"/>
  <c r="H61" i="28"/>
  <c r="H58" i="28"/>
  <c r="H57" i="28"/>
  <c r="H56" i="28"/>
  <c r="H53" i="28"/>
  <c r="H49" i="28"/>
  <c r="H48" i="28"/>
  <c r="H46" i="28"/>
  <c r="H45" i="28"/>
  <c r="H42" i="28"/>
  <c r="H41" i="28"/>
  <c r="H40" i="28"/>
  <c r="H37" i="28"/>
  <c r="H33" i="28"/>
  <c r="H32" i="28"/>
  <c r="H30" i="28"/>
  <c r="H29" i="28"/>
  <c r="H26" i="28"/>
  <c r="H25" i="28"/>
  <c r="H24" i="28"/>
  <c r="H21" i="28"/>
  <c r="H17" i="28"/>
  <c r="H16" i="28"/>
  <c r="H14" i="28"/>
  <c r="H13" i="28"/>
  <c r="H9" i="28"/>
  <c r="H8" i="28"/>
  <c r="H5" i="28"/>
  <c r="H3" i="28"/>
  <c r="H4" i="28"/>
  <c r="H6" i="28"/>
  <c r="H7" i="28"/>
  <c r="H10" i="28"/>
  <c r="H11" i="28"/>
  <c r="H12" i="28"/>
  <c r="H15" i="28"/>
  <c r="H18" i="28"/>
  <c r="H19" i="28"/>
  <c r="H20" i="28"/>
  <c r="H22" i="28"/>
  <c r="H23" i="28"/>
  <c r="H27" i="28"/>
  <c r="H28" i="28"/>
  <c r="H31" i="28"/>
  <c r="H34" i="28"/>
  <c r="H35" i="28"/>
  <c r="H36" i="28"/>
  <c r="H38" i="28"/>
  <c r="H39" i="28"/>
  <c r="H43" i="28"/>
  <c r="H44" i="28"/>
  <c r="H47" i="28"/>
  <c r="H50" i="28"/>
  <c r="H51" i="28"/>
  <c r="H52" i="28"/>
  <c r="H54" i="28"/>
  <c r="H55" i="28"/>
  <c r="H59" i="28"/>
  <c r="H60" i="28"/>
  <c r="H63" i="28"/>
  <c r="H66" i="28"/>
  <c r="H67" i="28"/>
  <c r="H68" i="28"/>
  <c r="H70" i="28"/>
  <c r="H71" i="28"/>
  <c r="H74" i="28"/>
  <c r="H75" i="28"/>
  <c r="H76" i="28"/>
  <c r="H79" i="28"/>
  <c r="H82" i="28"/>
  <c r="H83" i="28"/>
  <c r="H84" i="28"/>
  <c r="H86" i="28"/>
  <c r="H87" i="28"/>
  <c r="H91" i="28"/>
  <c r="H92" i="28"/>
  <c r="H95" i="28"/>
  <c r="H98" i="28"/>
  <c r="H99" i="28"/>
  <c r="H100" i="28"/>
  <c r="H102" i="28"/>
  <c r="H103" i="28"/>
  <c r="H107" i="28"/>
  <c r="H108" i="28"/>
  <c r="H111" i="28"/>
  <c r="H114" i="28"/>
  <c r="H115" i="28"/>
  <c r="H116" i="28"/>
  <c r="H118" i="28"/>
  <c r="H119" i="28"/>
  <c r="H123" i="28"/>
  <c r="H124" i="28"/>
  <c r="H127" i="28"/>
  <c r="H130" i="28"/>
  <c r="H131" i="28"/>
  <c r="H132" i="28"/>
  <c r="H134" i="28"/>
  <c r="H135" i="28"/>
  <c r="H138" i="28"/>
  <c r="H139" i="28"/>
  <c r="H140" i="28"/>
  <c r="H142" i="28"/>
  <c r="H143" i="28"/>
  <c r="H146" i="28"/>
  <c r="H147" i="28"/>
  <c r="H148" i="28"/>
  <c r="H150" i="28"/>
  <c r="H151" i="28"/>
  <c r="H155" i="28"/>
  <c r="H156" i="28"/>
  <c r="H158" i="28"/>
  <c r="H159" i="28"/>
  <c r="H162" i="28"/>
  <c r="H163" i="28"/>
  <c r="H164" i="28"/>
  <c r="H166" i="28"/>
  <c r="H167" i="28"/>
  <c r="H171" i="28"/>
  <c r="H172" i="28"/>
  <c r="H174" i="28"/>
  <c r="H175" i="28"/>
  <c r="H178" i="28"/>
  <c r="H179" i="28"/>
  <c r="H180" i="28"/>
  <c r="H182" i="28"/>
  <c r="H183" i="28"/>
  <c r="H187" i="28"/>
  <c r="H188" i="28"/>
  <c r="H190" i="28"/>
  <c r="H191" i="28"/>
  <c r="H194" i="28"/>
  <c r="H195" i="28"/>
  <c r="H196" i="28"/>
  <c r="H198" i="28"/>
  <c r="H199" i="28"/>
  <c r="H202" i="28"/>
  <c r="H203" i="28"/>
  <c r="H204" i="28"/>
  <c r="H206" i="28"/>
  <c r="H207" i="28"/>
  <c r="H210" i="28"/>
  <c r="H211" i="28"/>
  <c r="H212" i="28"/>
  <c r="H214" i="28"/>
  <c r="H215" i="28"/>
  <c r="H219" i="28"/>
  <c r="H220" i="28"/>
  <c r="H222" i="28"/>
  <c r="H223" i="28"/>
  <c r="H226" i="28"/>
  <c r="H227" i="28"/>
  <c r="H228" i="28"/>
  <c r="H230" i="28"/>
  <c r="H231" i="28"/>
  <c r="H234" i="28"/>
  <c r="H235" i="28"/>
  <c r="H236" i="28"/>
  <c r="H238" i="28"/>
  <c r="H239" i="28"/>
  <c r="H242" i="28"/>
  <c r="H243" i="28"/>
  <c r="H244" i="28"/>
  <c r="H246" i="28"/>
  <c r="H247" i="28"/>
  <c r="H251" i="28"/>
  <c r="H252" i="28"/>
  <c r="H254" i="28"/>
  <c r="H255" i="28"/>
  <c r="H258" i="28"/>
  <c r="H259" i="28"/>
  <c r="H260" i="28"/>
  <c r="H262" i="28"/>
  <c r="H263" i="28"/>
  <c r="H266" i="28"/>
  <c r="H267" i="28"/>
  <c r="H268" i="28"/>
  <c r="H270" i="28"/>
  <c r="H271" i="28"/>
  <c r="H274" i="28"/>
  <c r="H275" i="28"/>
  <c r="H276" i="28"/>
  <c r="H278" i="28"/>
  <c r="H279" i="28"/>
  <c r="H283" i="28"/>
  <c r="H284" i="28"/>
  <c r="H286" i="28"/>
  <c r="H287" i="28"/>
  <c r="H290" i="28"/>
  <c r="H291" i="28"/>
  <c r="H292" i="28"/>
  <c r="H294" i="28"/>
  <c r="H295" i="28"/>
  <c r="H299" i="28"/>
  <c r="H300" i="28"/>
  <c r="H302" i="28"/>
  <c r="H303" i="28"/>
  <c r="H306" i="28"/>
  <c r="H307" i="28"/>
  <c r="H308" i="28"/>
  <c r="H310" i="28"/>
  <c r="H311" i="28"/>
  <c r="H315" i="28"/>
  <c r="H316" i="28"/>
  <c r="H318" i="28"/>
  <c r="H319" i="28"/>
  <c r="H322" i="28"/>
  <c r="H323" i="28"/>
  <c r="H324" i="28"/>
  <c r="H326" i="28"/>
  <c r="H327" i="28"/>
  <c r="H330" i="28"/>
  <c r="H331" i="28"/>
  <c r="H332" i="28"/>
  <c r="H334" i="28"/>
  <c r="H335" i="28"/>
  <c r="H338" i="28"/>
  <c r="H339" i="28"/>
  <c r="H340" i="28"/>
  <c r="H342" i="28"/>
  <c r="H343" i="28"/>
  <c r="H347" i="28"/>
  <c r="H348" i="28"/>
  <c r="H350" i="28"/>
  <c r="H351" i="28"/>
  <c r="H354" i="28"/>
  <c r="H355" i="28"/>
  <c r="H356" i="28"/>
  <c r="H358" i="28"/>
  <c r="H359" i="28"/>
  <c r="H362" i="28"/>
  <c r="H363" i="28"/>
  <c r="H364" i="28"/>
  <c r="H366" i="28"/>
  <c r="H367" i="28"/>
  <c r="H370" i="28"/>
  <c r="H371" i="28"/>
  <c r="H372" i="28"/>
  <c r="H374" i="28"/>
  <c r="H375" i="28"/>
  <c r="H379" i="28"/>
  <c r="H380" i="28"/>
  <c r="H382" i="28"/>
  <c r="H383" i="28"/>
  <c r="H386" i="28"/>
  <c r="H387" i="28"/>
  <c r="H388" i="28"/>
  <c r="H390" i="28"/>
  <c r="H391" i="28"/>
  <c r="H394" i="28"/>
  <c r="H395" i="28"/>
  <c r="H396" i="28"/>
  <c r="H398" i="28"/>
  <c r="H399" i="28"/>
  <c r="H402" i="28"/>
  <c r="H403" i="28"/>
  <c r="H404" i="28"/>
  <c r="H406" i="28"/>
  <c r="H407" i="28"/>
  <c r="H411" i="28"/>
  <c r="H412" i="28"/>
  <c r="H414" i="28"/>
  <c r="H415" i="28"/>
  <c r="H418" i="28"/>
  <c r="H419" i="28"/>
  <c r="H420" i="28"/>
  <c r="H422" i="28"/>
  <c r="H423" i="28"/>
  <c r="H427" i="28"/>
  <c r="H428" i="28"/>
  <c r="H430" i="28"/>
  <c r="H431" i="28"/>
  <c r="H434" i="28"/>
  <c r="H435" i="28"/>
  <c r="H436" i="28"/>
  <c r="H438" i="28"/>
  <c r="H439" i="28"/>
  <c r="H443" i="28"/>
  <c r="H444" i="28"/>
  <c r="H446" i="28"/>
  <c r="H447" i="28"/>
  <c r="H450" i="28"/>
  <c r="H451" i="28"/>
  <c r="H452" i="28"/>
  <c r="H454" i="28"/>
  <c r="H455" i="28"/>
  <c r="H458" i="28"/>
  <c r="H459" i="28"/>
  <c r="H460" i="28"/>
  <c r="H462" i="28"/>
  <c r="H463" i="28"/>
  <c r="H466" i="28"/>
  <c r="H467" i="28"/>
  <c r="H468" i="28"/>
  <c r="H470" i="28"/>
  <c r="H471" i="28"/>
  <c r="H475" i="28"/>
  <c r="H476" i="28"/>
  <c r="H478" i="28"/>
  <c r="H479" i="28"/>
  <c r="H482" i="28"/>
  <c r="H483" i="28"/>
  <c r="H484" i="28"/>
  <c r="H486" i="28"/>
  <c r="H487" i="28"/>
  <c r="H490" i="28"/>
  <c r="H491" i="28"/>
  <c r="H492" i="28"/>
  <c r="H494" i="28"/>
  <c r="H495" i="28"/>
  <c r="H498" i="28"/>
  <c r="H499" i="28"/>
  <c r="H500" i="28"/>
  <c r="H502" i="28"/>
  <c r="H503" i="28"/>
  <c r="H507" i="28"/>
  <c r="H508" i="28"/>
  <c r="H510" i="28"/>
  <c r="H511" i="28"/>
  <c r="H514" i="28"/>
  <c r="H515" i="28"/>
  <c r="H516" i="28"/>
  <c r="H518" i="28"/>
  <c r="H519" i="28"/>
  <c r="H522" i="28"/>
  <c r="H523" i="28"/>
  <c r="H524" i="28"/>
  <c r="H526" i="28"/>
  <c r="H527" i="28"/>
  <c r="H530" i="28"/>
  <c r="H531" i="28"/>
  <c r="H532" i="28"/>
  <c r="H534" i="28"/>
  <c r="H535" i="28"/>
  <c r="H539" i="28"/>
  <c r="H540" i="28"/>
  <c r="H542" i="28"/>
  <c r="H543" i="28"/>
  <c r="H546" i="28"/>
  <c r="H547" i="28"/>
  <c r="H548" i="28"/>
  <c r="H550" i="28"/>
  <c r="H551" i="28"/>
  <c r="H555" i="28"/>
  <c r="H556" i="28"/>
  <c r="H558" i="28"/>
  <c r="H559" i="28"/>
  <c r="H562" i="28"/>
  <c r="H563" i="28"/>
  <c r="H564" i="28"/>
  <c r="H566" i="28"/>
  <c r="H567" i="28"/>
  <c r="H571" i="28"/>
  <c r="H572" i="28"/>
  <c r="H574" i="28"/>
  <c r="H575" i="28"/>
  <c r="H578" i="28"/>
  <c r="H579" i="28"/>
  <c r="H580" i="28"/>
  <c r="H582" i="28"/>
  <c r="H583" i="28"/>
  <c r="H586" i="28"/>
  <c r="H587" i="28"/>
  <c r="H588" i="28"/>
  <c r="H590" i="28"/>
  <c r="H591" i="28"/>
  <c r="H594" i="28"/>
  <c r="H595" i="28"/>
  <c r="H596" i="28"/>
  <c r="H598" i="28"/>
  <c r="H599" i="28"/>
  <c r="H603" i="28"/>
  <c r="H604" i="28"/>
  <c r="H606" i="28"/>
  <c r="H607" i="28"/>
  <c r="H610" i="28"/>
  <c r="H611" i="28"/>
  <c r="H612" i="28"/>
  <c r="H614" i="28"/>
  <c r="H615" i="28"/>
  <c r="H618" i="28"/>
  <c r="H619" i="28"/>
  <c r="H620" i="28"/>
  <c r="H622" i="28"/>
  <c r="H623" i="28"/>
  <c r="H626" i="28"/>
  <c r="H627" i="28"/>
  <c r="H628" i="28"/>
  <c r="H630" i="28"/>
  <c r="H631" i="28"/>
  <c r="H635" i="28"/>
  <c r="H636" i="28"/>
  <c r="H638" i="28"/>
  <c r="H639" i="28"/>
  <c r="H641" i="28"/>
  <c r="H642" i="28"/>
  <c r="H643" i="28"/>
  <c r="H644" i="28"/>
  <c r="H646" i="28"/>
  <c r="H647" i="28"/>
  <c r="H651" i="28"/>
  <c r="H652" i="28"/>
  <c r="H654" i="28"/>
  <c r="H655" i="28"/>
  <c r="H657" i="28"/>
  <c r="H658" i="28"/>
  <c r="H659" i="28"/>
  <c r="H660" i="28"/>
  <c r="H662" i="28"/>
  <c r="H663" i="28"/>
  <c r="H666" i="28"/>
  <c r="H667" i="28"/>
  <c r="H668" i="28"/>
  <c r="H670" i="28"/>
  <c r="H671" i="28"/>
  <c r="H673" i="28"/>
  <c r="H674" i="28"/>
  <c r="H675" i="28"/>
  <c r="H676" i="28"/>
  <c r="H678" i="28"/>
  <c r="H679" i="28"/>
  <c r="H682" i="28"/>
  <c r="H683" i="28"/>
  <c r="H684" i="28"/>
  <c r="H686" i="28"/>
  <c r="H687" i="28"/>
  <c r="H689" i="28"/>
  <c r="H690" i="28"/>
  <c r="H691" i="28"/>
  <c r="H692" i="28"/>
  <c r="H694" i="28"/>
  <c r="H695" i="28"/>
  <c r="H699" i="28"/>
  <c r="H700" i="28"/>
  <c r="H702" i="28"/>
  <c r="H703" i="28"/>
  <c r="H705" i="28"/>
  <c r="H706" i="28"/>
  <c r="H707" i="28"/>
  <c r="H708" i="28"/>
  <c r="H710" i="28"/>
  <c r="H711" i="28"/>
  <c r="H714" i="28"/>
  <c r="H715" i="28"/>
  <c r="H716" i="28"/>
  <c r="H718" i="28"/>
  <c r="H719" i="28"/>
  <c r="H721" i="28"/>
  <c r="H722" i="28"/>
  <c r="H723" i="28"/>
  <c r="H724" i="28"/>
  <c r="H726" i="28"/>
  <c r="H727" i="28"/>
  <c r="H730" i="28"/>
  <c r="H731" i="28"/>
  <c r="H732" i="28"/>
  <c r="H734" i="28"/>
  <c r="H735" i="28"/>
  <c r="H737" i="28"/>
  <c r="H738" i="28"/>
  <c r="H739" i="28"/>
  <c r="H740" i="28"/>
  <c r="H742" i="28"/>
  <c r="H743" i="28"/>
  <c r="H746" i="28"/>
  <c r="H747" i="28"/>
  <c r="H748" i="28"/>
  <c r="H750" i="28"/>
  <c r="H751" i="28"/>
  <c r="H753" i="28"/>
  <c r="H754" i="28"/>
  <c r="H755" i="28"/>
  <c r="H756" i="28"/>
  <c r="H758" i="28"/>
  <c r="H759" i="28"/>
  <c r="H763" i="28"/>
  <c r="H764" i="28"/>
  <c r="H766" i="28"/>
  <c r="H767" i="28"/>
  <c r="H769" i="28"/>
  <c r="H770" i="28"/>
  <c r="H771" i="28"/>
  <c r="H772" i="28"/>
  <c r="H774" i="28"/>
  <c r="H775" i="28"/>
  <c r="H778" i="28"/>
  <c r="H779" i="28"/>
  <c r="H780" i="28"/>
  <c r="H782" i="28"/>
  <c r="H783" i="28"/>
  <c r="H785" i="28"/>
  <c r="H786" i="28"/>
  <c r="H787" i="28"/>
  <c r="H788" i="28"/>
  <c r="H790" i="28"/>
  <c r="H791" i="28"/>
  <c r="H794" i="28"/>
  <c r="H795" i="28"/>
  <c r="H796" i="28"/>
  <c r="H798" i="28"/>
  <c r="H799" i="28"/>
  <c r="H801" i="28"/>
  <c r="H802" i="28"/>
  <c r="H803" i="28"/>
  <c r="H804" i="28"/>
  <c r="H806" i="28"/>
  <c r="H807" i="28"/>
  <c r="H810" i="28"/>
  <c r="H811" i="28"/>
  <c r="H812" i="28"/>
  <c r="H814" i="28"/>
  <c r="H815" i="28"/>
  <c r="H817" i="28"/>
  <c r="H818" i="28"/>
  <c r="H819" i="28"/>
  <c r="H820" i="28"/>
  <c r="H2" i="28"/>
  <c r="P812" i="27" a="1"/>
  <c r="P812" i="27" s="1"/>
  <c r="P803" i="27" a="1"/>
  <c r="P803" i="27" s="1"/>
  <c r="P794" i="27" a="1"/>
  <c r="P794" i="27" s="1"/>
  <c r="P785" i="27" a="1"/>
  <c r="P785" i="27" s="1"/>
  <c r="P776" i="27" a="1"/>
  <c r="P776" i="27" s="1"/>
  <c r="P767" i="27" a="1"/>
  <c r="P767" i="27" s="1"/>
  <c r="P758" i="27" a="1"/>
  <c r="P758" i="27" s="1"/>
  <c r="P749" i="27" a="1"/>
  <c r="P749" i="27" s="1"/>
  <c r="P740" i="27" a="1"/>
  <c r="P740" i="27" s="1"/>
  <c r="P731" i="27" a="1"/>
  <c r="P731" i="27" s="1"/>
  <c r="P722" i="27" a="1"/>
  <c r="P722" i="27" s="1"/>
  <c r="P713" i="27" a="1"/>
  <c r="P713" i="27" s="1"/>
  <c r="P704" i="27" a="1"/>
  <c r="P704" i="27" s="1"/>
  <c r="P695" i="27" a="1"/>
  <c r="P695" i="27" s="1"/>
  <c r="P686" i="27" a="1"/>
  <c r="P686" i="27" s="1"/>
  <c r="P677" i="27" a="1"/>
  <c r="P677" i="27" s="1"/>
  <c r="P668" i="27" a="1"/>
  <c r="P668" i="27" s="1"/>
  <c r="P659" i="27" a="1"/>
  <c r="P659" i="27" s="1"/>
  <c r="P650" i="27" a="1"/>
  <c r="P650" i="27" s="1"/>
  <c r="P641" i="27" a="1"/>
  <c r="P641" i="27" s="1"/>
  <c r="P632" i="27" a="1"/>
  <c r="P632" i="27" s="1"/>
  <c r="P623" i="27" a="1"/>
  <c r="P623" i="27" s="1"/>
  <c r="P614" i="27" a="1"/>
  <c r="P614" i="27" s="1"/>
  <c r="P605" i="27" a="1"/>
  <c r="P605" i="27" s="1"/>
  <c r="P596" i="27" a="1"/>
  <c r="P596" i="27" s="1"/>
  <c r="P587" i="27" a="1"/>
  <c r="P587" i="27" s="1"/>
  <c r="P578" i="27" a="1"/>
  <c r="P578" i="27" s="1"/>
  <c r="P569" i="27" a="1"/>
  <c r="P569" i="27" s="1"/>
  <c r="P560" i="27" a="1"/>
  <c r="P560" i="27" s="1"/>
  <c r="P551" i="27" a="1"/>
  <c r="P551" i="27" s="1"/>
  <c r="P542" i="27" a="1"/>
  <c r="P542" i="27" s="1"/>
  <c r="P533" i="27" a="1"/>
  <c r="P533" i="27" s="1"/>
  <c r="P524" i="27" a="1"/>
  <c r="P524" i="27" s="1"/>
  <c r="P515" i="27" a="1"/>
  <c r="P515" i="27" s="1"/>
  <c r="P506" i="27" a="1"/>
  <c r="P506" i="27" s="1"/>
  <c r="P497" i="27" a="1"/>
  <c r="P497" i="27" s="1"/>
  <c r="P488" i="27" a="1"/>
  <c r="P488" i="27" s="1"/>
  <c r="P479" i="27" a="1"/>
  <c r="P479" i="27" s="1"/>
  <c r="P470" i="27" a="1"/>
  <c r="P470" i="27" s="1"/>
  <c r="P461" i="27" a="1"/>
  <c r="P461" i="27" s="1"/>
  <c r="P452" i="27" a="1"/>
  <c r="P452" i="27" s="1"/>
  <c r="P443" i="27" a="1"/>
  <c r="P443" i="27" s="1"/>
  <c r="P434" i="27" a="1"/>
  <c r="P434" i="27" s="1"/>
  <c r="P425" i="27" a="1"/>
  <c r="P425" i="27" s="1"/>
  <c r="P416" i="27" a="1"/>
  <c r="P416" i="27" s="1"/>
  <c r="P407" i="27" a="1"/>
  <c r="P407" i="27" s="1"/>
  <c r="P398" i="27" a="1"/>
  <c r="P398" i="27" s="1"/>
  <c r="P389" i="27" a="1"/>
  <c r="P389" i="27" s="1"/>
  <c r="P380" i="27" a="1"/>
  <c r="P380" i="27" s="1"/>
  <c r="P371" i="27" a="1"/>
  <c r="P371" i="27" s="1"/>
  <c r="P362" i="27" a="1"/>
  <c r="P362" i="27" s="1"/>
  <c r="P353" i="27" a="1"/>
  <c r="P353" i="27" s="1"/>
  <c r="P344" i="27" a="1"/>
  <c r="P344" i="27" s="1"/>
  <c r="P335" i="27" a="1"/>
  <c r="P335" i="27" s="1"/>
  <c r="P326" i="27" a="1"/>
  <c r="P326" i="27" s="1"/>
  <c r="P317" i="27" a="1"/>
  <c r="P317" i="27" s="1"/>
  <c r="P308" i="27" a="1"/>
  <c r="P308" i="27" s="1"/>
  <c r="P299" i="27" a="1"/>
  <c r="P299" i="27" s="1"/>
  <c r="P290" i="27" a="1"/>
  <c r="P290" i="27" s="1"/>
  <c r="P281" i="27" a="1"/>
  <c r="P281" i="27" s="1"/>
  <c r="P272" i="27" a="1"/>
  <c r="P272" i="27" s="1"/>
  <c r="P263" i="27" a="1"/>
  <c r="P263" i="27" s="1"/>
  <c r="P254" i="27" a="1"/>
  <c r="P254" i="27" s="1"/>
  <c r="P245" i="27" a="1"/>
  <c r="P245" i="27" s="1"/>
  <c r="P236" i="27" a="1"/>
  <c r="P236" i="27" s="1"/>
  <c r="P227" i="27" a="1"/>
  <c r="P227" i="27" s="1"/>
  <c r="P218" i="27" a="1"/>
  <c r="P218" i="27" s="1"/>
  <c r="P209" i="27" a="1"/>
  <c r="P209" i="27" s="1"/>
  <c r="P200" i="27" a="1"/>
  <c r="P200" i="27" s="1"/>
  <c r="P191" i="27" a="1"/>
  <c r="P191" i="27" s="1"/>
  <c r="P182" i="27" a="1"/>
  <c r="P182" i="27" s="1"/>
  <c r="P173" i="27" a="1"/>
  <c r="P173" i="27" s="1"/>
  <c r="P164" i="27" a="1"/>
  <c r="P164" i="27" s="1"/>
  <c r="P155" i="27" a="1"/>
  <c r="P155" i="27" s="1"/>
  <c r="P146" i="27" a="1"/>
  <c r="P146" i="27" s="1"/>
  <c r="P137" i="27" a="1"/>
  <c r="P137" i="27" s="1"/>
  <c r="P128" i="27" a="1"/>
  <c r="P128" i="27" s="1"/>
  <c r="P119" i="27" a="1"/>
  <c r="P119" i="27" s="1"/>
  <c r="P110" i="27" a="1"/>
  <c r="P110" i="27" s="1"/>
  <c r="P101" i="27" a="1"/>
  <c r="P101" i="27" s="1"/>
  <c r="P92" i="27" a="1"/>
  <c r="P92" i="27" s="1"/>
  <c r="P83" i="27" a="1"/>
  <c r="P83" i="27" s="1"/>
  <c r="P74" i="27" a="1"/>
  <c r="P74" i="27" s="1"/>
  <c r="P65" i="27" a="1"/>
  <c r="P65" i="27" s="1"/>
  <c r="P56" i="27" a="1"/>
  <c r="P56" i="27" s="1"/>
  <c r="P47" i="27" a="1"/>
  <c r="P47" i="27" s="1"/>
  <c r="P38" i="27" a="1"/>
  <c r="P38" i="27" s="1"/>
  <c r="P29" i="27" a="1"/>
  <c r="P29" i="27" s="1"/>
  <c r="P20" i="27" a="1"/>
  <c r="P20" i="27" s="1"/>
  <c r="P11" i="27" a="1"/>
  <c r="P11" i="27" s="1"/>
  <c r="P2" i="27" a="1"/>
  <c r="P2" i="27" s="1"/>
  <c r="AQ51" i="6"/>
  <c r="AP51" i="6"/>
  <c r="AO51" i="6"/>
  <c r="BF12" i="13"/>
  <c r="BE12" i="13"/>
  <c r="BD12" i="13"/>
  <c r="BC12" i="13"/>
  <c r="BB12" i="13"/>
  <c r="BA12" i="13"/>
  <c r="BC4" i="13"/>
  <c r="BB4" i="13"/>
  <c r="BA17" i="13"/>
  <c r="BA13" i="13"/>
  <c r="BA14" i="13"/>
  <c r="BA15" i="13"/>
  <c r="BA16" i="13"/>
  <c r="BA4" i="13"/>
  <c r="BE4" i="13"/>
  <c r="BD4" i="13"/>
  <c r="BB5" i="13"/>
  <c r="BB6" i="13"/>
  <c r="BB7" i="13"/>
  <c r="BB8" i="13"/>
  <c r="BB9" i="13"/>
  <c r="BA5" i="13"/>
  <c r="BA6" i="13"/>
  <c r="BA7" i="13"/>
  <c r="BA8" i="13"/>
  <c r="BA9" i="13"/>
  <c r="AN23" i="13"/>
  <c r="AS38" i="6"/>
  <c r="AS39" i="6"/>
  <c r="AS40" i="6"/>
  <c r="AS41" i="6"/>
  <c r="AS42" i="6"/>
  <c r="AS43" i="6"/>
  <c r="AS44" i="6"/>
  <c r="AS45" i="6"/>
  <c r="AS37" i="6"/>
  <c r="AK56" i="6"/>
  <c r="AK55" i="6"/>
  <c r="AK54" i="6"/>
  <c r="AK53" i="6"/>
  <c r="AK52" i="6"/>
  <c r="AK51" i="6"/>
  <c r="AK50" i="6"/>
  <c r="AK49" i="6"/>
  <c r="AK57" i="6"/>
  <c r="AK14" i="6"/>
  <c r="AK13" i="6"/>
  <c r="AK12" i="6"/>
  <c r="AK11" i="6"/>
  <c r="AK10" i="6"/>
  <c r="AK9" i="6"/>
  <c r="AK8" i="6"/>
  <c r="AK7" i="6"/>
  <c r="AP49" i="13"/>
  <c r="AP50" i="13"/>
  <c r="AP51" i="13"/>
  <c r="AP52" i="13"/>
  <c r="AP53" i="13"/>
  <c r="AP48" i="13"/>
  <c r="AO49" i="13"/>
  <c r="AO50" i="13"/>
  <c r="AO51" i="13"/>
  <c r="AO52" i="13"/>
  <c r="AO53" i="13"/>
  <c r="AO48" i="13"/>
  <c r="AK49" i="13"/>
  <c r="AL49" i="13"/>
  <c r="AK50" i="13"/>
  <c r="AL50" i="13"/>
  <c r="AK51" i="13"/>
  <c r="AL51" i="13"/>
  <c r="AK52" i="13"/>
  <c r="AL52" i="13"/>
  <c r="AK53" i="13"/>
  <c r="AL53" i="13"/>
  <c r="AL48" i="13"/>
  <c r="AK48" i="13"/>
  <c r="AF49" i="13"/>
  <c r="AF50" i="13"/>
  <c r="AF51" i="13"/>
  <c r="AF52" i="13"/>
  <c r="AF53" i="13"/>
  <c r="AF48" i="13"/>
  <c r="AF23" i="13"/>
  <c r="AG49" i="13"/>
  <c r="AG50" i="13"/>
  <c r="AG51" i="13"/>
  <c r="AG52" i="13"/>
  <c r="AG53" i="13"/>
  <c r="AG48" i="13"/>
  <c r="AF31" i="13"/>
  <c r="AF24" i="13"/>
  <c r="AF32" i="13"/>
  <c r="AG32" i="13"/>
  <c r="AH32" i="13"/>
  <c r="AI32" i="13"/>
  <c r="AJ32" i="13"/>
  <c r="AK32" i="13"/>
  <c r="AL32" i="13"/>
  <c r="AM32" i="13"/>
  <c r="AN32" i="13"/>
  <c r="AF33" i="13"/>
  <c r="AG33" i="13"/>
  <c r="AH33" i="13"/>
  <c r="AI33" i="13"/>
  <c r="AJ33" i="13"/>
  <c r="AK33" i="13"/>
  <c r="AL33" i="13"/>
  <c r="AM33" i="13"/>
  <c r="AN33" i="13"/>
  <c r="AF34" i="13"/>
  <c r="AG34" i="13"/>
  <c r="AH34" i="13"/>
  <c r="AI34" i="13"/>
  <c r="AJ34" i="13"/>
  <c r="AK34" i="13"/>
  <c r="AL34" i="13"/>
  <c r="AM34" i="13"/>
  <c r="AN34" i="13"/>
  <c r="AF35" i="13"/>
  <c r="AG35" i="13"/>
  <c r="AH35" i="13"/>
  <c r="AI35" i="13"/>
  <c r="AJ35" i="13"/>
  <c r="AK35" i="13"/>
  <c r="AL35" i="13"/>
  <c r="AM35" i="13"/>
  <c r="AN35" i="13"/>
  <c r="AF36" i="13"/>
  <c r="AG36" i="13"/>
  <c r="AH36" i="13"/>
  <c r="AI36" i="13"/>
  <c r="AJ36" i="13"/>
  <c r="AK36" i="13"/>
  <c r="AL36" i="13"/>
  <c r="AM36" i="13"/>
  <c r="AN36" i="13"/>
  <c r="AG31" i="13"/>
  <c r="AH31" i="13"/>
  <c r="AI31" i="13"/>
  <c r="AJ31" i="13"/>
  <c r="AK31" i="13"/>
  <c r="AL31" i="13"/>
  <c r="AM31" i="13"/>
  <c r="AN31" i="13"/>
  <c r="AP23" i="13"/>
  <c r="AH25" i="13"/>
  <c r="U10" i="14" a="1"/>
  <c r="U10" i="14" s="1"/>
  <c r="U9" i="14" a="1"/>
  <c r="U9" i="14" s="1"/>
  <c r="U8" i="14" a="1"/>
  <c r="U8" i="14" s="1"/>
  <c r="U7" i="14" a="1"/>
  <c r="U7" i="14" s="1"/>
  <c r="U6" i="14" a="1"/>
  <c r="U6" i="14" s="1"/>
  <c r="U5" i="14" a="1"/>
  <c r="U5" i="14" s="1"/>
  <c r="U4" i="14" a="1"/>
  <c r="U4" i="14" s="1"/>
  <c r="U3" i="14" a="1"/>
  <c r="U3" i="14" s="1"/>
  <c r="AI14" i="13"/>
  <c r="AK14" i="13"/>
  <c r="AG15" i="13"/>
  <c r="AH15" i="13"/>
  <c r="AK15" i="13"/>
  <c r="AG16" i="13"/>
  <c r="AK16" i="13"/>
  <c r="AH18" i="13"/>
  <c r="AI18" i="13"/>
  <c r="AL18" i="13"/>
  <c r="AG20" i="13"/>
  <c r="AH20" i="13"/>
  <c r="AI20" i="13"/>
  <c r="AK20" i="13"/>
  <c r="AL20" i="13"/>
  <c r="AF17" i="13"/>
  <c r="AP36" i="13" s="1"/>
  <c r="AJ5" i="13"/>
  <c r="AK5" i="13"/>
  <c r="AH6" i="13"/>
  <c r="AI6" i="13"/>
  <c r="AJ6" i="13"/>
  <c r="AL7" i="13"/>
  <c r="AH8" i="13"/>
  <c r="AI8" i="13"/>
  <c r="AJ8" i="13"/>
  <c r="AJ10" i="13"/>
  <c r="AF9" i="13"/>
  <c r="AF6" i="13"/>
  <c r="T20" i="6"/>
  <c r="D15" i="6"/>
  <c r="E23" i="12"/>
  <c r="W26" i="13"/>
  <c r="AB8" i="13"/>
  <c r="X10" i="13"/>
  <c r="AA10" i="13"/>
  <c r="AB10" i="13"/>
  <c r="V8" i="13"/>
  <c r="D2" i="16"/>
  <c r="L185" i="16"/>
  <c r="K185" i="16"/>
  <c r="J185" i="16"/>
  <c r="I185" i="16"/>
  <c r="H185" i="16"/>
  <c r="G185" i="16"/>
  <c r="F185" i="16"/>
  <c r="E185" i="16"/>
  <c r="D185" i="16"/>
  <c r="L177" i="16"/>
  <c r="K177" i="16"/>
  <c r="J177" i="16"/>
  <c r="I177" i="16"/>
  <c r="H177" i="16"/>
  <c r="G177" i="16"/>
  <c r="F177" i="16"/>
  <c r="E177" i="16"/>
  <c r="D177" i="16"/>
  <c r="L170" i="16"/>
  <c r="K170" i="16"/>
  <c r="J170" i="16"/>
  <c r="I170" i="16"/>
  <c r="H170" i="16"/>
  <c r="G170" i="16"/>
  <c r="F170" i="16"/>
  <c r="E170" i="16"/>
  <c r="D170" i="16"/>
  <c r="L162" i="16"/>
  <c r="K162" i="16"/>
  <c r="J162" i="16"/>
  <c r="I162" i="16"/>
  <c r="H162" i="16"/>
  <c r="G162" i="16"/>
  <c r="F162" i="16"/>
  <c r="E162" i="16"/>
  <c r="D162" i="16"/>
  <c r="L155" i="16"/>
  <c r="K155" i="16"/>
  <c r="J155" i="16"/>
  <c r="I155" i="16"/>
  <c r="H155" i="16"/>
  <c r="Z7" i="16" s="1"/>
  <c r="G155" i="16"/>
  <c r="F155" i="16"/>
  <c r="E155" i="16"/>
  <c r="D155" i="16"/>
  <c r="L147" i="16"/>
  <c r="K147" i="16"/>
  <c r="J147" i="16"/>
  <c r="I147" i="16"/>
  <c r="H147" i="16"/>
  <c r="G147" i="16"/>
  <c r="F147" i="16"/>
  <c r="E147" i="16"/>
  <c r="D147" i="16"/>
  <c r="L140" i="16"/>
  <c r="K140" i="16"/>
  <c r="J140" i="16"/>
  <c r="I140" i="16"/>
  <c r="H140" i="16"/>
  <c r="G140" i="16"/>
  <c r="F140" i="16"/>
  <c r="E140" i="16"/>
  <c r="D140" i="16"/>
  <c r="L132" i="16"/>
  <c r="K132" i="16"/>
  <c r="J132" i="16"/>
  <c r="I132" i="16"/>
  <c r="H132" i="16"/>
  <c r="G132" i="16"/>
  <c r="F132" i="16"/>
  <c r="E132" i="16"/>
  <c r="D132" i="16"/>
  <c r="L125" i="16"/>
  <c r="AD7" i="16" s="1"/>
  <c r="K125" i="16"/>
  <c r="J125" i="16"/>
  <c r="I125" i="16"/>
  <c r="H125" i="16"/>
  <c r="G125" i="16"/>
  <c r="Y7" i="16" s="1"/>
  <c r="F125" i="16"/>
  <c r="E125" i="16"/>
  <c r="D125" i="16"/>
  <c r="L117" i="16"/>
  <c r="K117" i="16"/>
  <c r="J117" i="16"/>
  <c r="I117" i="16"/>
  <c r="H117" i="16"/>
  <c r="G117" i="16"/>
  <c r="F117" i="16"/>
  <c r="E117" i="16"/>
  <c r="W7" i="16" s="1"/>
  <c r="D117" i="16"/>
  <c r="E110" i="16"/>
  <c r="F110" i="16"/>
  <c r="G110" i="16"/>
  <c r="H110" i="16"/>
  <c r="I110" i="16"/>
  <c r="J110" i="16"/>
  <c r="K110" i="16"/>
  <c r="AC7" i="16" s="1"/>
  <c r="L110" i="16"/>
  <c r="D110" i="16"/>
  <c r="E102" i="16"/>
  <c r="F102" i="16"/>
  <c r="X7" i="16" s="1"/>
  <c r="G102" i="16"/>
  <c r="H102" i="16"/>
  <c r="I102" i="16"/>
  <c r="AA7" i="16" s="1"/>
  <c r="J102" i="16"/>
  <c r="AB7" i="16" s="1"/>
  <c r="K102" i="16"/>
  <c r="L102" i="16"/>
  <c r="D102" i="16"/>
  <c r="V7" i="16" s="1"/>
  <c r="D3" i="16"/>
  <c r="E3" i="16"/>
  <c r="F3" i="16"/>
  <c r="G3" i="16"/>
  <c r="H3" i="16"/>
  <c r="I3" i="16"/>
  <c r="J3" i="16"/>
  <c r="K3" i="16"/>
  <c r="L3" i="16"/>
  <c r="D4" i="16"/>
  <c r="E4" i="16"/>
  <c r="F4" i="16"/>
  <c r="G4" i="16"/>
  <c r="H4" i="16"/>
  <c r="I4" i="16"/>
  <c r="J4" i="16"/>
  <c r="K4" i="16"/>
  <c r="L4" i="16"/>
  <c r="D5" i="16"/>
  <c r="E5" i="16"/>
  <c r="F5" i="16"/>
  <c r="G5" i="16"/>
  <c r="H5" i="16"/>
  <c r="I5" i="16"/>
  <c r="J5" i="16"/>
  <c r="K5" i="16"/>
  <c r="L5" i="16"/>
  <c r="D6" i="16"/>
  <c r="E6" i="16"/>
  <c r="F6" i="16"/>
  <c r="G6" i="16"/>
  <c r="H6" i="16"/>
  <c r="I6" i="16"/>
  <c r="J6" i="16"/>
  <c r="K6" i="16"/>
  <c r="L6" i="16"/>
  <c r="D7" i="16"/>
  <c r="E7" i="16"/>
  <c r="F7" i="16"/>
  <c r="G7" i="16"/>
  <c r="H7" i="16"/>
  <c r="I7" i="16"/>
  <c r="J7" i="16"/>
  <c r="K7" i="16"/>
  <c r="L7" i="16"/>
  <c r="D8" i="16"/>
  <c r="E8" i="16"/>
  <c r="F8" i="16"/>
  <c r="G8" i="16"/>
  <c r="H8" i="16"/>
  <c r="I8" i="16"/>
  <c r="J8" i="16"/>
  <c r="K8" i="16"/>
  <c r="L8" i="16"/>
  <c r="D9" i="16"/>
  <c r="E9" i="16"/>
  <c r="F9" i="16"/>
  <c r="G9" i="16"/>
  <c r="H9" i="16"/>
  <c r="I9" i="16"/>
  <c r="J9" i="16"/>
  <c r="K9" i="16"/>
  <c r="L9" i="16"/>
  <c r="D10" i="16"/>
  <c r="E10" i="16"/>
  <c r="F10" i="16"/>
  <c r="G10" i="16"/>
  <c r="H10" i="16"/>
  <c r="I10" i="16"/>
  <c r="J10" i="16"/>
  <c r="K10" i="16"/>
  <c r="L10" i="16"/>
  <c r="D11" i="16"/>
  <c r="E11" i="16"/>
  <c r="F11" i="16"/>
  <c r="G11" i="16"/>
  <c r="H11" i="16"/>
  <c r="I11" i="16"/>
  <c r="J11" i="16"/>
  <c r="K11" i="16"/>
  <c r="L11" i="16"/>
  <c r="D12" i="16"/>
  <c r="E12" i="16"/>
  <c r="F12" i="16"/>
  <c r="G12" i="16"/>
  <c r="H12" i="16"/>
  <c r="I12" i="16"/>
  <c r="J12" i="16"/>
  <c r="K12" i="16"/>
  <c r="L12" i="16"/>
  <c r="D13" i="16"/>
  <c r="E13" i="16"/>
  <c r="F13" i="16"/>
  <c r="G13" i="16"/>
  <c r="H13" i="16"/>
  <c r="I13" i="16"/>
  <c r="J13" i="16"/>
  <c r="K13" i="16"/>
  <c r="L13" i="16"/>
  <c r="D14" i="16"/>
  <c r="E14" i="16"/>
  <c r="F14" i="16"/>
  <c r="G14" i="16"/>
  <c r="H14" i="16"/>
  <c r="I14" i="16"/>
  <c r="J14" i="16"/>
  <c r="K14" i="16"/>
  <c r="L14" i="16"/>
  <c r="D15" i="16"/>
  <c r="E15" i="16"/>
  <c r="F15" i="16"/>
  <c r="G15" i="16"/>
  <c r="H15" i="16"/>
  <c r="I15" i="16"/>
  <c r="J15" i="16"/>
  <c r="K15" i="16"/>
  <c r="L15" i="16"/>
  <c r="D16" i="16"/>
  <c r="E16" i="16"/>
  <c r="F16" i="16"/>
  <c r="G16" i="16"/>
  <c r="H16" i="16"/>
  <c r="I16" i="16"/>
  <c r="J16" i="16"/>
  <c r="K16" i="16"/>
  <c r="L16" i="16"/>
  <c r="D17" i="16"/>
  <c r="E17" i="16"/>
  <c r="F17" i="16"/>
  <c r="G17" i="16"/>
  <c r="H17" i="16"/>
  <c r="I17" i="16"/>
  <c r="J17" i="16"/>
  <c r="K17" i="16"/>
  <c r="L17" i="16"/>
  <c r="D18" i="16"/>
  <c r="E18" i="16"/>
  <c r="F18" i="16"/>
  <c r="G18" i="16"/>
  <c r="H18" i="16"/>
  <c r="I18" i="16"/>
  <c r="J18" i="16"/>
  <c r="K18" i="16"/>
  <c r="L18" i="16"/>
  <c r="D19" i="16"/>
  <c r="E19" i="16"/>
  <c r="F19" i="16"/>
  <c r="G19" i="16"/>
  <c r="H19" i="16"/>
  <c r="I19" i="16"/>
  <c r="J19" i="16"/>
  <c r="K19" i="16"/>
  <c r="L19" i="16"/>
  <c r="D20" i="16"/>
  <c r="E20" i="16"/>
  <c r="F20" i="16"/>
  <c r="G20" i="16"/>
  <c r="H20" i="16"/>
  <c r="I20" i="16"/>
  <c r="J20" i="16"/>
  <c r="K20" i="16"/>
  <c r="L20" i="16"/>
  <c r="D21" i="16"/>
  <c r="E21" i="16"/>
  <c r="F21" i="16"/>
  <c r="G21" i="16"/>
  <c r="H21" i="16"/>
  <c r="I21" i="16"/>
  <c r="J21" i="16"/>
  <c r="K21" i="16"/>
  <c r="L21" i="16"/>
  <c r="D22" i="16"/>
  <c r="E22" i="16"/>
  <c r="F22" i="16"/>
  <c r="G22" i="16"/>
  <c r="H22" i="16"/>
  <c r="I22" i="16"/>
  <c r="J22" i="16"/>
  <c r="K22" i="16"/>
  <c r="L22" i="16"/>
  <c r="D23" i="16"/>
  <c r="E23" i="16"/>
  <c r="F23" i="16"/>
  <c r="G23" i="16"/>
  <c r="H23" i="16"/>
  <c r="I23" i="16"/>
  <c r="J23" i="16"/>
  <c r="K23" i="16"/>
  <c r="L23" i="16"/>
  <c r="D24" i="16"/>
  <c r="E24" i="16"/>
  <c r="F24" i="16"/>
  <c r="G24" i="16"/>
  <c r="H24" i="16"/>
  <c r="I24" i="16"/>
  <c r="J24" i="16"/>
  <c r="K24" i="16"/>
  <c r="L24" i="16"/>
  <c r="D25" i="16"/>
  <c r="E25" i="16"/>
  <c r="F25" i="16"/>
  <c r="G25" i="16"/>
  <c r="H25" i="16"/>
  <c r="I25" i="16"/>
  <c r="J25" i="16"/>
  <c r="K25" i="16"/>
  <c r="L25" i="16"/>
  <c r="D26" i="16"/>
  <c r="E26" i="16"/>
  <c r="F26" i="16"/>
  <c r="G26" i="16"/>
  <c r="H26" i="16"/>
  <c r="I26" i="16"/>
  <c r="J26" i="16"/>
  <c r="K26" i="16"/>
  <c r="L26" i="16"/>
  <c r="D27" i="16"/>
  <c r="E27" i="16"/>
  <c r="F27" i="16"/>
  <c r="G27" i="16"/>
  <c r="H27" i="16"/>
  <c r="I27" i="16"/>
  <c r="J27" i="16"/>
  <c r="K27" i="16"/>
  <c r="L27" i="16"/>
  <c r="D28" i="16"/>
  <c r="E28" i="16"/>
  <c r="F28" i="16"/>
  <c r="G28" i="16"/>
  <c r="H28" i="16"/>
  <c r="I28" i="16"/>
  <c r="J28" i="16"/>
  <c r="K28" i="16"/>
  <c r="L28" i="16"/>
  <c r="D29" i="16"/>
  <c r="E29" i="16"/>
  <c r="F29" i="16"/>
  <c r="G29" i="16"/>
  <c r="H29" i="16"/>
  <c r="I29" i="16"/>
  <c r="J29" i="16"/>
  <c r="K29" i="16"/>
  <c r="L29" i="16"/>
  <c r="D30" i="16"/>
  <c r="E30" i="16"/>
  <c r="F30" i="16"/>
  <c r="G30" i="16"/>
  <c r="H30" i="16"/>
  <c r="I30" i="16"/>
  <c r="J30" i="16"/>
  <c r="K30" i="16"/>
  <c r="L30" i="16"/>
  <c r="D31" i="16"/>
  <c r="E31" i="16"/>
  <c r="F31" i="16"/>
  <c r="G31" i="16"/>
  <c r="H31" i="16"/>
  <c r="I31" i="16"/>
  <c r="J31" i="16"/>
  <c r="K31" i="16"/>
  <c r="L31" i="16"/>
  <c r="D32" i="16"/>
  <c r="E32" i="16"/>
  <c r="F32" i="16"/>
  <c r="G32" i="16"/>
  <c r="H32" i="16"/>
  <c r="I32" i="16"/>
  <c r="J32" i="16"/>
  <c r="K32" i="16"/>
  <c r="L32" i="16"/>
  <c r="D33" i="16"/>
  <c r="E33" i="16"/>
  <c r="F33" i="16"/>
  <c r="G33" i="16"/>
  <c r="H33" i="16"/>
  <c r="I33" i="16"/>
  <c r="J33" i="16"/>
  <c r="K33" i="16"/>
  <c r="L33" i="16"/>
  <c r="D34" i="16"/>
  <c r="E34" i="16"/>
  <c r="F34" i="16"/>
  <c r="G34" i="16"/>
  <c r="H34" i="16"/>
  <c r="I34" i="16"/>
  <c r="J34" i="16"/>
  <c r="K34" i="16"/>
  <c r="L34" i="16"/>
  <c r="D35" i="16"/>
  <c r="E35" i="16"/>
  <c r="F35" i="16"/>
  <c r="G35" i="16"/>
  <c r="H35" i="16"/>
  <c r="I35" i="16"/>
  <c r="J35" i="16"/>
  <c r="K35" i="16"/>
  <c r="L35" i="16"/>
  <c r="D36" i="16"/>
  <c r="E36" i="16"/>
  <c r="F36" i="16"/>
  <c r="G36" i="16"/>
  <c r="H36" i="16"/>
  <c r="I36" i="16"/>
  <c r="J36" i="16"/>
  <c r="K36" i="16"/>
  <c r="L36" i="16"/>
  <c r="D37" i="16"/>
  <c r="E37" i="16"/>
  <c r="F37" i="16"/>
  <c r="G37" i="16"/>
  <c r="H37" i="16"/>
  <c r="I37" i="16"/>
  <c r="J37" i="16"/>
  <c r="K37" i="16"/>
  <c r="L37" i="16"/>
  <c r="D38" i="16"/>
  <c r="E38" i="16"/>
  <c r="F38" i="16"/>
  <c r="G38" i="16"/>
  <c r="H38" i="16"/>
  <c r="I38" i="16"/>
  <c r="J38" i="16"/>
  <c r="K38" i="16"/>
  <c r="L38" i="16"/>
  <c r="D39" i="16"/>
  <c r="E39" i="16"/>
  <c r="F39" i="16"/>
  <c r="G39" i="16"/>
  <c r="H39" i="16"/>
  <c r="I39" i="16"/>
  <c r="J39" i="16"/>
  <c r="K39" i="16"/>
  <c r="L39" i="16"/>
  <c r="D40" i="16"/>
  <c r="E40" i="16"/>
  <c r="F40" i="16"/>
  <c r="G40" i="16"/>
  <c r="H40" i="16"/>
  <c r="I40" i="16"/>
  <c r="J40" i="16"/>
  <c r="K40" i="16"/>
  <c r="L40" i="16"/>
  <c r="D41" i="16"/>
  <c r="E41" i="16"/>
  <c r="F41" i="16"/>
  <c r="G41" i="16"/>
  <c r="H41" i="16"/>
  <c r="I41" i="16"/>
  <c r="J41" i="16"/>
  <c r="K41" i="16"/>
  <c r="L41" i="16"/>
  <c r="D42" i="16"/>
  <c r="E42" i="16"/>
  <c r="F42" i="16"/>
  <c r="G42" i="16"/>
  <c r="H42" i="16"/>
  <c r="I42" i="16"/>
  <c r="J42" i="16"/>
  <c r="K42" i="16"/>
  <c r="L42" i="16"/>
  <c r="D43" i="16"/>
  <c r="E43" i="16"/>
  <c r="F43" i="16"/>
  <c r="G43" i="16"/>
  <c r="H43" i="16"/>
  <c r="I43" i="16"/>
  <c r="J43" i="16"/>
  <c r="K43" i="16"/>
  <c r="L43" i="16"/>
  <c r="D44" i="16"/>
  <c r="E44" i="16"/>
  <c r="F44" i="16"/>
  <c r="G44" i="16"/>
  <c r="H44" i="16"/>
  <c r="I44" i="16"/>
  <c r="J44" i="16"/>
  <c r="K44" i="16"/>
  <c r="L44" i="16"/>
  <c r="D45" i="16"/>
  <c r="E45" i="16"/>
  <c r="F45" i="16"/>
  <c r="G45" i="16"/>
  <c r="H45" i="16"/>
  <c r="I45" i="16"/>
  <c r="J45" i="16"/>
  <c r="K45" i="16"/>
  <c r="L45" i="16"/>
  <c r="D46" i="16"/>
  <c r="E46" i="16"/>
  <c r="F46" i="16"/>
  <c r="G46" i="16"/>
  <c r="H46" i="16"/>
  <c r="I46" i="16"/>
  <c r="J46" i="16"/>
  <c r="K46" i="16"/>
  <c r="L46" i="16"/>
  <c r="D47" i="16"/>
  <c r="E47" i="16"/>
  <c r="F47" i="16"/>
  <c r="G47" i="16"/>
  <c r="H47" i="16"/>
  <c r="I47" i="16"/>
  <c r="J47" i="16"/>
  <c r="K47" i="16"/>
  <c r="L47" i="16"/>
  <c r="D48" i="16"/>
  <c r="E48" i="16"/>
  <c r="F48" i="16"/>
  <c r="G48" i="16"/>
  <c r="H48" i="16"/>
  <c r="I48" i="16"/>
  <c r="J48" i="16"/>
  <c r="K48" i="16"/>
  <c r="L48" i="16"/>
  <c r="D49" i="16"/>
  <c r="E49" i="16"/>
  <c r="F49" i="16"/>
  <c r="G49" i="16"/>
  <c r="H49" i="16"/>
  <c r="I49" i="16"/>
  <c r="J49" i="16"/>
  <c r="K49" i="16"/>
  <c r="L49" i="16"/>
  <c r="D50" i="16"/>
  <c r="E50" i="16"/>
  <c r="F50" i="16"/>
  <c r="G50" i="16"/>
  <c r="H50" i="16"/>
  <c r="I50" i="16"/>
  <c r="J50" i="16"/>
  <c r="K50" i="16"/>
  <c r="L50" i="16"/>
  <c r="D51" i="16"/>
  <c r="E51" i="16"/>
  <c r="F51" i="16"/>
  <c r="G51" i="16"/>
  <c r="H51" i="16"/>
  <c r="I51" i="16"/>
  <c r="J51" i="16"/>
  <c r="K51" i="16"/>
  <c r="L51" i="16"/>
  <c r="D52" i="16"/>
  <c r="E52" i="16"/>
  <c r="F52" i="16"/>
  <c r="G52" i="16"/>
  <c r="H52" i="16"/>
  <c r="I52" i="16"/>
  <c r="J52" i="16"/>
  <c r="K52" i="16"/>
  <c r="L52" i="16"/>
  <c r="D53" i="16"/>
  <c r="E53" i="16"/>
  <c r="F53" i="16"/>
  <c r="G53" i="16"/>
  <c r="H53" i="16"/>
  <c r="I53" i="16"/>
  <c r="J53" i="16"/>
  <c r="K53" i="16"/>
  <c r="L53" i="16"/>
  <c r="D54" i="16"/>
  <c r="E54" i="16"/>
  <c r="F54" i="16"/>
  <c r="G54" i="16"/>
  <c r="H54" i="16"/>
  <c r="I54" i="16"/>
  <c r="J54" i="16"/>
  <c r="K54" i="16"/>
  <c r="L54" i="16"/>
  <c r="D55" i="16"/>
  <c r="E55" i="16"/>
  <c r="F55" i="16"/>
  <c r="G55" i="16"/>
  <c r="H55" i="16"/>
  <c r="I55" i="16"/>
  <c r="J55" i="16"/>
  <c r="K55" i="16"/>
  <c r="L55" i="16"/>
  <c r="D56" i="16"/>
  <c r="E56" i="16"/>
  <c r="F56" i="16"/>
  <c r="G56" i="16"/>
  <c r="H56" i="16"/>
  <c r="I56" i="16"/>
  <c r="J56" i="16"/>
  <c r="K56" i="16"/>
  <c r="L56" i="16"/>
  <c r="D57" i="16"/>
  <c r="E57" i="16"/>
  <c r="F57" i="16"/>
  <c r="G57" i="16"/>
  <c r="H57" i="16"/>
  <c r="I57" i="16"/>
  <c r="J57" i="16"/>
  <c r="K57" i="16"/>
  <c r="L57" i="16"/>
  <c r="D58" i="16"/>
  <c r="E58" i="16"/>
  <c r="F58" i="16"/>
  <c r="G58" i="16"/>
  <c r="H58" i="16"/>
  <c r="I58" i="16"/>
  <c r="J58" i="16"/>
  <c r="K58" i="16"/>
  <c r="L58" i="16"/>
  <c r="D59" i="16"/>
  <c r="E59" i="16"/>
  <c r="F59" i="16"/>
  <c r="G59" i="16"/>
  <c r="H59" i="16"/>
  <c r="I59" i="16"/>
  <c r="J59" i="16"/>
  <c r="K59" i="16"/>
  <c r="L59" i="16"/>
  <c r="D60" i="16"/>
  <c r="E60" i="16"/>
  <c r="F60" i="16"/>
  <c r="G60" i="16"/>
  <c r="H60" i="16"/>
  <c r="I60" i="16"/>
  <c r="J60" i="16"/>
  <c r="K60" i="16"/>
  <c r="L60" i="16"/>
  <c r="D61" i="16"/>
  <c r="E61" i="16"/>
  <c r="F61" i="16"/>
  <c r="G61" i="16"/>
  <c r="H61" i="16"/>
  <c r="I61" i="16"/>
  <c r="J61" i="16"/>
  <c r="K61" i="16"/>
  <c r="L61" i="16"/>
  <c r="D62" i="16"/>
  <c r="E62" i="16"/>
  <c r="F62" i="16"/>
  <c r="G62" i="16"/>
  <c r="H62" i="16"/>
  <c r="I62" i="16"/>
  <c r="J62" i="16"/>
  <c r="K62" i="16"/>
  <c r="L62" i="16"/>
  <c r="D63" i="16"/>
  <c r="E63" i="16"/>
  <c r="F63" i="16"/>
  <c r="G63" i="16"/>
  <c r="H63" i="16"/>
  <c r="I63" i="16"/>
  <c r="J63" i="16"/>
  <c r="K63" i="16"/>
  <c r="L63" i="16"/>
  <c r="D64" i="16"/>
  <c r="E64" i="16"/>
  <c r="F64" i="16"/>
  <c r="G64" i="16"/>
  <c r="H64" i="16"/>
  <c r="I64" i="16"/>
  <c r="J64" i="16"/>
  <c r="K64" i="16"/>
  <c r="L64" i="16"/>
  <c r="D65" i="16"/>
  <c r="E65" i="16"/>
  <c r="F65" i="16"/>
  <c r="G65" i="16"/>
  <c r="H65" i="16"/>
  <c r="I65" i="16"/>
  <c r="J65" i="16"/>
  <c r="K65" i="16"/>
  <c r="L65" i="16"/>
  <c r="D66" i="16"/>
  <c r="E66" i="16"/>
  <c r="F66" i="16"/>
  <c r="G66" i="16"/>
  <c r="H66" i="16"/>
  <c r="I66" i="16"/>
  <c r="J66" i="16"/>
  <c r="K66" i="16"/>
  <c r="L66" i="16"/>
  <c r="D67" i="16"/>
  <c r="E67" i="16"/>
  <c r="F67" i="16"/>
  <c r="G67" i="16"/>
  <c r="H67" i="16"/>
  <c r="I67" i="16"/>
  <c r="J67" i="16"/>
  <c r="K67" i="16"/>
  <c r="L67" i="16"/>
  <c r="D68" i="16"/>
  <c r="E68" i="16"/>
  <c r="F68" i="16"/>
  <c r="G68" i="16"/>
  <c r="H68" i="16"/>
  <c r="I68" i="16"/>
  <c r="J68" i="16"/>
  <c r="K68" i="16"/>
  <c r="L68" i="16"/>
  <c r="D69" i="16"/>
  <c r="E69" i="16"/>
  <c r="F69" i="16"/>
  <c r="G69" i="16"/>
  <c r="H69" i="16"/>
  <c r="I69" i="16"/>
  <c r="J69" i="16"/>
  <c r="K69" i="16"/>
  <c r="L69" i="16"/>
  <c r="D70" i="16"/>
  <c r="E70" i="16"/>
  <c r="F70" i="16"/>
  <c r="G70" i="16"/>
  <c r="H70" i="16"/>
  <c r="I70" i="16"/>
  <c r="J70" i="16"/>
  <c r="K70" i="16"/>
  <c r="L70" i="16"/>
  <c r="D71" i="16"/>
  <c r="E71" i="16"/>
  <c r="F71" i="16"/>
  <c r="G71" i="16"/>
  <c r="H71" i="16"/>
  <c r="I71" i="16"/>
  <c r="J71" i="16"/>
  <c r="K71" i="16"/>
  <c r="L71" i="16"/>
  <c r="D72" i="16"/>
  <c r="E72" i="16"/>
  <c r="F72" i="16"/>
  <c r="G72" i="16"/>
  <c r="H72" i="16"/>
  <c r="I72" i="16"/>
  <c r="J72" i="16"/>
  <c r="K72" i="16"/>
  <c r="L72" i="16"/>
  <c r="D73" i="16"/>
  <c r="E73" i="16"/>
  <c r="F73" i="16"/>
  <c r="G73" i="16"/>
  <c r="H73" i="16"/>
  <c r="I73" i="16"/>
  <c r="J73" i="16"/>
  <c r="K73" i="16"/>
  <c r="L73" i="16"/>
  <c r="D74" i="16"/>
  <c r="E74" i="16"/>
  <c r="F74" i="16"/>
  <c r="G74" i="16"/>
  <c r="H74" i="16"/>
  <c r="I74" i="16"/>
  <c r="J74" i="16"/>
  <c r="K74" i="16"/>
  <c r="L74" i="16"/>
  <c r="D75" i="16"/>
  <c r="E75" i="16"/>
  <c r="F75" i="16"/>
  <c r="G75" i="16"/>
  <c r="H75" i="16"/>
  <c r="I75" i="16"/>
  <c r="J75" i="16"/>
  <c r="K75" i="16"/>
  <c r="L75" i="16"/>
  <c r="D76" i="16"/>
  <c r="E76" i="16"/>
  <c r="F76" i="16"/>
  <c r="G76" i="16"/>
  <c r="H76" i="16"/>
  <c r="I76" i="16"/>
  <c r="J76" i="16"/>
  <c r="K76" i="16"/>
  <c r="L76" i="16"/>
  <c r="D77" i="16"/>
  <c r="E77" i="16"/>
  <c r="F77" i="16"/>
  <c r="G77" i="16"/>
  <c r="H77" i="16"/>
  <c r="I77" i="16"/>
  <c r="J77" i="16"/>
  <c r="K77" i="16"/>
  <c r="L77" i="16"/>
  <c r="D78" i="16"/>
  <c r="E78" i="16"/>
  <c r="F78" i="16"/>
  <c r="G78" i="16"/>
  <c r="H78" i="16"/>
  <c r="I78" i="16"/>
  <c r="J78" i="16"/>
  <c r="K78" i="16"/>
  <c r="L78" i="16"/>
  <c r="D79" i="16"/>
  <c r="E79" i="16"/>
  <c r="F79" i="16"/>
  <c r="G79" i="16"/>
  <c r="H79" i="16"/>
  <c r="I79" i="16"/>
  <c r="J79" i="16"/>
  <c r="K79" i="16"/>
  <c r="L79" i="16"/>
  <c r="E2" i="16"/>
  <c r="F2" i="16"/>
  <c r="G2" i="16"/>
  <c r="H2" i="16"/>
  <c r="I2" i="16"/>
  <c r="J2" i="16"/>
  <c r="K2" i="16"/>
  <c r="L2" i="16"/>
  <c r="D3" i="6"/>
  <c r="E3" i="6"/>
  <c r="F3" i="6"/>
  <c r="G3" i="6"/>
  <c r="H3" i="6"/>
  <c r="I3" i="6"/>
  <c r="J3" i="6"/>
  <c r="K3" i="6"/>
  <c r="L3" i="6"/>
  <c r="D4" i="6"/>
  <c r="E4" i="6"/>
  <c r="F4" i="6"/>
  <c r="G4" i="6"/>
  <c r="H4" i="6"/>
  <c r="I4" i="6"/>
  <c r="J4" i="6"/>
  <c r="K4" i="6"/>
  <c r="L4" i="6"/>
  <c r="D5" i="6"/>
  <c r="E5" i="6"/>
  <c r="F5" i="6"/>
  <c r="G5" i="6"/>
  <c r="H5" i="6"/>
  <c r="I5" i="6"/>
  <c r="J5" i="6"/>
  <c r="K5" i="6"/>
  <c r="L5" i="6"/>
  <c r="D6" i="6"/>
  <c r="E6" i="6"/>
  <c r="F6" i="6"/>
  <c r="G6" i="6"/>
  <c r="H6" i="6"/>
  <c r="I6" i="6"/>
  <c r="J6" i="6"/>
  <c r="K6" i="6"/>
  <c r="L6" i="6"/>
  <c r="D7" i="6"/>
  <c r="E7" i="6"/>
  <c r="F7" i="6"/>
  <c r="G7" i="6"/>
  <c r="H7" i="6"/>
  <c r="I7" i="6"/>
  <c r="J7" i="6"/>
  <c r="K7" i="6"/>
  <c r="L7" i="6"/>
  <c r="D8" i="6"/>
  <c r="E8" i="6"/>
  <c r="F8" i="6"/>
  <c r="G8" i="6"/>
  <c r="H8" i="6"/>
  <c r="I8" i="6"/>
  <c r="J8" i="6"/>
  <c r="K8" i="6"/>
  <c r="L8" i="6"/>
  <c r="D9" i="6"/>
  <c r="E9" i="6"/>
  <c r="F9" i="6"/>
  <c r="G9" i="6"/>
  <c r="H9" i="6"/>
  <c r="I9" i="6"/>
  <c r="J9" i="6"/>
  <c r="K9" i="6"/>
  <c r="L9" i="6"/>
  <c r="D10" i="6"/>
  <c r="E10" i="6"/>
  <c r="F10" i="6"/>
  <c r="G10" i="6"/>
  <c r="H10" i="6"/>
  <c r="I10" i="6"/>
  <c r="J10" i="6"/>
  <c r="K10" i="6"/>
  <c r="L10" i="6"/>
  <c r="D11" i="6"/>
  <c r="E11" i="6"/>
  <c r="F11" i="6"/>
  <c r="G11" i="6"/>
  <c r="H11" i="6"/>
  <c r="I11" i="6"/>
  <c r="J11" i="6"/>
  <c r="K11" i="6"/>
  <c r="L11" i="6"/>
  <c r="D12" i="6"/>
  <c r="E12" i="6"/>
  <c r="F12" i="6"/>
  <c r="G12" i="6"/>
  <c r="H12" i="6"/>
  <c r="I12" i="6"/>
  <c r="J12" i="6"/>
  <c r="K12" i="6"/>
  <c r="L12" i="6"/>
  <c r="D13" i="6"/>
  <c r="E13" i="6"/>
  <c r="F13" i="6"/>
  <c r="G13" i="6"/>
  <c r="H13" i="6"/>
  <c r="I13" i="6"/>
  <c r="J13" i="6"/>
  <c r="K13" i="6"/>
  <c r="L13" i="6"/>
  <c r="D14" i="6"/>
  <c r="E14" i="6"/>
  <c r="F14" i="6"/>
  <c r="G14" i="6"/>
  <c r="H14" i="6"/>
  <c r="I14" i="6"/>
  <c r="J14" i="6"/>
  <c r="K14" i="6"/>
  <c r="L14" i="6"/>
  <c r="E15" i="6"/>
  <c r="F15" i="6"/>
  <c r="G15" i="6"/>
  <c r="H15" i="6"/>
  <c r="I15" i="6"/>
  <c r="J15" i="6"/>
  <c r="K15" i="6"/>
  <c r="L15" i="6"/>
  <c r="D16" i="6"/>
  <c r="E16" i="6"/>
  <c r="F16" i="6"/>
  <c r="G16" i="6"/>
  <c r="H16" i="6"/>
  <c r="I16" i="6"/>
  <c r="J16" i="6"/>
  <c r="K16" i="6"/>
  <c r="L16" i="6"/>
  <c r="D17" i="6"/>
  <c r="E17" i="6"/>
  <c r="F17" i="6"/>
  <c r="G17" i="6"/>
  <c r="H17" i="6"/>
  <c r="I17" i="6"/>
  <c r="J17" i="6"/>
  <c r="K17" i="6"/>
  <c r="L17" i="6"/>
  <c r="D18" i="6"/>
  <c r="E18" i="6"/>
  <c r="F18" i="6"/>
  <c r="G18" i="6"/>
  <c r="H18" i="6"/>
  <c r="I18" i="6"/>
  <c r="J18" i="6"/>
  <c r="K18" i="6"/>
  <c r="L18" i="6"/>
  <c r="D19" i="6"/>
  <c r="E19" i="6"/>
  <c r="F19" i="6"/>
  <c r="G19" i="6"/>
  <c r="H19" i="6"/>
  <c r="I19" i="6"/>
  <c r="J19" i="6"/>
  <c r="K19" i="6"/>
  <c r="L19" i="6"/>
  <c r="D20" i="6"/>
  <c r="E20" i="6"/>
  <c r="F20" i="6"/>
  <c r="G20" i="6"/>
  <c r="H20" i="6"/>
  <c r="I20" i="6"/>
  <c r="J20" i="6"/>
  <c r="K20" i="6"/>
  <c r="L20" i="6"/>
  <c r="D21" i="6"/>
  <c r="E21" i="6"/>
  <c r="F21" i="6"/>
  <c r="G21" i="6"/>
  <c r="H21" i="6"/>
  <c r="I21" i="6"/>
  <c r="J21" i="6"/>
  <c r="K21" i="6"/>
  <c r="L21" i="6"/>
  <c r="D22" i="6"/>
  <c r="E22" i="6"/>
  <c r="F22" i="6"/>
  <c r="G22" i="6"/>
  <c r="H22" i="6"/>
  <c r="I22" i="6"/>
  <c r="J22" i="6"/>
  <c r="K22" i="6"/>
  <c r="L22" i="6"/>
  <c r="D23" i="6"/>
  <c r="E23" i="6"/>
  <c r="F23" i="6"/>
  <c r="G23" i="6"/>
  <c r="H23" i="6"/>
  <c r="I23" i="6"/>
  <c r="J23" i="6"/>
  <c r="K23" i="6"/>
  <c r="L23" i="6"/>
  <c r="D24" i="6"/>
  <c r="E24" i="6"/>
  <c r="F24" i="6"/>
  <c r="G24" i="6"/>
  <c r="H24" i="6"/>
  <c r="I24" i="6"/>
  <c r="J24" i="6"/>
  <c r="K24" i="6"/>
  <c r="L24" i="6"/>
  <c r="D25" i="6"/>
  <c r="E25" i="6"/>
  <c r="F25" i="6"/>
  <c r="G25" i="6"/>
  <c r="H25" i="6"/>
  <c r="I25" i="6"/>
  <c r="J25" i="6"/>
  <c r="K25" i="6"/>
  <c r="L25" i="6"/>
  <c r="D26" i="6"/>
  <c r="E26" i="6"/>
  <c r="F26" i="6"/>
  <c r="G26" i="6"/>
  <c r="H26" i="6"/>
  <c r="I26" i="6"/>
  <c r="J26" i="6"/>
  <c r="K26" i="6"/>
  <c r="L26" i="6"/>
  <c r="D27" i="6"/>
  <c r="E27" i="6"/>
  <c r="F27" i="6"/>
  <c r="G27" i="6"/>
  <c r="H27" i="6"/>
  <c r="I27" i="6"/>
  <c r="J27" i="6"/>
  <c r="K27" i="6"/>
  <c r="L27" i="6"/>
  <c r="D28" i="6"/>
  <c r="E28" i="6"/>
  <c r="F28" i="6"/>
  <c r="G28" i="6"/>
  <c r="H28" i="6"/>
  <c r="I28" i="6"/>
  <c r="J28" i="6"/>
  <c r="K28" i="6"/>
  <c r="L28" i="6"/>
  <c r="D29" i="6"/>
  <c r="E29" i="6"/>
  <c r="F29" i="6"/>
  <c r="G29" i="6"/>
  <c r="H29" i="6"/>
  <c r="I29" i="6"/>
  <c r="J29" i="6"/>
  <c r="K29" i="6"/>
  <c r="L29" i="6"/>
  <c r="D30" i="6"/>
  <c r="E30" i="6"/>
  <c r="F30" i="6"/>
  <c r="G30" i="6"/>
  <c r="H30" i="6"/>
  <c r="I30" i="6"/>
  <c r="J30" i="6"/>
  <c r="K30" i="6"/>
  <c r="L30" i="6"/>
  <c r="D31" i="6"/>
  <c r="E31" i="6"/>
  <c r="F31" i="6"/>
  <c r="G31" i="6"/>
  <c r="H31" i="6"/>
  <c r="I31" i="6"/>
  <c r="J31" i="6"/>
  <c r="K31" i="6"/>
  <c r="L31" i="6"/>
  <c r="D32" i="6"/>
  <c r="E32" i="6"/>
  <c r="F32" i="6"/>
  <c r="G32" i="6"/>
  <c r="H32" i="6"/>
  <c r="I32" i="6"/>
  <c r="J32" i="6"/>
  <c r="K32" i="6"/>
  <c r="L32" i="6"/>
  <c r="D33" i="6"/>
  <c r="E33" i="6"/>
  <c r="F33" i="6"/>
  <c r="G33" i="6"/>
  <c r="H33" i="6"/>
  <c r="I33" i="6"/>
  <c r="J33" i="6"/>
  <c r="K33" i="6"/>
  <c r="L33" i="6"/>
  <c r="D34" i="6"/>
  <c r="E34" i="6"/>
  <c r="F34" i="6"/>
  <c r="G34" i="6"/>
  <c r="H34" i="6"/>
  <c r="I34" i="6"/>
  <c r="J34" i="6"/>
  <c r="K34" i="6"/>
  <c r="L34" i="6"/>
  <c r="D35" i="6"/>
  <c r="E35" i="6"/>
  <c r="F35" i="6"/>
  <c r="G35" i="6"/>
  <c r="H35" i="6"/>
  <c r="I35" i="6"/>
  <c r="J35" i="6"/>
  <c r="K35" i="6"/>
  <c r="L35" i="6"/>
  <c r="D36" i="6"/>
  <c r="E36" i="6"/>
  <c r="F36" i="6"/>
  <c r="G36" i="6"/>
  <c r="H36" i="6"/>
  <c r="I36" i="6"/>
  <c r="J36" i="6"/>
  <c r="K36" i="6"/>
  <c r="L36" i="6"/>
  <c r="D37" i="6"/>
  <c r="E37" i="6"/>
  <c r="F37" i="6"/>
  <c r="G37" i="6"/>
  <c r="H37" i="6"/>
  <c r="I37" i="6"/>
  <c r="J37" i="6"/>
  <c r="K37" i="6"/>
  <c r="L37" i="6"/>
  <c r="D38" i="6"/>
  <c r="E38" i="6"/>
  <c r="F38" i="6"/>
  <c r="G38" i="6"/>
  <c r="H38" i="6"/>
  <c r="I38" i="6"/>
  <c r="J38" i="6"/>
  <c r="K38" i="6"/>
  <c r="L38" i="6"/>
  <c r="D39" i="6"/>
  <c r="E39" i="6"/>
  <c r="F39" i="6"/>
  <c r="G39" i="6"/>
  <c r="H39" i="6"/>
  <c r="I39" i="6"/>
  <c r="J39" i="6"/>
  <c r="K39" i="6"/>
  <c r="L39" i="6"/>
  <c r="D40" i="6"/>
  <c r="E40" i="6"/>
  <c r="F40" i="6"/>
  <c r="G40" i="6"/>
  <c r="H40" i="6"/>
  <c r="I40" i="6"/>
  <c r="J40" i="6"/>
  <c r="K40" i="6"/>
  <c r="L40" i="6"/>
  <c r="D41" i="6"/>
  <c r="E41" i="6"/>
  <c r="F41" i="6"/>
  <c r="G41" i="6"/>
  <c r="H41" i="6"/>
  <c r="I41" i="6"/>
  <c r="J41" i="6"/>
  <c r="K41" i="6"/>
  <c r="L41" i="6"/>
  <c r="D42" i="6"/>
  <c r="E42" i="6"/>
  <c r="F42" i="6"/>
  <c r="G42" i="6"/>
  <c r="H42" i="6"/>
  <c r="I42" i="6"/>
  <c r="J42" i="6"/>
  <c r="K42" i="6"/>
  <c r="L42" i="6"/>
  <c r="D43" i="6"/>
  <c r="E43" i="6"/>
  <c r="F43" i="6"/>
  <c r="G43" i="6"/>
  <c r="H43" i="6"/>
  <c r="I43" i="6"/>
  <c r="J43" i="6"/>
  <c r="K43" i="6"/>
  <c r="L43" i="6"/>
  <c r="D44" i="6"/>
  <c r="E44" i="6"/>
  <c r="F44" i="6"/>
  <c r="G44" i="6"/>
  <c r="H44" i="6"/>
  <c r="I44" i="6"/>
  <c r="J44" i="6"/>
  <c r="K44" i="6"/>
  <c r="L44" i="6"/>
  <c r="D45" i="6"/>
  <c r="E45" i="6"/>
  <c r="F45" i="6"/>
  <c r="G45" i="6"/>
  <c r="H45" i="6"/>
  <c r="I45" i="6"/>
  <c r="J45" i="6"/>
  <c r="K45" i="6"/>
  <c r="L45" i="6"/>
  <c r="D46" i="6"/>
  <c r="E46" i="6"/>
  <c r="F46" i="6"/>
  <c r="G46" i="6"/>
  <c r="H46" i="6"/>
  <c r="I46" i="6"/>
  <c r="J46" i="6"/>
  <c r="K46" i="6"/>
  <c r="L46" i="6"/>
  <c r="D47" i="6"/>
  <c r="E47" i="6"/>
  <c r="F47" i="6"/>
  <c r="G47" i="6"/>
  <c r="H47" i="6"/>
  <c r="I47" i="6"/>
  <c r="J47" i="6"/>
  <c r="K47" i="6"/>
  <c r="L47" i="6"/>
  <c r="D48" i="6"/>
  <c r="E48" i="6"/>
  <c r="F48" i="6"/>
  <c r="G48" i="6"/>
  <c r="H48" i="6"/>
  <c r="I48" i="6"/>
  <c r="J48" i="6"/>
  <c r="K48" i="6"/>
  <c r="L48" i="6"/>
  <c r="D49" i="6"/>
  <c r="E49" i="6"/>
  <c r="F49" i="6"/>
  <c r="G49" i="6"/>
  <c r="H49" i="6"/>
  <c r="I49" i="6"/>
  <c r="J49" i="6"/>
  <c r="K49" i="6"/>
  <c r="L49" i="6"/>
  <c r="D50" i="6"/>
  <c r="E50" i="6"/>
  <c r="F50" i="6"/>
  <c r="G50" i="6"/>
  <c r="H50" i="6"/>
  <c r="I50" i="6"/>
  <c r="J50" i="6"/>
  <c r="K50" i="6"/>
  <c r="L50" i="6"/>
  <c r="D51" i="6"/>
  <c r="E51" i="6"/>
  <c r="F51" i="6"/>
  <c r="G51" i="6"/>
  <c r="H51" i="6"/>
  <c r="I51" i="6"/>
  <c r="J51" i="6"/>
  <c r="K51" i="6"/>
  <c r="L51" i="6"/>
  <c r="D52" i="6"/>
  <c r="E52" i="6"/>
  <c r="F52" i="6"/>
  <c r="G52" i="6"/>
  <c r="H52" i="6"/>
  <c r="I52" i="6"/>
  <c r="J52" i="6"/>
  <c r="K52" i="6"/>
  <c r="L52" i="6"/>
  <c r="D53" i="6"/>
  <c r="E53" i="6"/>
  <c r="F53" i="6"/>
  <c r="G53" i="6"/>
  <c r="H53" i="6"/>
  <c r="I53" i="6"/>
  <c r="J53" i="6"/>
  <c r="K53" i="6"/>
  <c r="L53" i="6"/>
  <c r="D54" i="6"/>
  <c r="E54" i="6"/>
  <c r="F54" i="6"/>
  <c r="G54" i="6"/>
  <c r="H54" i="6"/>
  <c r="I54" i="6"/>
  <c r="J54" i="6"/>
  <c r="K54" i="6"/>
  <c r="L54" i="6"/>
  <c r="D55" i="6"/>
  <c r="E55" i="6"/>
  <c r="F55" i="6"/>
  <c r="G55" i="6"/>
  <c r="H55" i="6"/>
  <c r="I55" i="6"/>
  <c r="J55" i="6"/>
  <c r="K55" i="6"/>
  <c r="L55" i="6"/>
  <c r="D56" i="6"/>
  <c r="E56" i="6"/>
  <c r="F56" i="6"/>
  <c r="G56" i="6"/>
  <c r="H56" i="6"/>
  <c r="I56" i="6"/>
  <c r="J56" i="6"/>
  <c r="K56" i="6"/>
  <c r="L56" i="6"/>
  <c r="D57" i="6"/>
  <c r="E57" i="6"/>
  <c r="F57" i="6"/>
  <c r="G57" i="6"/>
  <c r="H57" i="6"/>
  <c r="I57" i="6"/>
  <c r="J57" i="6"/>
  <c r="K57" i="6"/>
  <c r="L57" i="6"/>
  <c r="D58" i="6"/>
  <c r="E58" i="6"/>
  <c r="F58" i="6"/>
  <c r="G58" i="6"/>
  <c r="H58" i="6"/>
  <c r="I58" i="6"/>
  <c r="J58" i="6"/>
  <c r="K58" i="6"/>
  <c r="L58" i="6"/>
  <c r="D59" i="6"/>
  <c r="E59" i="6"/>
  <c r="F59" i="6"/>
  <c r="G59" i="6"/>
  <c r="H59" i="6"/>
  <c r="I59" i="6"/>
  <c r="J59" i="6"/>
  <c r="K59" i="6"/>
  <c r="L59" i="6"/>
  <c r="D60" i="6"/>
  <c r="E60" i="6"/>
  <c r="F60" i="6"/>
  <c r="G60" i="6"/>
  <c r="H60" i="6"/>
  <c r="I60" i="6"/>
  <c r="J60" i="6"/>
  <c r="K60" i="6"/>
  <c r="L60" i="6"/>
  <c r="D61" i="6"/>
  <c r="E61" i="6"/>
  <c r="F61" i="6"/>
  <c r="G61" i="6"/>
  <c r="H61" i="6"/>
  <c r="I61" i="6"/>
  <c r="J61" i="6"/>
  <c r="K61" i="6"/>
  <c r="L61" i="6"/>
  <c r="D62" i="6"/>
  <c r="E62" i="6"/>
  <c r="F62" i="6"/>
  <c r="G62" i="6"/>
  <c r="H62" i="6"/>
  <c r="I62" i="6"/>
  <c r="J62" i="6"/>
  <c r="K62" i="6"/>
  <c r="L62" i="6"/>
  <c r="D63" i="6"/>
  <c r="E63" i="6"/>
  <c r="F63" i="6"/>
  <c r="G63" i="6"/>
  <c r="H63" i="6"/>
  <c r="I63" i="6"/>
  <c r="J63" i="6"/>
  <c r="K63" i="6"/>
  <c r="L63" i="6"/>
  <c r="D64" i="6"/>
  <c r="E64" i="6"/>
  <c r="F64" i="6"/>
  <c r="G64" i="6"/>
  <c r="H64" i="6"/>
  <c r="I64" i="6"/>
  <c r="J64" i="6"/>
  <c r="K64" i="6"/>
  <c r="L64" i="6"/>
  <c r="D65" i="6"/>
  <c r="E65" i="6"/>
  <c r="F65" i="6"/>
  <c r="G65" i="6"/>
  <c r="H65" i="6"/>
  <c r="I65" i="6"/>
  <c r="J65" i="6"/>
  <c r="K65" i="6"/>
  <c r="L65" i="6"/>
  <c r="D66" i="6"/>
  <c r="E66" i="6"/>
  <c r="F66" i="6"/>
  <c r="G66" i="6"/>
  <c r="H66" i="6"/>
  <c r="I66" i="6"/>
  <c r="J66" i="6"/>
  <c r="K66" i="6"/>
  <c r="L66" i="6"/>
  <c r="D67" i="6"/>
  <c r="E67" i="6"/>
  <c r="F67" i="6"/>
  <c r="G67" i="6"/>
  <c r="H67" i="6"/>
  <c r="I67" i="6"/>
  <c r="J67" i="6"/>
  <c r="K67" i="6"/>
  <c r="L67" i="6"/>
  <c r="D68" i="6"/>
  <c r="E68" i="6"/>
  <c r="F68" i="6"/>
  <c r="G68" i="6"/>
  <c r="H68" i="6"/>
  <c r="I68" i="6"/>
  <c r="J68" i="6"/>
  <c r="K68" i="6"/>
  <c r="L68" i="6"/>
  <c r="D69" i="6"/>
  <c r="E69" i="6"/>
  <c r="F69" i="6"/>
  <c r="G69" i="6"/>
  <c r="H69" i="6"/>
  <c r="I69" i="6"/>
  <c r="J69" i="6"/>
  <c r="K69" i="6"/>
  <c r="L69" i="6"/>
  <c r="D70" i="6"/>
  <c r="E70" i="6"/>
  <c r="F70" i="6"/>
  <c r="G70" i="6"/>
  <c r="H70" i="6"/>
  <c r="I70" i="6"/>
  <c r="J70" i="6"/>
  <c r="K70" i="6"/>
  <c r="L70" i="6"/>
  <c r="D71" i="6"/>
  <c r="E71" i="6"/>
  <c r="F71" i="6"/>
  <c r="G71" i="6"/>
  <c r="H71" i="6"/>
  <c r="I71" i="6"/>
  <c r="J71" i="6"/>
  <c r="K71" i="6"/>
  <c r="L71" i="6"/>
  <c r="D72" i="6"/>
  <c r="E72" i="6"/>
  <c r="F72" i="6"/>
  <c r="G72" i="6"/>
  <c r="H72" i="6"/>
  <c r="I72" i="6"/>
  <c r="J72" i="6"/>
  <c r="K72" i="6"/>
  <c r="L72" i="6"/>
  <c r="D73" i="6"/>
  <c r="E73" i="6"/>
  <c r="F73" i="6"/>
  <c r="G73" i="6"/>
  <c r="H73" i="6"/>
  <c r="I73" i="6"/>
  <c r="J73" i="6"/>
  <c r="K73" i="6"/>
  <c r="L73" i="6"/>
  <c r="D74" i="6"/>
  <c r="E74" i="6"/>
  <c r="F74" i="6"/>
  <c r="G74" i="6"/>
  <c r="H74" i="6"/>
  <c r="I74" i="6"/>
  <c r="J74" i="6"/>
  <c r="K74" i="6"/>
  <c r="L74" i="6"/>
  <c r="D75" i="6"/>
  <c r="E75" i="6"/>
  <c r="F75" i="6"/>
  <c r="G75" i="6"/>
  <c r="H75" i="6"/>
  <c r="I75" i="6"/>
  <c r="J75" i="6"/>
  <c r="K75" i="6"/>
  <c r="L75" i="6"/>
  <c r="D76" i="6"/>
  <c r="E76" i="6"/>
  <c r="F76" i="6"/>
  <c r="G76" i="6"/>
  <c r="H76" i="6"/>
  <c r="I76" i="6"/>
  <c r="J76" i="6"/>
  <c r="K76" i="6"/>
  <c r="L76" i="6"/>
  <c r="D77" i="6"/>
  <c r="E77" i="6"/>
  <c r="F77" i="6"/>
  <c r="G77" i="6"/>
  <c r="H77" i="6"/>
  <c r="I77" i="6"/>
  <c r="J77" i="6"/>
  <c r="K77" i="6"/>
  <c r="L77" i="6"/>
  <c r="D78" i="6"/>
  <c r="E78" i="6"/>
  <c r="F78" i="6"/>
  <c r="G78" i="6"/>
  <c r="H78" i="6"/>
  <c r="I78" i="6"/>
  <c r="J78" i="6"/>
  <c r="K78" i="6"/>
  <c r="L78" i="6"/>
  <c r="D79" i="6"/>
  <c r="E79" i="6"/>
  <c r="F79" i="6"/>
  <c r="G79" i="6"/>
  <c r="H79" i="6"/>
  <c r="I79" i="6"/>
  <c r="J79" i="6"/>
  <c r="K79" i="6"/>
  <c r="L79" i="6"/>
  <c r="D80" i="6"/>
  <c r="E80" i="6"/>
  <c r="F80" i="6"/>
  <c r="G80" i="6"/>
  <c r="H80" i="6"/>
  <c r="I80" i="6"/>
  <c r="J80" i="6"/>
  <c r="K80" i="6"/>
  <c r="L80" i="6"/>
  <c r="D81" i="6"/>
  <c r="E81" i="6"/>
  <c r="F81" i="6"/>
  <c r="G81" i="6"/>
  <c r="H81" i="6"/>
  <c r="I81" i="6"/>
  <c r="J81" i="6"/>
  <c r="K81" i="6"/>
  <c r="L81" i="6"/>
  <c r="D82" i="6"/>
  <c r="E82" i="6"/>
  <c r="F82" i="6"/>
  <c r="G82" i="6"/>
  <c r="H82" i="6"/>
  <c r="I82" i="6"/>
  <c r="J82" i="6"/>
  <c r="K82" i="6"/>
  <c r="L82" i="6"/>
  <c r="D83" i="6"/>
  <c r="E83" i="6"/>
  <c r="F83" i="6"/>
  <c r="G83" i="6"/>
  <c r="H83" i="6"/>
  <c r="I83" i="6"/>
  <c r="J83" i="6"/>
  <c r="K83" i="6"/>
  <c r="L83" i="6"/>
  <c r="D84" i="6"/>
  <c r="E84" i="6"/>
  <c r="F84" i="6"/>
  <c r="G84" i="6"/>
  <c r="H84" i="6"/>
  <c r="I84" i="6"/>
  <c r="J84" i="6"/>
  <c r="K84" i="6"/>
  <c r="L84" i="6"/>
  <c r="D85" i="6"/>
  <c r="E85" i="6"/>
  <c r="F85" i="6"/>
  <c r="G85" i="6"/>
  <c r="H85" i="6"/>
  <c r="I85" i="6"/>
  <c r="J85" i="6"/>
  <c r="K85" i="6"/>
  <c r="L85" i="6"/>
  <c r="D86" i="6"/>
  <c r="E86" i="6"/>
  <c r="F86" i="6"/>
  <c r="G86" i="6"/>
  <c r="H86" i="6"/>
  <c r="I86" i="6"/>
  <c r="J86" i="6"/>
  <c r="K86" i="6"/>
  <c r="L86" i="6"/>
  <c r="D87" i="6"/>
  <c r="E87" i="6"/>
  <c r="F87" i="6"/>
  <c r="G87" i="6"/>
  <c r="H87" i="6"/>
  <c r="I87" i="6"/>
  <c r="J87" i="6"/>
  <c r="K87" i="6"/>
  <c r="L87" i="6"/>
  <c r="D88" i="6"/>
  <c r="E88" i="6"/>
  <c r="F88" i="6"/>
  <c r="G88" i="6"/>
  <c r="H88" i="6"/>
  <c r="I88" i="6"/>
  <c r="J88" i="6"/>
  <c r="K88" i="6"/>
  <c r="L88" i="6"/>
  <c r="D89" i="6"/>
  <c r="E89" i="6"/>
  <c r="F89" i="6"/>
  <c r="G89" i="6"/>
  <c r="H89" i="6"/>
  <c r="I89" i="6"/>
  <c r="J89" i="6"/>
  <c r="K89" i="6"/>
  <c r="L89" i="6"/>
  <c r="D90" i="6"/>
  <c r="E90" i="6"/>
  <c r="F90" i="6"/>
  <c r="G90" i="6"/>
  <c r="H90" i="6"/>
  <c r="I90" i="6"/>
  <c r="J90" i="6"/>
  <c r="K90" i="6"/>
  <c r="L90" i="6"/>
  <c r="D91" i="6"/>
  <c r="E91" i="6"/>
  <c r="F91" i="6"/>
  <c r="G91" i="6"/>
  <c r="H91" i="6"/>
  <c r="I91" i="6"/>
  <c r="J91" i="6"/>
  <c r="K91" i="6"/>
  <c r="L91" i="6"/>
  <c r="D92" i="6"/>
  <c r="E92" i="6"/>
  <c r="F92" i="6"/>
  <c r="G92" i="6"/>
  <c r="H92" i="6"/>
  <c r="I92" i="6"/>
  <c r="J92" i="6"/>
  <c r="K92" i="6"/>
  <c r="L92" i="6"/>
  <c r="E2" i="6"/>
  <c r="F2" i="6"/>
  <c r="G2" i="6"/>
  <c r="H2" i="6"/>
  <c r="I2" i="6"/>
  <c r="J2" i="6"/>
  <c r="K2" i="6"/>
  <c r="L2" i="6"/>
  <c r="AA44" i="6"/>
  <c r="Z44" i="6"/>
  <c r="Y44" i="6"/>
  <c r="X44" i="6"/>
  <c r="W44" i="6"/>
  <c r="V44" i="6"/>
  <c r="U44" i="6"/>
  <c r="T44" i="6"/>
  <c r="AA43" i="6"/>
  <c r="Z43" i="6"/>
  <c r="Y43" i="6"/>
  <c r="X43" i="6"/>
  <c r="W43" i="6"/>
  <c r="V43" i="6"/>
  <c r="U43" i="6"/>
  <c r="T43" i="6"/>
  <c r="AA42" i="6"/>
  <c r="Z42" i="6"/>
  <c r="Y42" i="6"/>
  <c r="X42" i="6"/>
  <c r="W42" i="6"/>
  <c r="V42" i="6"/>
  <c r="U42" i="6"/>
  <c r="T42" i="6"/>
  <c r="AA41" i="6"/>
  <c r="Z41" i="6"/>
  <c r="Y41" i="6"/>
  <c r="X41" i="6"/>
  <c r="W41" i="6"/>
  <c r="V41" i="6"/>
  <c r="U41" i="6"/>
  <c r="T41" i="6"/>
  <c r="AA40" i="6"/>
  <c r="Z40" i="6"/>
  <c r="Y40" i="6"/>
  <c r="X40" i="6"/>
  <c r="W40" i="6"/>
  <c r="V40" i="6"/>
  <c r="U40" i="6"/>
  <c r="T40" i="6"/>
  <c r="AA39" i="6"/>
  <c r="Z39" i="6"/>
  <c r="Y39" i="6"/>
  <c r="X39" i="6"/>
  <c r="W39" i="6"/>
  <c r="V39" i="6"/>
  <c r="U39" i="6"/>
  <c r="T39" i="6"/>
  <c r="AA38" i="6"/>
  <c r="Z38" i="6"/>
  <c r="Y38" i="6"/>
  <c r="X38" i="6"/>
  <c r="W38" i="6"/>
  <c r="V38" i="6"/>
  <c r="U38" i="6"/>
  <c r="T38" i="6"/>
  <c r="AA37" i="6"/>
  <c r="Z37" i="6"/>
  <c r="Y37" i="6"/>
  <c r="X37" i="6"/>
  <c r="W37" i="6"/>
  <c r="V37" i="6"/>
  <c r="U37" i="6"/>
  <c r="T37" i="6"/>
  <c r="AA36" i="6"/>
  <c r="Z36" i="6"/>
  <c r="Y36" i="6"/>
  <c r="X36" i="6"/>
  <c r="W36" i="6"/>
  <c r="V36" i="6"/>
  <c r="U36" i="6"/>
  <c r="T36" i="6"/>
  <c r="Z28" i="6"/>
  <c r="Y28" i="6"/>
  <c r="X28" i="6"/>
  <c r="W28" i="6"/>
  <c r="V28" i="6"/>
  <c r="U28" i="6"/>
  <c r="T28" i="6"/>
  <c r="Z27" i="6"/>
  <c r="Y27" i="6"/>
  <c r="X27" i="6"/>
  <c r="W27" i="6"/>
  <c r="V27" i="6"/>
  <c r="U27" i="6"/>
  <c r="T27" i="6"/>
  <c r="Z26" i="6"/>
  <c r="Y26" i="6"/>
  <c r="X26" i="6"/>
  <c r="W26" i="6"/>
  <c r="V26" i="6"/>
  <c r="U26" i="6"/>
  <c r="T26" i="6"/>
  <c r="Z25" i="6"/>
  <c r="Y25" i="6"/>
  <c r="X25" i="6"/>
  <c r="W25" i="6"/>
  <c r="V25" i="6"/>
  <c r="U25" i="6"/>
  <c r="T25" i="6"/>
  <c r="Z24" i="6"/>
  <c r="Y24" i="6"/>
  <c r="X24" i="6"/>
  <c r="W24" i="6"/>
  <c r="V24" i="6"/>
  <c r="U24" i="6"/>
  <c r="T24" i="6"/>
  <c r="Z23" i="6"/>
  <c r="Y23" i="6"/>
  <c r="X23" i="6"/>
  <c r="W23" i="6"/>
  <c r="V23" i="6"/>
  <c r="U23" i="6"/>
  <c r="T23" i="6"/>
  <c r="Z22" i="6"/>
  <c r="Y22" i="6"/>
  <c r="X22" i="6"/>
  <c r="W22" i="6"/>
  <c r="V22" i="6"/>
  <c r="U22" i="6"/>
  <c r="T22" i="6"/>
  <c r="Z21" i="6"/>
  <c r="Y21" i="6"/>
  <c r="X21" i="6"/>
  <c r="W21" i="6"/>
  <c r="V21" i="6"/>
  <c r="U21" i="6"/>
  <c r="T21" i="6"/>
  <c r="Z20" i="6"/>
  <c r="Y20" i="6"/>
  <c r="X20" i="6"/>
  <c r="W20" i="6"/>
  <c r="V20" i="6"/>
  <c r="U20" i="6"/>
  <c r="N106" i="13"/>
  <c r="M106" i="13"/>
  <c r="L106" i="13"/>
  <c r="AN20" i="13" s="1"/>
  <c r="K106" i="13"/>
  <c r="AM20" i="13" s="1"/>
  <c r="J106" i="13"/>
  <c r="I106" i="13"/>
  <c r="H106" i="13"/>
  <c r="AJ20" i="13" s="1"/>
  <c r="G106" i="13"/>
  <c r="F106" i="13"/>
  <c r="E106" i="13"/>
  <c r="W10" i="13" s="1"/>
  <c r="D106" i="13"/>
  <c r="AF20" i="13" s="1"/>
  <c r="N98" i="13"/>
  <c r="M98" i="13"/>
  <c r="L98" i="13"/>
  <c r="AN10" i="13" s="1"/>
  <c r="K98" i="13"/>
  <c r="AC10" i="13" s="1"/>
  <c r="J98" i="13"/>
  <c r="I98" i="13"/>
  <c r="AK10" i="13" s="1"/>
  <c r="H98" i="13"/>
  <c r="G98" i="13"/>
  <c r="F98" i="13"/>
  <c r="AH10" i="13" s="1"/>
  <c r="E98" i="13"/>
  <c r="AG10" i="13" s="1"/>
  <c r="AG28" i="13" s="1"/>
  <c r="D98" i="13"/>
  <c r="AF10" i="13" s="1"/>
  <c r="R91" i="13"/>
  <c r="N91" i="13"/>
  <c r="M91" i="13"/>
  <c r="L91" i="13"/>
  <c r="AN19" i="13" s="1"/>
  <c r="K91" i="13"/>
  <c r="AM19" i="13" s="1"/>
  <c r="J91" i="13"/>
  <c r="AL19" i="13" s="1"/>
  <c r="I91" i="13"/>
  <c r="AK19" i="13" s="1"/>
  <c r="AT38" i="13" s="1"/>
  <c r="H91" i="13"/>
  <c r="AJ19" i="13" s="1"/>
  <c r="G91" i="13"/>
  <c r="AI19" i="13" s="1"/>
  <c r="F91" i="13"/>
  <c r="AH19" i="13" s="1"/>
  <c r="E91" i="13"/>
  <c r="AG19" i="13" s="1"/>
  <c r="D91" i="13"/>
  <c r="AF19" i="13" s="1"/>
  <c r="R90" i="13"/>
  <c r="R89" i="13"/>
  <c r="R88" i="13"/>
  <c r="R87" i="13"/>
  <c r="R86" i="13"/>
  <c r="R85" i="13"/>
  <c r="R84" i="13"/>
  <c r="R83" i="13"/>
  <c r="N83" i="13"/>
  <c r="M83" i="13"/>
  <c r="L83" i="13"/>
  <c r="AD9" i="13" s="1"/>
  <c r="K83" i="13"/>
  <c r="J83" i="13"/>
  <c r="AB9" i="13" s="1"/>
  <c r="I83" i="13"/>
  <c r="H83" i="13"/>
  <c r="AJ9" i="13" s="1"/>
  <c r="AJ28" i="13" s="1"/>
  <c r="G83" i="13"/>
  <c r="AI9" i="13" s="1"/>
  <c r="F83" i="13"/>
  <c r="E83" i="13"/>
  <c r="AG9" i="13" s="1"/>
  <c r="D83" i="13"/>
  <c r="R82" i="13"/>
  <c r="R81" i="13"/>
  <c r="R80" i="13"/>
  <c r="R79" i="13"/>
  <c r="R78" i="13"/>
  <c r="R77" i="13"/>
  <c r="R76" i="13"/>
  <c r="N76" i="13"/>
  <c r="M76" i="13"/>
  <c r="L76" i="13"/>
  <c r="AN18" i="13" s="1"/>
  <c r="AW37" i="13" s="1"/>
  <c r="K76" i="13"/>
  <c r="AM18" i="13" s="1"/>
  <c r="J76" i="13"/>
  <c r="I76" i="13"/>
  <c r="H76" i="13"/>
  <c r="G76" i="13"/>
  <c r="F76" i="13"/>
  <c r="E76" i="13"/>
  <c r="AG18" i="13" s="1"/>
  <c r="D76" i="13"/>
  <c r="AF18" i="13" s="1"/>
  <c r="R75" i="13"/>
  <c r="R74" i="13"/>
  <c r="R73" i="13"/>
  <c r="R72" i="13"/>
  <c r="R71" i="13"/>
  <c r="R70" i="13"/>
  <c r="R69" i="13"/>
  <c r="R68" i="13"/>
  <c r="N68" i="13"/>
  <c r="M68" i="13"/>
  <c r="L68" i="13"/>
  <c r="AN8" i="13" s="1"/>
  <c r="K68" i="13"/>
  <c r="AM8" i="13" s="1"/>
  <c r="J68" i="13"/>
  <c r="AL8" i="13" s="1"/>
  <c r="I68" i="13"/>
  <c r="AK8" i="13" s="1"/>
  <c r="H68" i="13"/>
  <c r="G68" i="13"/>
  <c r="Y8" i="13" s="1"/>
  <c r="F68" i="13"/>
  <c r="X8" i="13" s="1"/>
  <c r="E68" i="13"/>
  <c r="W8" i="13" s="1"/>
  <c r="D68" i="13"/>
  <c r="AF8" i="13" s="1"/>
  <c r="AF27" i="13" s="1"/>
  <c r="R67" i="13"/>
  <c r="R66" i="13"/>
  <c r="R65" i="13"/>
  <c r="R64" i="13"/>
  <c r="R63" i="13"/>
  <c r="R62" i="13"/>
  <c r="R61" i="13"/>
  <c r="N61" i="13"/>
  <c r="M61" i="13"/>
  <c r="L61" i="13"/>
  <c r="AN17" i="13" s="1"/>
  <c r="AW36" i="13" s="1"/>
  <c r="K61" i="13"/>
  <c r="AM17" i="13" s="1"/>
  <c r="J61" i="13"/>
  <c r="AL17" i="13" s="1"/>
  <c r="AU36" i="13" s="1"/>
  <c r="I61" i="13"/>
  <c r="AK17" i="13" s="1"/>
  <c r="H61" i="13"/>
  <c r="AJ17" i="13" s="1"/>
  <c r="G61" i="13"/>
  <c r="AI17" i="13" s="1"/>
  <c r="F61" i="13"/>
  <c r="AH17" i="13" s="1"/>
  <c r="E61" i="13"/>
  <c r="AG17" i="13" s="1"/>
  <c r="D61" i="13"/>
  <c r="R60" i="13"/>
  <c r="R59" i="13"/>
  <c r="R58" i="13"/>
  <c r="R57" i="13"/>
  <c r="R56" i="13"/>
  <c r="R55" i="13"/>
  <c r="R54" i="13"/>
  <c r="R53" i="13"/>
  <c r="N53" i="13"/>
  <c r="M53" i="13"/>
  <c r="L53" i="13"/>
  <c r="AN7" i="13" s="1"/>
  <c r="K53" i="13"/>
  <c r="AC7" i="13" s="1"/>
  <c r="J53" i="13"/>
  <c r="AB7" i="13" s="1"/>
  <c r="I53" i="13"/>
  <c r="H53" i="13"/>
  <c r="Z7" i="13" s="1"/>
  <c r="G53" i="13"/>
  <c r="AI7" i="13" s="1"/>
  <c r="F53" i="13"/>
  <c r="AH7" i="13" s="1"/>
  <c r="E53" i="13"/>
  <c r="D53" i="13"/>
  <c r="R52" i="13"/>
  <c r="R51" i="13"/>
  <c r="R50" i="13"/>
  <c r="R49" i="13"/>
  <c r="R48" i="13"/>
  <c r="R47" i="13"/>
  <c r="R46" i="13"/>
  <c r="N46" i="13"/>
  <c r="M46" i="13"/>
  <c r="L46" i="13"/>
  <c r="AN16" i="13" s="1"/>
  <c r="K46" i="13"/>
  <c r="AM16" i="13" s="1"/>
  <c r="J46" i="13"/>
  <c r="AL16" i="13" s="1"/>
  <c r="I46" i="13"/>
  <c r="H46" i="13"/>
  <c r="AJ16" i="13" s="1"/>
  <c r="G46" i="13"/>
  <c r="AI16" i="13" s="1"/>
  <c r="AR35" i="13" s="1"/>
  <c r="F46" i="13"/>
  <c r="X6" i="13" s="1"/>
  <c r="E46" i="13"/>
  <c r="D46" i="13"/>
  <c r="AF16" i="13" s="1"/>
  <c r="AP35" i="13" s="1"/>
  <c r="R45" i="13"/>
  <c r="R44" i="13"/>
  <c r="R43" i="13"/>
  <c r="R42" i="13"/>
  <c r="R41" i="13"/>
  <c r="R40" i="13"/>
  <c r="R39" i="13"/>
  <c r="R38" i="13"/>
  <c r="N38" i="13"/>
  <c r="M38" i="13"/>
  <c r="L38" i="13"/>
  <c r="AN6" i="13" s="1"/>
  <c r="K38" i="13"/>
  <c r="AC6" i="13" s="1"/>
  <c r="AC14" i="13" s="1"/>
  <c r="J38" i="13"/>
  <c r="AL6" i="13" s="1"/>
  <c r="I38" i="13"/>
  <c r="H38" i="13"/>
  <c r="G38" i="13"/>
  <c r="F38" i="13"/>
  <c r="E38" i="13"/>
  <c r="D38" i="13"/>
  <c r="V6" i="13" s="1"/>
  <c r="R37" i="13"/>
  <c r="R36" i="13"/>
  <c r="R35" i="13"/>
  <c r="R34" i="13"/>
  <c r="R33" i="13"/>
  <c r="R32" i="13"/>
  <c r="R31" i="13"/>
  <c r="N31" i="13"/>
  <c r="M31" i="13"/>
  <c r="L31" i="13"/>
  <c r="K31" i="13"/>
  <c r="AM15" i="13" s="1"/>
  <c r="AV34" i="13" s="1"/>
  <c r="J31" i="13"/>
  <c r="AL15" i="13" s="1"/>
  <c r="I31" i="13"/>
  <c r="H31" i="13"/>
  <c r="AJ15" i="13" s="1"/>
  <c r="G31" i="13"/>
  <c r="AI15" i="13" s="1"/>
  <c r="F31" i="13"/>
  <c r="E31" i="13"/>
  <c r="D31" i="13"/>
  <c r="AF15" i="13" s="1"/>
  <c r="R30" i="13"/>
  <c r="R29" i="13"/>
  <c r="R28" i="13"/>
  <c r="R27" i="13"/>
  <c r="R26" i="13"/>
  <c r="R25" i="13"/>
  <c r="R24" i="13"/>
  <c r="R23" i="13"/>
  <c r="N23" i="13"/>
  <c r="M23" i="13"/>
  <c r="L23" i="13"/>
  <c r="AN5" i="13" s="1"/>
  <c r="K23" i="13"/>
  <c r="J23" i="13"/>
  <c r="AB5" i="13" s="1"/>
  <c r="I23" i="13"/>
  <c r="AA5" i="13" s="1"/>
  <c r="H23" i="13"/>
  <c r="Z5" i="13" s="1"/>
  <c r="G23" i="13"/>
  <c r="AI5" i="13" s="1"/>
  <c r="F23" i="13"/>
  <c r="AH5" i="13" s="1"/>
  <c r="AH24" i="13" s="1"/>
  <c r="E23" i="13"/>
  <c r="AG5" i="13" s="1"/>
  <c r="D23" i="13"/>
  <c r="V5" i="13" s="1"/>
  <c r="R22" i="13"/>
  <c r="R21" i="13"/>
  <c r="R20" i="13"/>
  <c r="R19" i="13"/>
  <c r="R18" i="13"/>
  <c r="R17" i="13"/>
  <c r="R16" i="13"/>
  <c r="N16" i="13"/>
  <c r="M16" i="13"/>
  <c r="L16" i="13"/>
  <c r="AN14" i="13" s="1"/>
  <c r="K16" i="13"/>
  <c r="AM14" i="13" s="1"/>
  <c r="J16" i="13"/>
  <c r="AL14" i="13" s="1"/>
  <c r="I16" i="13"/>
  <c r="H16" i="13"/>
  <c r="AJ14" i="13" s="1"/>
  <c r="Z44" i="13" s="1"/>
  <c r="G16" i="13"/>
  <c r="F16" i="13"/>
  <c r="E16" i="13"/>
  <c r="AG14" i="13" s="1"/>
  <c r="D16" i="13"/>
  <c r="AF14" i="13" s="1"/>
  <c r="R15" i="13"/>
  <c r="R14" i="13"/>
  <c r="R13" i="13"/>
  <c r="R12" i="13"/>
  <c r="R11" i="13"/>
  <c r="R10" i="13"/>
  <c r="R9" i="13"/>
  <c r="R8" i="13"/>
  <c r="N8" i="13"/>
  <c r="M8" i="13"/>
  <c r="L8" i="13"/>
  <c r="AN4" i="13" s="1"/>
  <c r="AD45" i="13" s="1"/>
  <c r="K8" i="13"/>
  <c r="AM4" i="13" s="1"/>
  <c r="J8" i="13"/>
  <c r="AB4" i="13" s="1"/>
  <c r="I8" i="13"/>
  <c r="AA6" i="16" s="1"/>
  <c r="H8" i="13"/>
  <c r="G8" i="13"/>
  <c r="Y4" i="13" s="1"/>
  <c r="F8" i="13"/>
  <c r="X4" i="13" s="1"/>
  <c r="E8" i="13"/>
  <c r="W4" i="13" s="1"/>
  <c r="D8" i="13"/>
  <c r="V6" i="16" s="1"/>
  <c r="R7" i="13"/>
  <c r="R6" i="13"/>
  <c r="R5" i="13"/>
  <c r="R4" i="13"/>
  <c r="R3" i="13"/>
  <c r="R2" i="13"/>
  <c r="L105" i="12"/>
  <c r="K105" i="12"/>
  <c r="J105" i="12"/>
  <c r="I105" i="12"/>
  <c r="H105" i="12"/>
  <c r="G105" i="12"/>
  <c r="F105" i="12"/>
  <c r="E105" i="12"/>
  <c r="D105" i="12"/>
  <c r="L104" i="12"/>
  <c r="K104" i="12"/>
  <c r="J104" i="12"/>
  <c r="I104" i="12"/>
  <c r="H104" i="12"/>
  <c r="G104" i="12"/>
  <c r="F104" i="12"/>
  <c r="E104" i="12"/>
  <c r="D104" i="12"/>
  <c r="L103" i="12"/>
  <c r="K103" i="12"/>
  <c r="J103" i="12"/>
  <c r="I103" i="12"/>
  <c r="H103" i="12"/>
  <c r="G103" i="12"/>
  <c r="F103" i="12"/>
  <c r="E103" i="12"/>
  <c r="D103" i="12"/>
  <c r="L102" i="12"/>
  <c r="K102" i="12"/>
  <c r="J102" i="12"/>
  <c r="I102" i="12"/>
  <c r="H102" i="12"/>
  <c r="G102" i="12"/>
  <c r="F102" i="12"/>
  <c r="E102" i="12"/>
  <c r="D102" i="12"/>
  <c r="L101" i="12"/>
  <c r="K101" i="12"/>
  <c r="J101" i="12"/>
  <c r="I101" i="12"/>
  <c r="H101" i="12"/>
  <c r="G101" i="12"/>
  <c r="F101" i="12"/>
  <c r="E101" i="12"/>
  <c r="D101" i="12"/>
  <c r="L100" i="12"/>
  <c r="K100" i="12"/>
  <c r="J100" i="12"/>
  <c r="I100" i="12"/>
  <c r="H100" i="12"/>
  <c r="G100" i="12"/>
  <c r="F100" i="12"/>
  <c r="E100" i="12"/>
  <c r="D100" i="12"/>
  <c r="L99" i="12"/>
  <c r="K99" i="12"/>
  <c r="J99" i="12"/>
  <c r="I99" i="12"/>
  <c r="H99" i="12"/>
  <c r="G99" i="12"/>
  <c r="F99" i="12"/>
  <c r="E99" i="12"/>
  <c r="D99" i="12"/>
  <c r="L97" i="12"/>
  <c r="K97" i="12"/>
  <c r="J97" i="12"/>
  <c r="I97" i="12"/>
  <c r="H97" i="12"/>
  <c r="G97" i="12"/>
  <c r="F97" i="12"/>
  <c r="E97" i="12"/>
  <c r="D97" i="12"/>
  <c r="L96" i="12"/>
  <c r="K96" i="12"/>
  <c r="J96" i="12"/>
  <c r="I96" i="12"/>
  <c r="H96" i="12"/>
  <c r="G96" i="12"/>
  <c r="F96" i="12"/>
  <c r="E96" i="12"/>
  <c r="D96" i="12"/>
  <c r="L95" i="12"/>
  <c r="K95" i="12"/>
  <c r="J95" i="12"/>
  <c r="I95" i="12"/>
  <c r="H95" i="12"/>
  <c r="G95" i="12"/>
  <c r="F95" i="12"/>
  <c r="E95" i="12"/>
  <c r="D95" i="12"/>
  <c r="L94" i="12"/>
  <c r="K94" i="12"/>
  <c r="J94" i="12"/>
  <c r="I94" i="12"/>
  <c r="H94" i="12"/>
  <c r="G94" i="12"/>
  <c r="F94" i="12"/>
  <c r="E94" i="12"/>
  <c r="D94" i="12"/>
  <c r="L93" i="12"/>
  <c r="K93" i="12"/>
  <c r="J93" i="12"/>
  <c r="I93" i="12"/>
  <c r="H93" i="12"/>
  <c r="G93" i="12"/>
  <c r="F93" i="12"/>
  <c r="E93" i="12"/>
  <c r="D93" i="12"/>
  <c r="L92" i="12"/>
  <c r="K92" i="12"/>
  <c r="J92" i="12"/>
  <c r="I92" i="12"/>
  <c r="H92" i="12"/>
  <c r="G92" i="12"/>
  <c r="F92" i="12"/>
  <c r="E92" i="12"/>
  <c r="D92" i="12"/>
  <c r="L90" i="12"/>
  <c r="K90" i="12"/>
  <c r="J90" i="12"/>
  <c r="I90" i="12"/>
  <c r="H90" i="12"/>
  <c r="G90" i="12"/>
  <c r="F90" i="12"/>
  <c r="E90" i="12"/>
  <c r="D90" i="12"/>
  <c r="L89" i="12"/>
  <c r="K89" i="12"/>
  <c r="J89" i="12"/>
  <c r="I89" i="12"/>
  <c r="H89" i="12"/>
  <c r="G89" i="12"/>
  <c r="F89" i="12"/>
  <c r="E89" i="12"/>
  <c r="D89" i="12"/>
  <c r="L88" i="12"/>
  <c r="K88" i="12"/>
  <c r="J88" i="12"/>
  <c r="I88" i="12"/>
  <c r="H88" i="12"/>
  <c r="G88" i="12"/>
  <c r="F88" i="12"/>
  <c r="E88" i="12"/>
  <c r="D88" i="12"/>
  <c r="L87" i="12"/>
  <c r="K87" i="12"/>
  <c r="J87" i="12"/>
  <c r="I87" i="12"/>
  <c r="H87" i="12"/>
  <c r="G87" i="12"/>
  <c r="F87" i="12"/>
  <c r="E87" i="12"/>
  <c r="D87" i="12"/>
  <c r="L86" i="12"/>
  <c r="K86" i="12"/>
  <c r="J86" i="12"/>
  <c r="I86" i="12"/>
  <c r="H86" i="12"/>
  <c r="G86" i="12"/>
  <c r="F86" i="12"/>
  <c r="E86" i="12"/>
  <c r="D86" i="12"/>
  <c r="L85" i="12"/>
  <c r="K85" i="12"/>
  <c r="J85" i="12"/>
  <c r="I85" i="12"/>
  <c r="H85" i="12"/>
  <c r="G85" i="12"/>
  <c r="F85" i="12"/>
  <c r="E85" i="12"/>
  <c r="D85" i="12"/>
  <c r="L84" i="12"/>
  <c r="K84" i="12"/>
  <c r="J84" i="12"/>
  <c r="I84" i="12"/>
  <c r="H84" i="12"/>
  <c r="G84" i="12"/>
  <c r="F84" i="12"/>
  <c r="E84" i="12"/>
  <c r="D84" i="12"/>
  <c r="L82" i="12"/>
  <c r="K82" i="12"/>
  <c r="J82" i="12"/>
  <c r="I82" i="12"/>
  <c r="H82" i="12"/>
  <c r="G82" i="12"/>
  <c r="F82" i="12"/>
  <c r="E82" i="12"/>
  <c r="D82" i="12"/>
  <c r="L81" i="12"/>
  <c r="K81" i="12"/>
  <c r="J81" i="12"/>
  <c r="I81" i="12"/>
  <c r="H81" i="12"/>
  <c r="G81" i="12"/>
  <c r="F81" i="12"/>
  <c r="E81" i="12"/>
  <c r="D81" i="12"/>
  <c r="L80" i="12"/>
  <c r="K80" i="12"/>
  <c r="J80" i="12"/>
  <c r="I80" i="12"/>
  <c r="H80" i="12"/>
  <c r="G80" i="12"/>
  <c r="F80" i="12"/>
  <c r="E80" i="12"/>
  <c r="D80" i="12"/>
  <c r="L79" i="12"/>
  <c r="K79" i="12"/>
  <c r="J79" i="12"/>
  <c r="I79" i="12"/>
  <c r="H79" i="12"/>
  <c r="G79" i="12"/>
  <c r="F79" i="12"/>
  <c r="E79" i="12"/>
  <c r="D79" i="12"/>
  <c r="L78" i="12"/>
  <c r="K78" i="12"/>
  <c r="J78" i="12"/>
  <c r="I78" i="12"/>
  <c r="H78" i="12"/>
  <c r="G78" i="12"/>
  <c r="F78" i="12"/>
  <c r="E78" i="12"/>
  <c r="D78" i="12"/>
  <c r="L77" i="12"/>
  <c r="K77" i="12"/>
  <c r="J77" i="12"/>
  <c r="I77" i="12"/>
  <c r="H77" i="12"/>
  <c r="G77" i="12"/>
  <c r="F77" i="12"/>
  <c r="E77" i="12"/>
  <c r="D77" i="12"/>
  <c r="L75" i="12"/>
  <c r="K75" i="12"/>
  <c r="J75" i="12"/>
  <c r="I75" i="12"/>
  <c r="H75" i="12"/>
  <c r="G75" i="12"/>
  <c r="F75" i="12"/>
  <c r="E75" i="12"/>
  <c r="D75" i="12"/>
  <c r="L74" i="12"/>
  <c r="K74" i="12"/>
  <c r="J74" i="12"/>
  <c r="I74" i="12"/>
  <c r="H74" i="12"/>
  <c r="G74" i="12"/>
  <c r="F74" i="12"/>
  <c r="E74" i="12"/>
  <c r="D74" i="12"/>
  <c r="L73" i="12"/>
  <c r="K73" i="12"/>
  <c r="J73" i="12"/>
  <c r="I73" i="12"/>
  <c r="H73" i="12"/>
  <c r="G73" i="12"/>
  <c r="F73" i="12"/>
  <c r="E73" i="12"/>
  <c r="D73" i="12"/>
  <c r="L72" i="12"/>
  <c r="K72" i="12"/>
  <c r="J72" i="12"/>
  <c r="I72" i="12"/>
  <c r="H72" i="12"/>
  <c r="G72" i="12"/>
  <c r="F72" i="12"/>
  <c r="E72" i="12"/>
  <c r="D72" i="12"/>
  <c r="L71" i="12"/>
  <c r="K71" i="12"/>
  <c r="J71" i="12"/>
  <c r="I71" i="12"/>
  <c r="H71" i="12"/>
  <c r="G71" i="12"/>
  <c r="F71" i="12"/>
  <c r="E71" i="12"/>
  <c r="D71" i="12"/>
  <c r="L70" i="12"/>
  <c r="K70" i="12"/>
  <c r="J70" i="12"/>
  <c r="I70" i="12"/>
  <c r="H70" i="12"/>
  <c r="G70" i="12"/>
  <c r="F70" i="12"/>
  <c r="E70" i="12"/>
  <c r="D70" i="12"/>
  <c r="L69" i="12"/>
  <c r="K69" i="12"/>
  <c r="J69" i="12"/>
  <c r="I69" i="12"/>
  <c r="H69" i="12"/>
  <c r="G69" i="12"/>
  <c r="F69" i="12"/>
  <c r="E69" i="12"/>
  <c r="D69" i="12"/>
  <c r="L67" i="12"/>
  <c r="K67" i="12"/>
  <c r="J67" i="12"/>
  <c r="I67" i="12"/>
  <c r="H67" i="12"/>
  <c r="G67" i="12"/>
  <c r="F67" i="12"/>
  <c r="E67" i="12"/>
  <c r="D67" i="12"/>
  <c r="L66" i="12"/>
  <c r="K66" i="12"/>
  <c r="J66" i="12"/>
  <c r="I66" i="12"/>
  <c r="H66" i="12"/>
  <c r="G66" i="12"/>
  <c r="F66" i="12"/>
  <c r="E66" i="12"/>
  <c r="D66" i="12"/>
  <c r="L65" i="12"/>
  <c r="K65" i="12"/>
  <c r="J65" i="12"/>
  <c r="I65" i="12"/>
  <c r="H65" i="12"/>
  <c r="G65" i="12"/>
  <c r="F65" i="12"/>
  <c r="E65" i="12"/>
  <c r="D65" i="12"/>
  <c r="L64" i="12"/>
  <c r="K64" i="12"/>
  <c r="J64" i="12"/>
  <c r="I64" i="12"/>
  <c r="H64" i="12"/>
  <c r="G64" i="12"/>
  <c r="F64" i="12"/>
  <c r="E64" i="12"/>
  <c r="D64" i="12"/>
  <c r="L63" i="12"/>
  <c r="K63" i="12"/>
  <c r="J63" i="12"/>
  <c r="I63" i="12"/>
  <c r="H63" i="12"/>
  <c r="G63" i="12"/>
  <c r="F63" i="12"/>
  <c r="E63" i="12"/>
  <c r="D63" i="12"/>
  <c r="L62" i="12"/>
  <c r="K62" i="12"/>
  <c r="J62" i="12"/>
  <c r="I62" i="12"/>
  <c r="H62" i="12"/>
  <c r="G62" i="12"/>
  <c r="F62" i="12"/>
  <c r="E62" i="12"/>
  <c r="D62" i="12"/>
  <c r="L60" i="12"/>
  <c r="K60" i="12"/>
  <c r="J60" i="12"/>
  <c r="I60" i="12"/>
  <c r="H60" i="12"/>
  <c r="G60" i="12"/>
  <c r="F60" i="12"/>
  <c r="E60" i="12"/>
  <c r="D60" i="12"/>
  <c r="L59" i="12"/>
  <c r="K59" i="12"/>
  <c r="J59" i="12"/>
  <c r="I59" i="12"/>
  <c r="H59" i="12"/>
  <c r="G59" i="12"/>
  <c r="F59" i="12"/>
  <c r="E59" i="12"/>
  <c r="D59" i="12"/>
  <c r="L58" i="12"/>
  <c r="K58" i="12"/>
  <c r="J58" i="12"/>
  <c r="I58" i="12"/>
  <c r="H58" i="12"/>
  <c r="G58" i="12"/>
  <c r="F58" i="12"/>
  <c r="E58" i="12"/>
  <c r="D58" i="12"/>
  <c r="L57" i="12"/>
  <c r="K57" i="12"/>
  <c r="J57" i="12"/>
  <c r="I57" i="12"/>
  <c r="H57" i="12"/>
  <c r="G57" i="12"/>
  <c r="F57" i="12"/>
  <c r="E57" i="12"/>
  <c r="D57" i="12"/>
  <c r="L56" i="12"/>
  <c r="K56" i="12"/>
  <c r="J56" i="12"/>
  <c r="I56" i="12"/>
  <c r="H56" i="12"/>
  <c r="G56" i="12"/>
  <c r="F56" i="12"/>
  <c r="E56" i="12"/>
  <c r="D56" i="12"/>
  <c r="L55" i="12"/>
  <c r="K55" i="12"/>
  <c r="J55" i="12"/>
  <c r="I55" i="12"/>
  <c r="H55" i="12"/>
  <c r="G55" i="12"/>
  <c r="F55" i="12"/>
  <c r="E55" i="12"/>
  <c r="D55" i="12"/>
  <c r="L54" i="12"/>
  <c r="K54" i="12"/>
  <c r="J54" i="12"/>
  <c r="I54" i="12"/>
  <c r="H54" i="12"/>
  <c r="G54" i="12"/>
  <c r="F54" i="12"/>
  <c r="E54" i="12"/>
  <c r="D54" i="12"/>
  <c r="L52" i="12"/>
  <c r="K52" i="12"/>
  <c r="J52" i="12"/>
  <c r="I52" i="12"/>
  <c r="H52" i="12"/>
  <c r="G52" i="12"/>
  <c r="F52" i="12"/>
  <c r="E52" i="12"/>
  <c r="D52" i="12"/>
  <c r="L51" i="12"/>
  <c r="K51" i="12"/>
  <c r="J51" i="12"/>
  <c r="I51" i="12"/>
  <c r="H51" i="12"/>
  <c r="G51" i="12"/>
  <c r="F51" i="12"/>
  <c r="E51" i="12"/>
  <c r="D51" i="12"/>
  <c r="L50" i="12"/>
  <c r="K50" i="12"/>
  <c r="J50" i="12"/>
  <c r="I50" i="12"/>
  <c r="H50" i="12"/>
  <c r="G50" i="12"/>
  <c r="F50" i="12"/>
  <c r="E50" i="12"/>
  <c r="D50" i="12"/>
  <c r="L49" i="12"/>
  <c r="K49" i="12"/>
  <c r="J49" i="12"/>
  <c r="I49" i="12"/>
  <c r="H49" i="12"/>
  <c r="G49" i="12"/>
  <c r="F49" i="12"/>
  <c r="E49" i="12"/>
  <c r="D49" i="12"/>
  <c r="L48" i="12"/>
  <c r="K48" i="12"/>
  <c r="J48" i="12"/>
  <c r="I48" i="12"/>
  <c r="H48" i="12"/>
  <c r="G48" i="12"/>
  <c r="F48" i="12"/>
  <c r="E48" i="12"/>
  <c r="D48" i="12"/>
  <c r="L47" i="12"/>
  <c r="K47" i="12"/>
  <c r="J47" i="12"/>
  <c r="I47" i="12"/>
  <c r="H47" i="12"/>
  <c r="G47" i="12"/>
  <c r="F47" i="12"/>
  <c r="E47" i="12"/>
  <c r="D47" i="12"/>
  <c r="L45" i="12"/>
  <c r="K45" i="12"/>
  <c r="J45" i="12"/>
  <c r="I45" i="12"/>
  <c r="H45" i="12"/>
  <c r="G45" i="12"/>
  <c r="F45" i="12"/>
  <c r="E45" i="12"/>
  <c r="D45" i="12"/>
  <c r="AA44" i="12"/>
  <c r="Z44" i="12"/>
  <c r="Y44" i="12"/>
  <c r="X44" i="12"/>
  <c r="W44" i="12"/>
  <c r="V44" i="12"/>
  <c r="U44" i="12"/>
  <c r="T44" i="12"/>
  <c r="L44" i="12"/>
  <c r="K44" i="12"/>
  <c r="J44" i="12"/>
  <c r="I44" i="12"/>
  <c r="H44" i="12"/>
  <c r="G44" i="12"/>
  <c r="F44" i="12"/>
  <c r="E44" i="12"/>
  <c r="D44" i="12"/>
  <c r="AA43" i="12"/>
  <c r="Z43" i="12"/>
  <c r="Y43" i="12"/>
  <c r="X43" i="12"/>
  <c r="W43" i="12"/>
  <c r="V43" i="12"/>
  <c r="U43" i="12"/>
  <c r="T43" i="12"/>
  <c r="L43" i="12"/>
  <c r="K43" i="12"/>
  <c r="J43" i="12"/>
  <c r="I43" i="12"/>
  <c r="H43" i="12"/>
  <c r="G43" i="12"/>
  <c r="F43" i="12"/>
  <c r="E43" i="12"/>
  <c r="D43" i="12"/>
  <c r="AA42" i="12"/>
  <c r="Z42" i="12"/>
  <c r="Y42" i="12"/>
  <c r="X42" i="12"/>
  <c r="W42" i="12"/>
  <c r="V42" i="12"/>
  <c r="U42" i="12"/>
  <c r="T42" i="12"/>
  <c r="L42" i="12"/>
  <c r="K42" i="12"/>
  <c r="J42" i="12"/>
  <c r="I42" i="12"/>
  <c r="H42" i="12"/>
  <c r="G42" i="12"/>
  <c r="F42" i="12"/>
  <c r="E42" i="12"/>
  <c r="D42" i="12"/>
  <c r="AA41" i="12"/>
  <c r="Z41" i="12"/>
  <c r="Y41" i="12"/>
  <c r="X41" i="12"/>
  <c r="W41" i="12"/>
  <c r="V41" i="12"/>
  <c r="U41" i="12"/>
  <c r="T41" i="12"/>
  <c r="L41" i="12"/>
  <c r="K41" i="12"/>
  <c r="J41" i="12"/>
  <c r="I41" i="12"/>
  <c r="H41" i="12"/>
  <c r="G41" i="12"/>
  <c r="F41" i="12"/>
  <c r="E41" i="12"/>
  <c r="D41" i="12"/>
  <c r="AA40" i="12"/>
  <c r="Z40" i="12"/>
  <c r="Y40" i="12"/>
  <c r="X40" i="12"/>
  <c r="W40" i="12"/>
  <c r="V40" i="12"/>
  <c r="U40" i="12"/>
  <c r="T40" i="12"/>
  <c r="L40" i="12"/>
  <c r="K40" i="12"/>
  <c r="J40" i="12"/>
  <c r="I40" i="12"/>
  <c r="H40" i="12"/>
  <c r="G40" i="12"/>
  <c r="F40" i="12"/>
  <c r="E40" i="12"/>
  <c r="D40" i="12"/>
  <c r="AA39" i="12"/>
  <c r="Z39" i="12"/>
  <c r="Y39" i="12"/>
  <c r="X39" i="12"/>
  <c r="W39" i="12"/>
  <c r="V39" i="12"/>
  <c r="U39" i="12"/>
  <c r="T39" i="12"/>
  <c r="L39" i="12"/>
  <c r="K39" i="12"/>
  <c r="J39" i="12"/>
  <c r="I39" i="12"/>
  <c r="H39" i="12"/>
  <c r="G39" i="12"/>
  <c r="F39" i="12"/>
  <c r="E39" i="12"/>
  <c r="D39" i="12"/>
  <c r="AA38" i="12"/>
  <c r="Z38" i="12"/>
  <c r="Y38" i="12"/>
  <c r="X38" i="12"/>
  <c r="W38" i="12"/>
  <c r="V38" i="12"/>
  <c r="U38" i="12"/>
  <c r="T38" i="12"/>
  <c r="AA37" i="12"/>
  <c r="Z37" i="12"/>
  <c r="Y37" i="12"/>
  <c r="X37" i="12"/>
  <c r="W37" i="12"/>
  <c r="V37" i="12"/>
  <c r="U37" i="12"/>
  <c r="T37" i="12"/>
  <c r="L37" i="12"/>
  <c r="K37" i="12"/>
  <c r="J37" i="12"/>
  <c r="I37" i="12"/>
  <c r="H37" i="12"/>
  <c r="G37" i="12"/>
  <c r="F37" i="12"/>
  <c r="E37" i="12"/>
  <c r="D37" i="12"/>
  <c r="AA36" i="12"/>
  <c r="Z36" i="12"/>
  <c r="Y36" i="12"/>
  <c r="X36" i="12"/>
  <c r="W36" i="12"/>
  <c r="V36" i="12"/>
  <c r="U36" i="12"/>
  <c r="T36" i="12"/>
  <c r="L36" i="12"/>
  <c r="K36" i="12"/>
  <c r="J36" i="12"/>
  <c r="I36" i="12"/>
  <c r="H36" i="12"/>
  <c r="G36" i="12"/>
  <c r="F36" i="12"/>
  <c r="E36" i="12"/>
  <c r="D36" i="12"/>
  <c r="L35" i="12"/>
  <c r="K35" i="12"/>
  <c r="J35" i="12"/>
  <c r="I35" i="12"/>
  <c r="H35" i="12"/>
  <c r="G35" i="12"/>
  <c r="F35" i="12"/>
  <c r="E35" i="12"/>
  <c r="D35" i="12"/>
  <c r="L34" i="12"/>
  <c r="K34" i="12"/>
  <c r="J34" i="12"/>
  <c r="I34" i="12"/>
  <c r="H34" i="12"/>
  <c r="G34" i="12"/>
  <c r="F34" i="12"/>
  <c r="E34" i="12"/>
  <c r="D34" i="12"/>
  <c r="L33" i="12"/>
  <c r="K33" i="12"/>
  <c r="J33" i="12"/>
  <c r="I33" i="12"/>
  <c r="H33" i="12"/>
  <c r="G33" i="12"/>
  <c r="F33" i="12"/>
  <c r="E33" i="12"/>
  <c r="D33" i="12"/>
  <c r="L32" i="12"/>
  <c r="K32" i="12"/>
  <c r="J32" i="12"/>
  <c r="I32" i="12"/>
  <c r="H32" i="12"/>
  <c r="G32" i="12"/>
  <c r="F32" i="12"/>
  <c r="E32" i="12"/>
  <c r="D32" i="12"/>
  <c r="F31" i="12"/>
  <c r="L30" i="12"/>
  <c r="K30" i="12"/>
  <c r="J30" i="12"/>
  <c r="I30" i="12"/>
  <c r="H30" i="12"/>
  <c r="G30" i="12"/>
  <c r="F30" i="12"/>
  <c r="E30" i="12"/>
  <c r="D30" i="12"/>
  <c r="L29" i="12"/>
  <c r="K29" i="12"/>
  <c r="J29" i="12"/>
  <c r="I29" i="12"/>
  <c r="H29" i="12"/>
  <c r="G29" i="12"/>
  <c r="F29" i="12"/>
  <c r="E29" i="12"/>
  <c r="D29" i="12"/>
  <c r="Z28" i="12"/>
  <c r="Y28" i="12"/>
  <c r="X28" i="12"/>
  <c r="W28" i="12"/>
  <c r="V28" i="12"/>
  <c r="U28" i="12"/>
  <c r="T28" i="12"/>
  <c r="L28" i="12"/>
  <c r="K28" i="12"/>
  <c r="J28" i="12"/>
  <c r="I28" i="12"/>
  <c r="H28" i="12"/>
  <c r="G28" i="12"/>
  <c r="F28" i="12"/>
  <c r="E28" i="12"/>
  <c r="D28" i="12"/>
  <c r="Z27" i="12"/>
  <c r="Y27" i="12"/>
  <c r="X27" i="12"/>
  <c r="W27" i="12"/>
  <c r="V27" i="12"/>
  <c r="U27" i="12"/>
  <c r="T27" i="12"/>
  <c r="L27" i="12"/>
  <c r="K27" i="12"/>
  <c r="J27" i="12"/>
  <c r="I27" i="12"/>
  <c r="H27" i="12"/>
  <c r="G27" i="12"/>
  <c r="F27" i="12"/>
  <c r="E27" i="12"/>
  <c r="D27" i="12"/>
  <c r="Z26" i="12"/>
  <c r="Y26" i="12"/>
  <c r="X26" i="12"/>
  <c r="W26" i="12"/>
  <c r="V26" i="12"/>
  <c r="U26" i="12"/>
  <c r="T26" i="12"/>
  <c r="L26" i="12"/>
  <c r="K26" i="12"/>
  <c r="J26" i="12"/>
  <c r="I26" i="12"/>
  <c r="H26" i="12"/>
  <c r="G26" i="12"/>
  <c r="F26" i="12"/>
  <c r="E26" i="12"/>
  <c r="D26" i="12"/>
  <c r="Z25" i="12"/>
  <c r="Y25" i="12"/>
  <c r="X25" i="12"/>
  <c r="W25" i="12"/>
  <c r="V25" i="12"/>
  <c r="U25" i="12"/>
  <c r="T25" i="12"/>
  <c r="L25" i="12"/>
  <c r="K25" i="12"/>
  <c r="J25" i="12"/>
  <c r="I25" i="12"/>
  <c r="H25" i="12"/>
  <c r="G25" i="12"/>
  <c r="F25" i="12"/>
  <c r="E25" i="12"/>
  <c r="D25" i="12"/>
  <c r="Z24" i="12"/>
  <c r="Y24" i="12"/>
  <c r="X24" i="12"/>
  <c r="W24" i="12"/>
  <c r="V24" i="12"/>
  <c r="U24" i="12"/>
  <c r="T24" i="12"/>
  <c r="L24" i="12"/>
  <c r="K24" i="12"/>
  <c r="J24" i="12"/>
  <c r="I24" i="12"/>
  <c r="H24" i="12"/>
  <c r="G24" i="12"/>
  <c r="F24" i="12"/>
  <c r="E24" i="12"/>
  <c r="D24" i="12"/>
  <c r="Z23" i="12"/>
  <c r="Y23" i="12"/>
  <c r="X23" i="12"/>
  <c r="W23" i="12"/>
  <c r="V23" i="12"/>
  <c r="U23" i="12"/>
  <c r="T23" i="12"/>
  <c r="Z22" i="12"/>
  <c r="Y22" i="12"/>
  <c r="X22" i="12"/>
  <c r="W22" i="12"/>
  <c r="V22" i="12"/>
  <c r="U22" i="12"/>
  <c r="T22" i="12"/>
  <c r="L22" i="12"/>
  <c r="K22" i="12"/>
  <c r="J22" i="12"/>
  <c r="I22" i="12"/>
  <c r="H22" i="12"/>
  <c r="G22" i="12"/>
  <c r="F22" i="12"/>
  <c r="E22" i="12"/>
  <c r="D22" i="12"/>
  <c r="Z21" i="12"/>
  <c r="Y21" i="12"/>
  <c r="X21" i="12"/>
  <c r="W21" i="12"/>
  <c r="V21" i="12"/>
  <c r="U21" i="12"/>
  <c r="T21" i="12"/>
  <c r="L21" i="12"/>
  <c r="K21" i="12"/>
  <c r="J21" i="12"/>
  <c r="I21" i="12"/>
  <c r="H21" i="12"/>
  <c r="G21" i="12"/>
  <c r="F21" i="12"/>
  <c r="E21" i="12"/>
  <c r="D21" i="12"/>
  <c r="Z20" i="12"/>
  <c r="Y20" i="12"/>
  <c r="X20" i="12"/>
  <c r="W20" i="12"/>
  <c r="V20" i="12"/>
  <c r="U20" i="12"/>
  <c r="T20" i="12"/>
  <c r="L20" i="12"/>
  <c r="K20" i="12"/>
  <c r="J20" i="12"/>
  <c r="I20" i="12"/>
  <c r="H20" i="12"/>
  <c r="G20" i="12"/>
  <c r="F20" i="12"/>
  <c r="E20" i="12"/>
  <c r="D20" i="12"/>
  <c r="L19" i="12"/>
  <c r="K19" i="12"/>
  <c r="J19" i="12"/>
  <c r="I19" i="12"/>
  <c r="H19" i="12"/>
  <c r="G19" i="12"/>
  <c r="F19" i="12"/>
  <c r="E19" i="12"/>
  <c r="D19" i="12"/>
  <c r="L18" i="12"/>
  <c r="K18" i="12"/>
  <c r="J18" i="12"/>
  <c r="I18" i="12"/>
  <c r="H18" i="12"/>
  <c r="G18" i="12"/>
  <c r="F18" i="12"/>
  <c r="E18" i="12"/>
  <c r="D18" i="12"/>
  <c r="L17" i="12"/>
  <c r="K17" i="12"/>
  <c r="J17" i="12"/>
  <c r="I17" i="12"/>
  <c r="H17" i="12"/>
  <c r="G17" i="12"/>
  <c r="F17" i="12"/>
  <c r="E17" i="12"/>
  <c r="D17" i="12"/>
  <c r="L15" i="12"/>
  <c r="K15" i="12"/>
  <c r="J15" i="12"/>
  <c r="I15" i="12"/>
  <c r="H15" i="12"/>
  <c r="G15" i="12"/>
  <c r="F15" i="12"/>
  <c r="E15" i="12"/>
  <c r="D15" i="12"/>
  <c r="L14" i="12"/>
  <c r="K14" i="12"/>
  <c r="J14" i="12"/>
  <c r="I14" i="12"/>
  <c r="H14" i="12"/>
  <c r="G14" i="12"/>
  <c r="F14" i="12"/>
  <c r="E14" i="12"/>
  <c r="D14" i="12"/>
  <c r="L13" i="12"/>
  <c r="K13" i="12"/>
  <c r="J13" i="12"/>
  <c r="I13" i="12"/>
  <c r="H13" i="12"/>
  <c r="G13" i="12"/>
  <c r="F13" i="12"/>
  <c r="E13" i="12"/>
  <c r="D13" i="12"/>
  <c r="L12" i="12"/>
  <c r="K12" i="12"/>
  <c r="J12" i="12"/>
  <c r="I12" i="12"/>
  <c r="H12" i="12"/>
  <c r="G12" i="12"/>
  <c r="F12" i="12"/>
  <c r="E12" i="12"/>
  <c r="D12" i="12"/>
  <c r="L11" i="12"/>
  <c r="K11" i="12"/>
  <c r="J11" i="12"/>
  <c r="I11" i="12"/>
  <c r="H11" i="12"/>
  <c r="G11" i="12"/>
  <c r="F11" i="12"/>
  <c r="E11" i="12"/>
  <c r="D11" i="12"/>
  <c r="L10" i="12"/>
  <c r="K10" i="12"/>
  <c r="J10" i="12"/>
  <c r="I10" i="12"/>
  <c r="H10" i="12"/>
  <c r="G10" i="12"/>
  <c r="F10" i="12"/>
  <c r="E10" i="12"/>
  <c r="D10" i="12"/>
  <c r="L9" i="12"/>
  <c r="K9" i="12"/>
  <c r="J9" i="12"/>
  <c r="I9" i="12"/>
  <c r="H9" i="12"/>
  <c r="G9" i="12"/>
  <c r="F9" i="12"/>
  <c r="E9" i="12"/>
  <c r="D9" i="12"/>
  <c r="L7" i="12"/>
  <c r="K7" i="12"/>
  <c r="J7" i="12"/>
  <c r="I7" i="12"/>
  <c r="H7" i="12"/>
  <c r="G7" i="12"/>
  <c r="F7" i="12"/>
  <c r="E7" i="12"/>
  <c r="D7" i="12"/>
  <c r="L6" i="12"/>
  <c r="K6" i="12"/>
  <c r="J6" i="12"/>
  <c r="I6" i="12"/>
  <c r="H6" i="12"/>
  <c r="G6" i="12"/>
  <c r="F6" i="12"/>
  <c r="E6" i="12"/>
  <c r="D6" i="12"/>
  <c r="L5" i="12"/>
  <c r="K5" i="12"/>
  <c r="J5" i="12"/>
  <c r="I5" i="12"/>
  <c r="H5" i="12"/>
  <c r="G5" i="12"/>
  <c r="F5" i="12"/>
  <c r="E5" i="12"/>
  <c r="D5" i="12"/>
  <c r="L4" i="12"/>
  <c r="K4" i="12"/>
  <c r="J4" i="12"/>
  <c r="I4" i="12"/>
  <c r="H4" i="12"/>
  <c r="G4" i="12"/>
  <c r="F4" i="12"/>
  <c r="E4" i="12"/>
  <c r="D4" i="12"/>
  <c r="L3" i="12"/>
  <c r="K3" i="12"/>
  <c r="J3" i="12"/>
  <c r="I3" i="12"/>
  <c r="H3" i="12"/>
  <c r="G3" i="12"/>
  <c r="F3" i="12"/>
  <c r="E3" i="12"/>
  <c r="D3" i="12"/>
  <c r="L2" i="12"/>
  <c r="K2" i="12"/>
  <c r="J2" i="12"/>
  <c r="I2" i="12"/>
  <c r="H2" i="12"/>
  <c r="G2" i="12"/>
  <c r="F2" i="12"/>
  <c r="E2" i="12"/>
  <c r="D2" i="12"/>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2" i="1"/>
  <c r="I106" i="12"/>
  <c r="H106" i="12"/>
  <c r="G106" i="12"/>
  <c r="F106" i="12"/>
  <c r="E106" i="12"/>
  <c r="L98" i="12"/>
  <c r="K98" i="12"/>
  <c r="J98" i="12"/>
  <c r="I98" i="12"/>
  <c r="H98" i="12"/>
  <c r="G98" i="12"/>
  <c r="F98" i="12"/>
  <c r="E98" i="12"/>
  <c r="D98" i="12"/>
  <c r="L91" i="12"/>
  <c r="K91" i="12"/>
  <c r="J91" i="12"/>
  <c r="I91" i="12"/>
  <c r="H91" i="12"/>
  <c r="G91" i="12"/>
  <c r="F91" i="12"/>
  <c r="E91" i="12"/>
  <c r="D91" i="12"/>
  <c r="L83" i="12"/>
  <c r="K83" i="12"/>
  <c r="J83" i="12"/>
  <c r="I83" i="12"/>
  <c r="H83" i="12"/>
  <c r="G83" i="12"/>
  <c r="F83" i="12"/>
  <c r="E83" i="12"/>
  <c r="D83" i="12"/>
  <c r="L76" i="12"/>
  <c r="K76" i="12"/>
  <c r="J76" i="12"/>
  <c r="I76" i="12"/>
  <c r="H76" i="12"/>
  <c r="G76" i="12"/>
  <c r="F76" i="12"/>
  <c r="E76" i="12"/>
  <c r="D76" i="12"/>
  <c r="L68" i="12"/>
  <c r="K68" i="12"/>
  <c r="J68" i="12"/>
  <c r="I68" i="12"/>
  <c r="H68" i="12"/>
  <c r="G68" i="12"/>
  <c r="F68" i="12"/>
  <c r="E68" i="12"/>
  <c r="D68" i="12"/>
  <c r="L61" i="12"/>
  <c r="K61" i="12"/>
  <c r="J61" i="12"/>
  <c r="I61" i="12"/>
  <c r="H61" i="12"/>
  <c r="G61" i="12"/>
  <c r="F61" i="12"/>
  <c r="E61" i="12"/>
  <c r="D61" i="12"/>
  <c r="L53" i="12"/>
  <c r="K53" i="12"/>
  <c r="J53" i="12"/>
  <c r="I53" i="12"/>
  <c r="H53" i="12"/>
  <c r="G53" i="12"/>
  <c r="F53" i="12"/>
  <c r="E53" i="12"/>
  <c r="D53" i="12"/>
  <c r="L46" i="12"/>
  <c r="K46" i="12"/>
  <c r="J46" i="12"/>
  <c r="I46" i="12"/>
  <c r="H46" i="12"/>
  <c r="G46" i="12"/>
  <c r="F46" i="12"/>
  <c r="E46" i="12"/>
  <c r="D46" i="12"/>
  <c r="D38" i="12"/>
  <c r="L38" i="12"/>
  <c r="K38" i="12"/>
  <c r="J38" i="12"/>
  <c r="I38" i="12"/>
  <c r="H38" i="12"/>
  <c r="G38" i="12"/>
  <c r="F38" i="12"/>
  <c r="E38" i="12"/>
  <c r="D31" i="12"/>
  <c r="L31" i="12"/>
  <c r="K31" i="12"/>
  <c r="J31" i="12"/>
  <c r="I31" i="12"/>
  <c r="H31" i="12"/>
  <c r="G31" i="12"/>
  <c r="E31" i="12"/>
  <c r="D23" i="12"/>
  <c r="L23" i="12"/>
  <c r="K23" i="12"/>
  <c r="J23" i="12"/>
  <c r="I23" i="12"/>
  <c r="H23" i="12"/>
  <c r="G23" i="12"/>
  <c r="F23" i="12"/>
  <c r="W69" i="13" l="1"/>
  <c r="X70" i="13"/>
  <c r="Y70" i="13" s="1"/>
  <c r="Z70" i="13" s="1"/>
  <c r="AA70" i="13" s="1"/>
  <c r="AB70" i="13" s="1"/>
  <c r="AC70" i="13" s="1"/>
  <c r="AD70" i="13" s="1"/>
  <c r="W68" i="13"/>
  <c r="AU35" i="13"/>
  <c r="AU34" i="13"/>
  <c r="AT35" i="13"/>
  <c r="AB25" i="13"/>
  <c r="AS35" i="13"/>
  <c r="AH16" i="13"/>
  <c r="AQ35" i="13" s="1"/>
  <c r="X6" i="16"/>
  <c r="AW35" i="13"/>
  <c r="AB16" i="13"/>
  <c r="AF5" i="13"/>
  <c r="AI25" i="13"/>
  <c r="AU37" i="13"/>
  <c r="AT34" i="13"/>
  <c r="AL26" i="13"/>
  <c r="AV35" i="13"/>
  <c r="Y9" i="13"/>
  <c r="AM6" i="13"/>
  <c r="AM25" i="13" s="1"/>
  <c r="AD8" i="13"/>
  <c r="AD16" i="13" s="1"/>
  <c r="AD7" i="13"/>
  <c r="AD6" i="13"/>
  <c r="AD14" i="13" s="1"/>
  <c r="AV38" i="13"/>
  <c r="AB12" i="13"/>
  <c r="Y10" i="13"/>
  <c r="AW38" i="13"/>
  <c r="X5" i="13"/>
  <c r="X13" i="13" s="1"/>
  <c r="AL4" i="13"/>
  <c r="AL23" i="13" s="1"/>
  <c r="AJ27" i="13"/>
  <c r="AA44" i="13"/>
  <c r="AH14" i="13"/>
  <c r="X24" i="13" s="1"/>
  <c r="AC5" i="13"/>
  <c r="AC13" i="13" s="1"/>
  <c r="AS34" i="13"/>
  <c r="AA8" i="13"/>
  <c r="AP38" i="13"/>
  <c r="Z10" i="13"/>
  <c r="AC4" i="13"/>
  <c r="AC12" i="13" s="1"/>
  <c r="AI4" i="13"/>
  <c r="AI23" i="13" s="1"/>
  <c r="AP34" i="13"/>
  <c r="AM10" i="13"/>
  <c r="AC23" i="13" s="1"/>
  <c r="AN24" i="13"/>
  <c r="Y6" i="13"/>
  <c r="Z9" i="13"/>
  <c r="AH4" i="13"/>
  <c r="X45" i="13" s="1"/>
  <c r="AU38" i="13"/>
  <c r="Y7" i="13"/>
  <c r="Y15" i="13" s="1"/>
  <c r="Z6" i="13"/>
  <c r="Z14" i="13" s="1"/>
  <c r="W44" i="13"/>
  <c r="W24" i="13"/>
  <c r="AH9" i="13"/>
  <c r="AH28" i="13" s="1"/>
  <c r="X9" i="13"/>
  <c r="X17" i="13" s="1"/>
  <c r="AB41" i="13"/>
  <c r="AP37" i="13"/>
  <c r="AS33" i="13"/>
  <c r="Z24" i="13"/>
  <c r="Z8" i="13"/>
  <c r="Z16" i="13" s="1"/>
  <c r="AJ18" i="13"/>
  <c r="AC15" i="13"/>
  <c r="AD4" i="13"/>
  <c r="AN26" i="13"/>
  <c r="Y16" i="13"/>
  <c r="AC26" i="13"/>
  <c r="AC25" i="13"/>
  <c r="AF28" i="13"/>
  <c r="AB26" i="13"/>
  <c r="AI27" i="13"/>
  <c r="AR34" i="13"/>
  <c r="Z17" i="13"/>
  <c r="AV37" i="13"/>
  <c r="AV36" i="13"/>
  <c r="AK9" i="13"/>
  <c r="AK28" i="13" s="1"/>
  <c r="AA9" i="13"/>
  <c r="AA17" i="13" s="1"/>
  <c r="AQ38" i="13"/>
  <c r="AB6" i="16"/>
  <c r="AL10" i="13"/>
  <c r="AD15" i="13"/>
  <c r="AQ34" i="13"/>
  <c r="AL9" i="13"/>
  <c r="AL27" i="13" s="1"/>
  <c r="AR33" i="13"/>
  <c r="Y26" i="13"/>
  <c r="Y25" i="13"/>
  <c r="V16" i="13"/>
  <c r="AM23" i="13"/>
  <c r="AD44" i="13"/>
  <c r="AD46" i="13" s="1"/>
  <c r="AR37" i="13"/>
  <c r="X26" i="13"/>
  <c r="X25" i="13"/>
  <c r="AC44" i="13"/>
  <c r="AC24" i="13"/>
  <c r="AV33" i="13"/>
  <c r="AA13" i="13"/>
  <c r="V13" i="13"/>
  <c r="AB13" i="13"/>
  <c r="AB18" i="13" s="1"/>
  <c r="W6" i="13"/>
  <c r="AG6" i="13"/>
  <c r="AG25" i="13" s="1"/>
  <c r="AC8" i="13"/>
  <c r="AJ24" i="13"/>
  <c r="AA6" i="13"/>
  <c r="AK6" i="13"/>
  <c r="V7" i="13"/>
  <c r="V15" i="13" s="1"/>
  <c r="AF7" i="13"/>
  <c r="AF26" i="13" s="1"/>
  <c r="AB17" i="13"/>
  <c r="AR38" i="13"/>
  <c r="AD6" i="16"/>
  <c r="AI10" i="13"/>
  <c r="Y23" i="13" s="1"/>
  <c r="AL5" i="13"/>
  <c r="AL24" i="13" s="1"/>
  <c r="AF4" i="13"/>
  <c r="V4" i="13"/>
  <c r="AD5" i="13"/>
  <c r="AN15" i="13"/>
  <c r="AW34" i="13" s="1"/>
  <c r="AL25" i="13"/>
  <c r="AG7" i="13"/>
  <c r="AG26" i="13" s="1"/>
  <c r="W7" i="13"/>
  <c r="W15" i="13" s="1"/>
  <c r="AC9" i="13"/>
  <c r="AC17" i="13" s="1"/>
  <c r="AM9" i="13"/>
  <c r="AS38" i="13"/>
  <c r="AD23" i="13"/>
  <c r="AC6" i="16"/>
  <c r="AU33" i="13"/>
  <c r="AB44" i="13"/>
  <c r="AB24" i="13"/>
  <c r="W25" i="13"/>
  <c r="AH26" i="13"/>
  <c r="Y6" i="16"/>
  <c r="AN25" i="13"/>
  <c r="AI26" i="13"/>
  <c r="AB6" i="13"/>
  <c r="AB14" i="13" s="1"/>
  <c r="AI24" i="13"/>
  <c r="AQ37" i="13"/>
  <c r="Y24" i="13"/>
  <c r="Y44" i="13"/>
  <c r="AP33" i="13"/>
  <c r="V44" i="13"/>
  <c r="V24" i="13"/>
  <c r="Z15" i="13"/>
  <c r="Z6" i="16"/>
  <c r="Z4" i="13"/>
  <c r="AA7" i="13"/>
  <c r="AA15" i="13" s="1"/>
  <c r="AK7" i="13"/>
  <c r="AK26" i="13" s="1"/>
  <c r="AQ36" i="13"/>
  <c r="AD10" i="13"/>
  <c r="AD17" i="13" s="1"/>
  <c r="Y5" i="13"/>
  <c r="AB15" i="13"/>
  <c r="AR36" i="13"/>
  <c r="AJ4" i="13"/>
  <c r="AD24" i="13"/>
  <c r="V9" i="13"/>
  <c r="X7" i="13"/>
  <c r="X15" i="13" s="1"/>
  <c r="AK18" i="13"/>
  <c r="AT37" i="13" s="1"/>
  <c r="V10" i="13"/>
  <c r="W9" i="13"/>
  <c r="W17" i="13" s="1"/>
  <c r="W5" i="13"/>
  <c r="AK4" i="13"/>
  <c r="AA23" i="13" s="1"/>
  <c r="AA4" i="13"/>
  <c r="AG8" i="13"/>
  <c r="AG27" i="13" s="1"/>
  <c r="AG4" i="13"/>
  <c r="AN9" i="13"/>
  <c r="AN28" i="13" s="1"/>
  <c r="AM7" i="13"/>
  <c r="AM26" i="13" s="1"/>
  <c r="AM5" i="13"/>
  <c r="AM24" i="13" s="1"/>
  <c r="W6" i="16"/>
  <c r="AJ7" i="13"/>
  <c r="AJ26" i="13" s="1"/>
  <c r="AA24" i="13"/>
  <c r="AT33" i="13"/>
  <c r="M32" i="12"/>
  <c r="M84" i="12"/>
  <c r="G16" i="12"/>
  <c r="M5" i="12"/>
  <c r="M59" i="12"/>
  <c r="M33" i="12"/>
  <c r="M82" i="12"/>
  <c r="M14" i="12"/>
  <c r="M69" i="12"/>
  <c r="L8" i="12"/>
  <c r="M44" i="12"/>
  <c r="M92" i="12"/>
  <c r="I16" i="12"/>
  <c r="M27" i="12"/>
  <c r="M96" i="12"/>
  <c r="P7" i="12"/>
  <c r="M24" i="12"/>
  <c r="M65" i="12"/>
  <c r="M29" i="12"/>
  <c r="D106" i="12"/>
  <c r="M47" i="12"/>
  <c r="M85" i="12"/>
  <c r="M99" i="12"/>
  <c r="M100" i="12"/>
  <c r="M48" i="12"/>
  <c r="L16" i="12"/>
  <c r="M66" i="12"/>
  <c r="M30" i="12"/>
  <c r="M40" i="12"/>
  <c r="M60" i="12"/>
  <c r="I8" i="12"/>
  <c r="M52" i="12"/>
  <c r="M81" i="12"/>
  <c r="P3" i="12"/>
  <c r="M9" i="12"/>
  <c r="K16" i="12"/>
  <c r="M37" i="12"/>
  <c r="M74" i="12"/>
  <c r="M102" i="12"/>
  <c r="M103" i="12"/>
  <c r="E16" i="12"/>
  <c r="M49" i="12"/>
  <c r="M67" i="12"/>
  <c r="M90" i="12"/>
  <c r="M104" i="12"/>
  <c r="F16" i="12"/>
  <c r="M17" i="12"/>
  <c r="M62" i="12"/>
  <c r="M63" i="12"/>
  <c r="M78" i="12"/>
  <c r="M79" i="12"/>
  <c r="M97" i="12"/>
  <c r="M25" i="12"/>
  <c r="M50" i="12"/>
  <c r="M64" i="12"/>
  <c r="M80" i="12"/>
  <c r="M101" i="12"/>
  <c r="D8" i="12"/>
  <c r="M13" i="12"/>
  <c r="M15" i="12"/>
  <c r="M42" i="12"/>
  <c r="M43" i="12"/>
  <c r="M94" i="12"/>
  <c r="M95" i="12"/>
  <c r="G8" i="12"/>
  <c r="J16" i="12"/>
  <c r="M19" i="12"/>
  <c r="M39" i="12"/>
  <c r="M57" i="12"/>
  <c r="K106" i="12"/>
  <c r="M12" i="12"/>
  <c r="M18" i="12"/>
  <c r="M73" i="12"/>
  <c r="M77" i="12"/>
  <c r="L106" i="12"/>
  <c r="M41" i="12"/>
  <c r="M75" i="12"/>
  <c r="J106" i="12"/>
  <c r="P6" i="12"/>
  <c r="M54" i="12"/>
  <c r="M55" i="12"/>
  <c r="M89" i="12"/>
  <c r="E8" i="12"/>
  <c r="M2" i="12"/>
  <c r="H8" i="12"/>
  <c r="H16" i="12"/>
  <c r="M20" i="12"/>
  <c r="M21" i="12"/>
  <c r="M22" i="12"/>
  <c r="M56" i="12"/>
  <c r="M70" i="12"/>
  <c r="M71" i="12"/>
  <c r="M93" i="12"/>
  <c r="M45" i="12"/>
  <c r="P2" i="12"/>
  <c r="M34" i="12"/>
  <c r="M35" i="12"/>
  <c r="M72" i="12"/>
  <c r="M86" i="12"/>
  <c r="M87" i="12"/>
  <c r="M105" i="12"/>
  <c r="M26" i="12"/>
  <c r="M28" i="12"/>
  <c r="P5" i="12"/>
  <c r="M11" i="12"/>
  <c r="F8" i="12"/>
  <c r="P4" i="12"/>
  <c r="M10" i="12"/>
  <c r="M36" i="12"/>
  <c r="M51" i="12"/>
  <c r="M58" i="12"/>
  <c r="M88" i="12"/>
  <c r="M40" i="6"/>
  <c r="M10" i="6"/>
  <c r="M14" i="6"/>
  <c r="J8" i="12"/>
  <c r="K8" i="12"/>
  <c r="M4" i="12"/>
  <c r="M7" i="12"/>
  <c r="D16" i="12"/>
  <c r="M3" i="12"/>
  <c r="M6" i="12"/>
  <c r="M9" i="6"/>
  <c r="M64" i="6"/>
  <c r="M8" i="6"/>
  <c r="M67" i="6"/>
  <c r="M12" i="6"/>
  <c r="P6" i="6"/>
  <c r="M4" i="6"/>
  <c r="M74" i="6"/>
  <c r="M48" i="6"/>
  <c r="M41" i="6"/>
  <c r="M13" i="6"/>
  <c r="M86" i="6"/>
  <c r="M76" i="6"/>
  <c r="M69" i="6"/>
  <c r="M66" i="6"/>
  <c r="M62" i="6"/>
  <c r="M36" i="6"/>
  <c r="M11" i="6"/>
  <c r="M88" i="6"/>
  <c r="M39" i="6"/>
  <c r="M7" i="6"/>
  <c r="M22" i="6"/>
  <c r="M38" i="6"/>
  <c r="M17" i="6"/>
  <c r="M5" i="6"/>
  <c r="M57" i="6"/>
  <c r="M45" i="6"/>
  <c r="M31" i="6"/>
  <c r="M83" i="6"/>
  <c r="M87" i="6"/>
  <c r="M77" i="6"/>
  <c r="M37" i="6"/>
  <c r="M35" i="6"/>
  <c r="P7" i="6"/>
  <c r="M43" i="6"/>
  <c r="M92" i="6"/>
  <c r="P3" i="6"/>
  <c r="M91" i="6"/>
  <c r="M75" i="6"/>
  <c r="M58" i="6"/>
  <c r="M21" i="6"/>
  <c r="M20" i="6"/>
  <c r="M73" i="6"/>
  <c r="M49" i="6"/>
  <c r="M47" i="6"/>
  <c r="M46" i="6"/>
  <c r="M18" i="6"/>
  <c r="M72" i="6"/>
  <c r="M42" i="6"/>
  <c r="M71" i="6"/>
  <c r="M29" i="6"/>
  <c r="M34" i="6"/>
  <c r="M55" i="6"/>
  <c r="M68" i="6"/>
  <c r="M44" i="6"/>
  <c r="M59" i="6"/>
  <c r="M85" i="6"/>
  <c r="M90" i="6"/>
  <c r="M65" i="6"/>
  <c r="M30" i="6"/>
  <c r="M54" i="6"/>
  <c r="M27" i="6"/>
  <c r="M26" i="6"/>
  <c r="M24" i="6"/>
  <c r="M81" i="6"/>
  <c r="M52" i="6"/>
  <c r="M78" i="6"/>
  <c r="M50" i="6"/>
  <c r="M60" i="6"/>
  <c r="M33" i="6"/>
  <c r="M19" i="6"/>
  <c r="M84" i="6"/>
  <c r="M70" i="6"/>
  <c r="M56" i="6"/>
  <c r="M28" i="6"/>
  <c r="M53" i="6"/>
  <c r="M79" i="6"/>
  <c r="M63" i="6"/>
  <c r="M51" i="6"/>
  <c r="M89" i="6"/>
  <c r="M61" i="6"/>
  <c r="M82" i="6"/>
  <c r="M25" i="6"/>
  <c r="M23" i="6"/>
  <c r="M80" i="6"/>
  <c r="M32" i="6"/>
  <c r="M16" i="6"/>
  <c r="M15" i="6"/>
  <c r="M6" i="6"/>
  <c r="P5" i="6"/>
  <c r="P4" i="6"/>
  <c r="M3" i="6"/>
  <c r="M2" i="6"/>
  <c r="P2" i="6"/>
  <c r="X69" i="13" l="1"/>
  <c r="Y69" i="13" s="1"/>
  <c r="Z69" i="13" s="1"/>
  <c r="AA69" i="13" s="1"/>
  <c r="AB69" i="13" s="1"/>
  <c r="AC69" i="13" s="1"/>
  <c r="AD69" i="13" s="1"/>
  <c r="X23" i="13"/>
  <c r="Y14" i="13"/>
  <c r="AT36" i="13"/>
  <c r="AJ25" i="13"/>
  <c r="AI28" i="13"/>
  <c r="AA14" i="13"/>
  <c r="W45" i="13"/>
  <c r="AG23" i="13"/>
  <c r="AQ33" i="13"/>
  <c r="AN27" i="13"/>
  <c r="X44" i="13"/>
  <c r="X46" i="13" s="1"/>
  <c r="Y17" i="13"/>
  <c r="X12" i="13"/>
  <c r="AH23" i="13"/>
  <c r="AB23" i="13"/>
  <c r="AC41" i="13"/>
  <c r="AD13" i="13"/>
  <c r="Y45" i="13"/>
  <c r="AM28" i="13"/>
  <c r="AC45" i="13"/>
  <c r="AC46" i="13" s="1"/>
  <c r="Z13" i="13"/>
  <c r="AG24" i="13"/>
  <c r="Y13" i="13"/>
  <c r="Y41" i="13"/>
  <c r="AH27" i="13"/>
  <c r="X14" i="13"/>
  <c r="X18" i="13" s="1"/>
  <c r="W13" i="13"/>
  <c r="W41" i="13"/>
  <c r="W23" i="13"/>
  <c r="Z26" i="13"/>
  <c r="Z12" i="13"/>
  <c r="Z41" i="13"/>
  <c r="Z25" i="13"/>
  <c r="X41" i="13"/>
  <c r="AJ23" i="13"/>
  <c r="Z45" i="13"/>
  <c r="Z46" i="13" s="1"/>
  <c r="Z23" i="13"/>
  <c r="AS36" i="13"/>
  <c r="AS37" i="13"/>
  <c r="W12" i="13"/>
  <c r="V45" i="13"/>
  <c r="AF25" i="13"/>
  <c r="AW33" i="13"/>
  <c r="V23" i="13"/>
  <c r="X16" i="13"/>
  <c r="AK23" i="13"/>
  <c r="AA45" i="13"/>
  <c r="AA46" i="13" s="1"/>
  <c r="AK25" i="13"/>
  <c r="AK24" i="13"/>
  <c r="W46" i="13"/>
  <c r="AK27" i="13"/>
  <c r="AA16" i="13"/>
  <c r="V41" i="13"/>
  <c r="V26" i="13"/>
  <c r="V25" i="13"/>
  <c r="V12" i="13"/>
  <c r="AC16" i="13"/>
  <c r="AC18" i="13" s="1"/>
  <c r="AM27" i="13"/>
  <c r="AA26" i="13"/>
  <c r="AA12" i="13"/>
  <c r="AA41" i="13"/>
  <c r="AA25" i="13"/>
  <c r="Y12" i="13"/>
  <c r="V17" i="13"/>
  <c r="AD41" i="13"/>
  <c r="AD25" i="13"/>
  <c r="AD12" i="13"/>
  <c r="AD26" i="13"/>
  <c r="V46" i="13"/>
  <c r="AB45" i="13"/>
  <c r="W16" i="13"/>
  <c r="AB46" i="13"/>
  <c r="Y46" i="13"/>
  <c r="W14" i="13"/>
  <c r="V14" i="13"/>
  <c r="M83" i="12"/>
  <c r="M31" i="12"/>
  <c r="M68" i="12"/>
  <c r="M23" i="12"/>
  <c r="M38" i="12"/>
  <c r="M46" i="12"/>
  <c r="M91" i="12"/>
  <c r="M98" i="12"/>
  <c r="M76" i="12"/>
  <c r="M106" i="12"/>
  <c r="M53" i="12"/>
  <c r="M8" i="12"/>
  <c r="M61" i="12"/>
  <c r="M16" i="12"/>
  <c r="X68" i="13" l="1"/>
  <c r="Y68" i="13" s="1"/>
  <c r="Z68" i="13" s="1"/>
  <c r="AA68" i="13" s="1"/>
  <c r="AB68" i="13" s="1"/>
  <c r="AC68" i="13" s="1"/>
  <c r="AD68" i="13" s="1"/>
  <c r="AE44" i="13"/>
  <c r="AE45" i="13"/>
  <c r="Y18" i="13"/>
  <c r="Z18" i="13"/>
  <c r="AD18" i="13"/>
  <c r="V18" i="13"/>
  <c r="W18" i="13"/>
  <c r="AE46" i="13"/>
  <c r="AA18"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5431392-1384-42AB-BA5E-0C62B2A77DDB}" keepAlive="1" name="Query - Table036 (Page 18)" description="Connection to the 'Table036 (Page 18)' query in the workbook." type="5" refreshedVersion="0" background="1">
    <dbPr connection="Provider=Microsoft.Mashup.OleDb.1;Data Source=$Workbook$;Location=&quot;Table036 (Page 18)&quot;;Extended Properties=&quot;&quot;" command="SELECT * FROM [Table036 (Page 18)]"/>
  </connection>
  <connection id="2" xr16:uid="{22A90564-D3BD-40DC-BB42-3772E4B9741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928AE7BB-4C65-486F-ACA0-E39A160CADC4}" name="WorksheetConnection_Unpivoted!$A$1:$G$820" type="102" refreshedVersion="8" minRefreshableVersion="5">
    <extLst>
      <ext xmlns:x15="http://schemas.microsoft.com/office/spreadsheetml/2010/11/main" uri="{DE250136-89BD-433C-8126-D09CA5730AF9}">
        <x15:connection id="Range" autoDelete="1">
          <x15:rangePr sourceName="_xlcn.WorksheetConnection_UnpivotedA1G820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<sst xmlns="http://schemas.openxmlformats.org/spreadsheetml/2006/main" count="8572" uniqueCount="143">
  <si>
    <t>2016-2017</t>
  </si>
  <si>
    <t>2017-2018</t>
  </si>
  <si>
    <t>2018-2019</t>
  </si>
  <si>
    <t>2019-2020</t>
  </si>
  <si>
    <t>2020-2021</t>
  </si>
  <si>
    <t>2021-2022</t>
  </si>
  <si>
    <t>2022-2023</t>
  </si>
  <si>
    <t>Homicide</t>
  </si>
  <si>
    <t>Sexual Offences</t>
  </si>
  <si>
    <t>Values</t>
  </si>
  <si>
    <t>Brisbane</t>
  </si>
  <si>
    <t>Beenleigh</t>
  </si>
  <si>
    <t>Cairns</t>
  </si>
  <si>
    <t>Ipswich</t>
  </si>
  <si>
    <t>Maroochy</t>
  </si>
  <si>
    <t>Rockhampton</t>
  </si>
  <si>
    <t>Southport</t>
  </si>
  <si>
    <t>Toowoomba</t>
  </si>
  <si>
    <t>Townsville</t>
  </si>
  <si>
    <t>Directorate</t>
  </si>
  <si>
    <t>Total</t>
  </si>
  <si>
    <t>Grand Total</t>
  </si>
  <si>
    <t>Murder</t>
  </si>
  <si>
    <t>Attempted murder</t>
  </si>
  <si>
    <t>Manslaughter</t>
  </si>
  <si>
    <t>Dangerous op. causing death</t>
  </si>
  <si>
    <t>Striking causing death</t>
  </si>
  <si>
    <t>Other Chapter 28 (ss.307-314)</t>
  </si>
  <si>
    <t>Rape</t>
  </si>
  <si>
    <t>Sexual assault</t>
  </si>
  <si>
    <t>Unlawful carnal knowledge</t>
  </si>
  <si>
    <t>Unlawful sodomy</t>
  </si>
  <si>
    <t>Indecent treatment</t>
  </si>
  <si>
    <t>CEM (incl. Cth Code)</t>
  </si>
  <si>
    <t>Other Chapter 22 (ss.211-229B)</t>
  </si>
  <si>
    <t>2022-2024</t>
  </si>
  <si>
    <t>2022-2025</t>
  </si>
  <si>
    <t>2022-2026</t>
  </si>
  <si>
    <t>2022-2027</t>
  </si>
  <si>
    <t>2022-2028</t>
  </si>
  <si>
    <t>2022-2029</t>
  </si>
  <si>
    <t>2022-2030</t>
  </si>
  <si>
    <t>2022-2031</t>
  </si>
  <si>
    <t>Are these categories the same?</t>
  </si>
  <si>
    <t>Category</t>
  </si>
  <si>
    <t>Year</t>
  </si>
  <si>
    <t>Row Labels</t>
  </si>
  <si>
    <t>(All)</t>
  </si>
  <si>
    <t>Sum of Brisbane</t>
  </si>
  <si>
    <t>Sum of Beenleigh</t>
  </si>
  <si>
    <t>Sum of Cairns</t>
  </si>
  <si>
    <t>Sum of Ipswich</t>
  </si>
  <si>
    <t>Sum of Maroochy</t>
  </si>
  <si>
    <t>Sum of Rockhampton</t>
  </si>
  <si>
    <t>Sum of Southport</t>
  </si>
  <si>
    <t>Sum of Toowoomba</t>
  </si>
  <si>
    <t>Sum of Townsville</t>
  </si>
  <si>
    <t>Population</t>
  </si>
  <si>
    <t>Locality</t>
  </si>
  <si>
    <t>Population Increase</t>
  </si>
  <si>
    <t>Population (hundreds of thousands)</t>
  </si>
  <si>
    <t>Total:</t>
  </si>
  <si>
    <t>Average</t>
  </si>
  <si>
    <t>Average:</t>
  </si>
  <si>
    <t>Average of Beenleigh</t>
  </si>
  <si>
    <t xml:space="preserve">Total Population </t>
  </si>
  <si>
    <t>Population Increase (%)</t>
  </si>
  <si>
    <t>Total increase in overall crime</t>
  </si>
  <si>
    <t>Average % increase in overall crime per year</t>
  </si>
  <si>
    <t>Zero</t>
  </si>
  <si>
    <t>Sum of Zero</t>
  </si>
  <si>
    <t>Total Crime</t>
  </si>
  <si>
    <t>Average % increase in Sexual Offence charges</t>
  </si>
  <si>
    <t>Average % increase in Homicide charges</t>
  </si>
  <si>
    <t>Average % increase in charges for both categories</t>
  </si>
  <si>
    <t>Total number increase in charges for both categories</t>
  </si>
  <si>
    <t>Increase in Sexual Offence charges</t>
  </si>
  <si>
    <t>increase in Homicide charges</t>
  </si>
  <si>
    <t>Increase in Total Sexual Offence + Homicide Charges</t>
  </si>
  <si>
    <t>- Brisbane</t>
  </si>
  <si>
    <t>- Cairns</t>
  </si>
  <si>
    <t>- Townsville</t>
  </si>
  <si>
    <t>- Ipswich</t>
  </si>
  <si>
    <t>- Maroochy</t>
  </si>
  <si>
    <t>- Rockhampton</t>
  </si>
  <si>
    <t>- Southport</t>
  </si>
  <si>
    <t>- Toowoomba</t>
  </si>
  <si>
    <t>Total Rate for Homicides</t>
  </si>
  <si>
    <t>23.2,</t>
  </si>
  <si>
    <t>17.47,</t>
  </si>
  <si>
    <t>23.7,</t>
  </si>
  <si>
    <t>20.53,</t>
  </si>
  <si>
    <t>21.2,</t>
  </si>
  <si>
    <t>22.44,</t>
  </si>
  <si>
    <t>29.98,</t>
  </si>
  <si>
    <t>28.91,</t>
  </si>
  <si>
    <t>25.46,</t>
  </si>
  <si>
    <t>27.02,</t>
  </si>
  <si>
    <t>21.91,</t>
  </si>
  <si>
    <t>24.23,</t>
  </si>
  <si>
    <t>28.16,</t>
  </si>
  <si>
    <t>30.69,</t>
  </si>
  <si>
    <t>46.29,</t>
  </si>
  <si>
    <t>38.73,</t>
  </si>
  <si>
    <t>22.62,</t>
  </si>
  <si>
    <t>47.58,</t>
  </si>
  <si>
    <t>44.01,</t>
  </si>
  <si>
    <t>44.88,</t>
  </si>
  <si>
    <t>32.52,</t>
  </si>
  <si>
    <t>20.75,</t>
  </si>
  <si>
    <t>24.45,</t>
  </si>
  <si>
    <t>18.55,</t>
  </si>
  <si>
    <t>21.93,</t>
  </si>
  <si>
    <t>29.27,</t>
  </si>
  <si>
    <t>20.85,</t>
  </si>
  <si>
    <t>20.64,</t>
  </si>
  <si>
    <t>25.43,</t>
  </si>
  <si>
    <t>23.09,</t>
  </si>
  <si>
    <t>17.82,</t>
  </si>
  <si>
    <t>15.89,</t>
  </si>
  <si>
    <t>8.7,</t>
  </si>
  <si>
    <t>35.38,</t>
  </si>
  <si>
    <t>49.68,</t>
  </si>
  <si>
    <t>Prs. Coefficient Homicide</t>
  </si>
  <si>
    <t>Prs. Coefficient Sexual Offences</t>
  </si>
  <si>
    <t>Sexual</t>
  </si>
  <si>
    <t>Maroochy, southport, beenleigh</t>
  </si>
  <si>
    <t>Population vs homicide</t>
  </si>
  <si>
    <t>Locale</t>
  </si>
  <si>
    <t>Homicide Rate</t>
  </si>
  <si>
    <t>Total Rate for Sex Offences</t>
  </si>
  <si>
    <t>Pearsons homicide and sexual assault small</t>
  </si>
  <si>
    <t>Pearsons homicide and sexual assault large</t>
  </si>
  <si>
    <t>Number</t>
  </si>
  <si>
    <t>Value</t>
  </si>
  <si>
    <t>Sum of Number</t>
  </si>
  <si>
    <t>% Increase from Previous Year</t>
  </si>
  <si>
    <t>Average of % Increase from Previous Year</t>
  </si>
  <si>
    <t>Year2</t>
  </si>
  <si>
    <t>Average  Increase from Previous Year</t>
  </si>
  <si>
    <t>Trends</t>
  </si>
  <si>
    <t>Trends Sum</t>
  </si>
  <si>
    <t xml:space="preserve"> % Increase in rate of charges per 100,000 population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</si>
</sst>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8"/>
      <name val="Calibri"/>
      <family val="2"/>
      <scheme val="minor"/>
    </font>
    <font>
      <sz val="14"/>
      <color theme="1"/>
      <name val="Calibri"/>
      <family val="2"/>
      <scheme val="minor"/>
    </font>
    <font>
      <b/>
      <sz val="12"/>
      <color theme="1"/>
      <name val="Calibri"/>
      <family val="2"/>
      <scheme val="minor"/>
    </font>
  </fonts>
  <fills count="12">
    <fill>
      <patternFill patternType="none"/>
    </fill>
    <fill>
      <patternFill patternType="gray125"/>
    </fill>
    <fill>
      <patternFill patternType="solid">
        <fgColor theme="7" tint="0.59999389629810485"/>
        <bgColor indexed="64"/>
      </patternFill>
    </fill>
    <fill>
      <patternFill patternType="solid">
        <fgColor theme="7" tint="-0.499984740745262"/>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7" tint="0.79998168889431442"/>
        <bgColor theme="7" tint="0.59999389629810485"/>
      </patternFill>
    </fill>
  </fills>
  <borders count="2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9" fontId="1" fillId="0" borderId="0" applyFont="0" applyFill="0" applyBorder="0" applyAlignment="0" applyProtection="0"/>
  </cellStyleXfs>
  <cellXfs count="230">
    <xf numFmtId="0" fontId="0" fillId="0" borderId="0" xfId="0"/>
    <xf numFmtId="0" fontId="3" fillId="0" borderId="0" xfId="0" applyFont="1"/>
    <xf numFmtId="0" fontId="0" fillId="0" borderId="0" xfId="0" pivotButton="1"/>
    <xf numFmtId="0" fontId="0" fillId="0" borderId="0" xfId="0" applyAlignment="1">
      <alignment horizontal="left"/>
    </xf>
    <xf numFmtId="0" fontId="6" fillId="0" borderId="0" xfId="0" applyFont="1"/>
    <xf numFmtId="2" fontId="0" fillId="0" borderId="0" xfId="0" applyNumberFormat="1"/>
    <xf numFmtId="0" fontId="0" fillId="3" borderId="8" xfId="0" applyFill="1" applyBorder="1" applyAlignment="1">
      <alignment horizontal="center" vertical="center"/>
    </xf>
    <xf numFmtId="0" fontId="0" fillId="3" borderId="2" xfId="0" applyFill="1" applyBorder="1"/>
    <xf numFmtId="0" fontId="0" fillId="3" borderId="2" xfId="0" applyFill="1" applyBorder="1" applyAlignment="1">
      <alignment horizontal="right" vertical="center"/>
    </xf>
    <xf numFmtId="0" fontId="0" fillId="3" borderId="3" xfId="0" applyFill="1" applyBorder="1"/>
    <xf numFmtId="0" fontId="0" fillId="3" borderId="0" xfId="0" applyFill="1"/>
    <xf numFmtId="0" fontId="0" fillId="3" borderId="0" xfId="0" applyFill="1" applyAlignment="1">
      <alignment horizontal="right" vertical="center"/>
    </xf>
    <xf numFmtId="0" fontId="0" fillId="3" borderId="10" xfId="0" applyFill="1" applyBorder="1"/>
    <xf numFmtId="0" fontId="0" fillId="3" borderId="5" xfId="0" applyFill="1" applyBorder="1"/>
    <xf numFmtId="0" fontId="0" fillId="3" borderId="5" xfId="0" applyFill="1" applyBorder="1" applyAlignment="1">
      <alignment horizontal="right" vertical="center"/>
    </xf>
    <xf numFmtId="0" fontId="0" fillId="4" borderId="2" xfId="0" applyFill="1" applyBorder="1"/>
    <xf numFmtId="0" fontId="0" fillId="4" borderId="2" xfId="0" applyFill="1" applyBorder="1" applyAlignment="1">
      <alignment horizontal="right" vertical="center"/>
    </xf>
    <xf numFmtId="0" fontId="0" fillId="4" borderId="0" xfId="0" applyFill="1"/>
    <xf numFmtId="0" fontId="0" fillId="4" borderId="0" xfId="0" applyFill="1" applyAlignment="1">
      <alignment horizontal="right" vertical="center"/>
    </xf>
    <xf numFmtId="0" fontId="0" fillId="4" borderId="5" xfId="0" applyFill="1" applyBorder="1"/>
    <xf numFmtId="0" fontId="0" fillId="4" borderId="5" xfId="0" applyFill="1" applyBorder="1" applyAlignment="1">
      <alignment horizontal="right" vertical="center"/>
    </xf>
    <xf numFmtId="0" fontId="0" fillId="5" borderId="2" xfId="0" applyFill="1" applyBorder="1"/>
    <xf numFmtId="0" fontId="0" fillId="5" borderId="2" xfId="0" applyFill="1" applyBorder="1" applyAlignment="1">
      <alignment horizontal="right" vertical="center"/>
    </xf>
    <xf numFmtId="0" fontId="0" fillId="5" borderId="0" xfId="0" applyFill="1"/>
    <xf numFmtId="0" fontId="0" fillId="5" borderId="0" xfId="0" applyFill="1" applyAlignment="1">
      <alignment horizontal="right" vertical="center"/>
    </xf>
    <xf numFmtId="0" fontId="0" fillId="5" borderId="5" xfId="0" applyFill="1" applyBorder="1"/>
    <xf numFmtId="0" fontId="0" fillId="5" borderId="5" xfId="0" applyFill="1" applyBorder="1" applyAlignment="1">
      <alignment horizontal="right" vertical="center"/>
    </xf>
    <xf numFmtId="0" fontId="0" fillId="2" borderId="2" xfId="0" applyFill="1" applyBorder="1"/>
    <xf numFmtId="0" fontId="0" fillId="2" borderId="0" xfId="0" applyFill="1"/>
    <xf numFmtId="0" fontId="0" fillId="2" borderId="5" xfId="0" applyFill="1" applyBorder="1"/>
    <xf numFmtId="0" fontId="0" fillId="2" borderId="2" xfId="0" applyFill="1" applyBorder="1" applyAlignment="1">
      <alignment horizontal="right" vertical="center"/>
    </xf>
    <xf numFmtId="0" fontId="0" fillId="2" borderId="0" xfId="0" applyFill="1" applyAlignment="1">
      <alignment horizontal="right" vertical="center"/>
    </xf>
    <xf numFmtId="0" fontId="0" fillId="2" borderId="5" xfId="0" applyFill="1" applyBorder="1" applyAlignment="1">
      <alignment horizontal="right" vertical="center"/>
    </xf>
    <xf numFmtId="0" fontId="0" fillId="6" borderId="0" xfId="0" applyFill="1"/>
    <xf numFmtId="0" fontId="0" fillId="6" borderId="0" xfId="0" applyFill="1" applyAlignment="1">
      <alignment horizontal="right" vertical="center"/>
    </xf>
    <xf numFmtId="0" fontId="0" fillId="6" borderId="5" xfId="0" applyFill="1" applyBorder="1"/>
    <xf numFmtId="0" fontId="0" fillId="6" borderId="5" xfId="0" applyFill="1" applyBorder="1" applyAlignment="1">
      <alignment horizontal="right" vertical="center"/>
    </xf>
    <xf numFmtId="0" fontId="0" fillId="6" borderId="2" xfId="0" applyFill="1" applyBorder="1"/>
    <xf numFmtId="0" fontId="0" fillId="6" borderId="2" xfId="0" applyFill="1" applyBorder="1" applyAlignment="1">
      <alignment horizontal="right" vertical="center"/>
    </xf>
    <xf numFmtId="0" fontId="0" fillId="7" borderId="0" xfId="0" applyFill="1"/>
    <xf numFmtId="0" fontId="0" fillId="7" borderId="0" xfId="0" applyFill="1" applyAlignment="1">
      <alignment horizontal="right" vertical="center"/>
    </xf>
    <xf numFmtId="0" fontId="0" fillId="7" borderId="5" xfId="0" applyFill="1" applyBorder="1"/>
    <xf numFmtId="0" fontId="0" fillId="7" borderId="5" xfId="0" applyFill="1" applyBorder="1" applyAlignment="1">
      <alignment horizontal="right" vertical="center"/>
    </xf>
    <xf numFmtId="0" fontId="0" fillId="7" borderId="2" xfId="0" applyFill="1" applyBorder="1"/>
    <xf numFmtId="0" fontId="0" fillId="7" borderId="2" xfId="0" applyFill="1" applyBorder="1" applyAlignment="1">
      <alignment horizontal="right" vertical="center"/>
    </xf>
    <xf numFmtId="0" fontId="0" fillId="8" borderId="0" xfId="0" applyFill="1"/>
    <xf numFmtId="0" fontId="0" fillId="8" borderId="0" xfId="0" applyFill="1" applyAlignment="1">
      <alignment horizontal="right" vertical="center"/>
    </xf>
    <xf numFmtId="0" fontId="0" fillId="8" borderId="5" xfId="0" applyFill="1" applyBorder="1"/>
    <xf numFmtId="0" fontId="0" fillId="8" borderId="5" xfId="0" applyFill="1" applyBorder="1" applyAlignment="1">
      <alignment horizontal="right" vertical="center"/>
    </xf>
    <xf numFmtId="0" fontId="0" fillId="8" borderId="2" xfId="0" applyFill="1" applyBorder="1"/>
    <xf numFmtId="0" fontId="0" fillId="8" borderId="2" xfId="0" applyFill="1" applyBorder="1" applyAlignment="1">
      <alignment horizontal="right" vertical="center"/>
    </xf>
    <xf numFmtId="0" fontId="5" fillId="3" borderId="0" xfId="0" applyFont="1" applyFill="1" applyAlignment="1">
      <alignment horizontal="center" vertical="center" textRotation="90"/>
    </xf>
    <xf numFmtId="0" fontId="5" fillId="4" borderId="0" xfId="0" applyFont="1" applyFill="1" applyAlignment="1">
      <alignment horizontal="center" vertical="center" textRotation="90"/>
    </xf>
    <xf numFmtId="0" fontId="5" fillId="5" borderId="0" xfId="0" applyFont="1" applyFill="1" applyAlignment="1">
      <alignment horizontal="center" vertical="center" textRotation="90"/>
    </xf>
    <xf numFmtId="0" fontId="5" fillId="2" borderId="0" xfId="0" applyFont="1" applyFill="1" applyAlignment="1">
      <alignment horizontal="center" vertical="center" textRotation="90"/>
    </xf>
    <xf numFmtId="0" fontId="5" fillId="6" borderId="0" xfId="0" applyFont="1" applyFill="1" applyAlignment="1">
      <alignment horizontal="center" vertical="center" textRotation="90"/>
    </xf>
    <xf numFmtId="0" fontId="5" fillId="7" borderId="0" xfId="0" applyFont="1" applyFill="1" applyAlignment="1">
      <alignment horizontal="center" vertical="center" textRotation="90"/>
    </xf>
    <xf numFmtId="0" fontId="5" fillId="8" borderId="0" xfId="0" applyFont="1" applyFill="1" applyAlignment="1">
      <alignment horizontal="center" vertical="center" textRotation="90"/>
    </xf>
    <xf numFmtId="0" fontId="0" fillId="3" borderId="12" xfId="0" applyFill="1" applyBorder="1"/>
    <xf numFmtId="0" fontId="0" fillId="3" borderId="12" xfId="0" applyFill="1" applyBorder="1" applyAlignment="1">
      <alignment horizontal="right" vertical="center"/>
    </xf>
    <xf numFmtId="0" fontId="0" fillId="3" borderId="11" xfId="0" applyFill="1" applyBorder="1" applyAlignment="1">
      <alignment horizontal="center" vertical="center"/>
    </xf>
    <xf numFmtId="0" fontId="0" fillId="4" borderId="12" xfId="0" applyFill="1" applyBorder="1"/>
    <xf numFmtId="0" fontId="0" fillId="4" borderId="12" xfId="0" applyFill="1" applyBorder="1" applyAlignment="1">
      <alignment horizontal="right" vertical="center"/>
    </xf>
    <xf numFmtId="0" fontId="0" fillId="5" borderId="12" xfId="0" applyFill="1" applyBorder="1"/>
    <xf numFmtId="0" fontId="0" fillId="5" borderId="12" xfId="0" applyFill="1" applyBorder="1" applyAlignment="1">
      <alignment horizontal="right" vertical="center"/>
    </xf>
    <xf numFmtId="0" fontId="0" fillId="2" borderId="12" xfId="0" applyFill="1" applyBorder="1"/>
    <xf numFmtId="0" fontId="0" fillId="2" borderId="12" xfId="0" applyFill="1" applyBorder="1" applyAlignment="1">
      <alignment horizontal="right" vertical="center"/>
    </xf>
    <xf numFmtId="0" fontId="0" fillId="6" borderId="12" xfId="0" applyFill="1" applyBorder="1"/>
    <xf numFmtId="0" fontId="0" fillId="6" borderId="12" xfId="0" applyFill="1" applyBorder="1" applyAlignment="1">
      <alignment horizontal="right" vertical="center"/>
    </xf>
    <xf numFmtId="0" fontId="0" fillId="8" borderId="12" xfId="0" applyFill="1" applyBorder="1"/>
    <xf numFmtId="0" fontId="0" fillId="8" borderId="12" xfId="0" applyFill="1" applyBorder="1" applyAlignment="1">
      <alignment horizontal="right" vertical="center"/>
    </xf>
    <xf numFmtId="0" fontId="0" fillId="7" borderId="12" xfId="0" applyFill="1" applyBorder="1"/>
    <xf numFmtId="0" fontId="0" fillId="7" borderId="12" xfId="0" applyFill="1" applyBorder="1" applyAlignment="1">
      <alignment horizontal="right" vertical="center"/>
    </xf>
    <xf numFmtId="0" fontId="0" fillId="7" borderId="13" xfId="0" applyFill="1" applyBorder="1"/>
    <xf numFmtId="0" fontId="0" fillId="8" borderId="13" xfId="0" applyFill="1" applyBorder="1"/>
    <xf numFmtId="0" fontId="0" fillId="6" borderId="13" xfId="0" applyFill="1" applyBorder="1"/>
    <xf numFmtId="0" fontId="0" fillId="2" borderId="13" xfId="0" applyFill="1" applyBorder="1"/>
    <xf numFmtId="0" fontId="0" fillId="5" borderId="13" xfId="0" applyFill="1" applyBorder="1"/>
    <xf numFmtId="0" fontId="0" fillId="4" borderId="13" xfId="0" applyFill="1" applyBorder="1"/>
    <xf numFmtId="0" fontId="0" fillId="3" borderId="13" xfId="0" applyFill="1" applyBorder="1"/>
    <xf numFmtId="0" fontId="3" fillId="2" borderId="0" xfId="0" applyFont="1" applyFill="1"/>
    <xf numFmtId="2" fontId="0" fillId="3" borderId="2" xfId="0" applyNumberFormat="1" applyFill="1" applyBorder="1"/>
    <xf numFmtId="2" fontId="0" fillId="3" borderId="0" xfId="0" applyNumberFormat="1" applyFill="1"/>
    <xf numFmtId="2" fontId="0" fillId="3" borderId="12" xfId="0" applyNumberFormat="1" applyFill="1" applyBorder="1"/>
    <xf numFmtId="2" fontId="0" fillId="4" borderId="0" xfId="0" applyNumberFormat="1" applyFill="1"/>
    <xf numFmtId="2" fontId="0" fillId="4" borderId="12" xfId="0" applyNumberFormat="1" applyFill="1" applyBorder="1"/>
    <xf numFmtId="2" fontId="0" fillId="5" borderId="0" xfId="0" applyNumberFormat="1" applyFill="1"/>
    <xf numFmtId="2" fontId="0" fillId="5" borderId="12" xfId="0" applyNumberFormat="1" applyFill="1" applyBorder="1"/>
    <xf numFmtId="2" fontId="0" fillId="2" borderId="0" xfId="0" applyNumberFormat="1" applyFill="1"/>
    <xf numFmtId="2" fontId="0" fillId="2" borderId="12" xfId="0" applyNumberFormat="1" applyFill="1" applyBorder="1"/>
    <xf numFmtId="2" fontId="0" fillId="6" borderId="0" xfId="0" applyNumberFormat="1" applyFill="1"/>
    <xf numFmtId="2" fontId="0" fillId="6" borderId="12" xfId="0" applyNumberFormat="1" applyFill="1" applyBorder="1"/>
    <xf numFmtId="2" fontId="0" fillId="8" borderId="0" xfId="0" applyNumberFormat="1" applyFill="1"/>
    <xf numFmtId="2" fontId="0" fillId="8" borderId="12" xfId="0" applyNumberFormat="1" applyFill="1" applyBorder="1"/>
    <xf numFmtId="2" fontId="0" fillId="7" borderId="0" xfId="0" applyNumberFormat="1" applyFill="1"/>
    <xf numFmtId="2" fontId="0" fillId="7" borderId="12" xfId="0" applyNumberFormat="1" applyFill="1" applyBorder="1"/>
    <xf numFmtId="2" fontId="0" fillId="3" borderId="5" xfId="0" applyNumberFormat="1" applyFill="1" applyBorder="1"/>
    <xf numFmtId="2" fontId="0" fillId="4" borderId="5" xfId="0" applyNumberFormat="1" applyFill="1" applyBorder="1"/>
    <xf numFmtId="2" fontId="0" fillId="4" borderId="2" xfId="0" applyNumberFormat="1" applyFill="1" applyBorder="1"/>
    <xf numFmtId="2" fontId="0" fillId="5" borderId="5" xfId="0" applyNumberFormat="1" applyFill="1" applyBorder="1"/>
    <xf numFmtId="2" fontId="0" fillId="5" borderId="2" xfId="0" applyNumberFormat="1" applyFill="1" applyBorder="1"/>
    <xf numFmtId="2" fontId="0" fillId="2" borderId="5" xfId="0" applyNumberFormat="1" applyFill="1" applyBorder="1"/>
    <xf numFmtId="2" fontId="0" fillId="2" borderId="2" xfId="0" applyNumberFormat="1" applyFill="1" applyBorder="1"/>
    <xf numFmtId="2" fontId="0" fillId="6" borderId="5" xfId="0" applyNumberFormat="1" applyFill="1" applyBorder="1"/>
    <xf numFmtId="2" fontId="0" fillId="6" borderId="2" xfId="0" applyNumberFormat="1" applyFill="1" applyBorder="1"/>
    <xf numFmtId="2" fontId="0" fillId="8" borderId="5" xfId="0" applyNumberFormat="1" applyFill="1" applyBorder="1"/>
    <xf numFmtId="2" fontId="0" fillId="8" borderId="2" xfId="0" applyNumberFormat="1" applyFill="1" applyBorder="1"/>
    <xf numFmtId="2" fontId="0" fillId="7" borderId="5" xfId="0" applyNumberFormat="1" applyFill="1" applyBorder="1"/>
    <xf numFmtId="2" fontId="0" fillId="7" borderId="2" xfId="0" applyNumberFormat="1" applyFill="1" applyBorder="1"/>
    <xf numFmtId="0" fontId="0" fillId="3" borderId="3" xfId="0" applyFill="1" applyBorder="1" applyAlignment="1">
      <alignment horizontal="right"/>
    </xf>
    <xf numFmtId="0" fontId="0" fillId="3" borderId="10" xfId="0" applyFill="1" applyBorder="1" applyAlignment="1">
      <alignment horizontal="right"/>
    </xf>
    <xf numFmtId="0" fontId="0" fillId="3" borderId="6" xfId="0" applyFill="1" applyBorder="1" applyAlignment="1">
      <alignment horizontal="right"/>
    </xf>
    <xf numFmtId="0" fontId="0" fillId="4" borderId="3" xfId="0" applyFill="1" applyBorder="1" applyAlignment="1">
      <alignment horizontal="right"/>
    </xf>
    <xf numFmtId="0" fontId="0" fillId="4" borderId="10" xfId="0" applyFill="1" applyBorder="1" applyAlignment="1">
      <alignment horizontal="right"/>
    </xf>
    <xf numFmtId="0" fontId="0" fillId="4" borderId="6" xfId="0" applyFill="1" applyBorder="1" applyAlignment="1">
      <alignment horizontal="right"/>
    </xf>
    <xf numFmtId="0" fontId="0" fillId="5" borderId="3" xfId="0" applyFill="1" applyBorder="1" applyAlignment="1">
      <alignment horizontal="right"/>
    </xf>
    <xf numFmtId="0" fontId="0" fillId="5" borderId="10" xfId="0" applyFill="1" applyBorder="1" applyAlignment="1">
      <alignment horizontal="right"/>
    </xf>
    <xf numFmtId="0" fontId="0" fillId="5" borderId="6" xfId="0" applyFill="1" applyBorder="1" applyAlignment="1">
      <alignment horizontal="right"/>
    </xf>
    <xf numFmtId="0" fontId="0" fillId="2" borderId="3" xfId="0" applyFill="1" applyBorder="1" applyAlignment="1">
      <alignment horizontal="right"/>
    </xf>
    <xf numFmtId="0" fontId="0" fillId="2" borderId="10" xfId="0" applyFill="1" applyBorder="1" applyAlignment="1">
      <alignment horizontal="right"/>
    </xf>
    <xf numFmtId="0" fontId="0" fillId="2" borderId="6" xfId="0" applyFill="1" applyBorder="1" applyAlignment="1">
      <alignment horizontal="right"/>
    </xf>
    <xf numFmtId="0" fontId="0" fillId="6" borderId="3" xfId="0" applyFill="1" applyBorder="1" applyAlignment="1">
      <alignment horizontal="right"/>
    </xf>
    <xf numFmtId="0" fontId="0" fillId="6" borderId="10" xfId="0" applyFill="1" applyBorder="1" applyAlignment="1">
      <alignment horizontal="right"/>
    </xf>
    <xf numFmtId="0" fontId="0" fillId="6" borderId="6" xfId="0" applyFill="1" applyBorder="1" applyAlignment="1">
      <alignment horizontal="right"/>
    </xf>
    <xf numFmtId="0" fontId="0" fillId="8" borderId="3" xfId="0" applyFill="1" applyBorder="1" applyAlignment="1">
      <alignment horizontal="right"/>
    </xf>
    <xf numFmtId="0" fontId="0" fillId="8" borderId="10" xfId="0" applyFill="1" applyBorder="1" applyAlignment="1">
      <alignment horizontal="right"/>
    </xf>
    <xf numFmtId="0" fontId="0" fillId="8" borderId="6" xfId="0" applyFill="1" applyBorder="1" applyAlignment="1">
      <alignment horizontal="right"/>
    </xf>
    <xf numFmtId="0" fontId="0" fillId="7" borderId="3" xfId="0" applyFill="1" applyBorder="1" applyAlignment="1">
      <alignment horizontal="right"/>
    </xf>
    <xf numFmtId="0" fontId="0" fillId="7" borderId="10" xfId="0" applyFill="1" applyBorder="1" applyAlignment="1">
      <alignment horizontal="right"/>
    </xf>
    <xf numFmtId="0" fontId="0" fillId="7" borderId="6" xfId="0" applyFill="1" applyBorder="1" applyAlignment="1">
      <alignment horizontal="right"/>
    </xf>
    <xf numFmtId="0" fontId="0" fillId="3" borderId="0" xfId="0" applyFill="1" applyAlignment="1">
      <alignment horizontal="right"/>
    </xf>
    <xf numFmtId="0" fontId="0" fillId="4" borderId="0" xfId="0" applyFill="1" applyAlignment="1">
      <alignment horizontal="right"/>
    </xf>
    <xf numFmtId="0" fontId="0" fillId="5" borderId="0" xfId="0" applyFill="1" applyAlignment="1">
      <alignment horizontal="right"/>
    </xf>
    <xf numFmtId="0" fontId="0" fillId="2" borderId="0" xfId="0" applyFill="1" applyAlignment="1">
      <alignment horizontal="right"/>
    </xf>
    <xf numFmtId="0" fontId="0" fillId="6" borderId="0" xfId="0" applyFill="1" applyAlignment="1">
      <alignment horizontal="right"/>
    </xf>
    <xf numFmtId="0" fontId="0" fillId="8" borderId="0" xfId="0" applyFill="1" applyAlignment="1">
      <alignment horizontal="right"/>
    </xf>
    <xf numFmtId="0" fontId="0" fillId="7" borderId="0" xfId="0" applyFill="1" applyAlignment="1">
      <alignment horizontal="right"/>
    </xf>
    <xf numFmtId="0" fontId="0" fillId="3" borderId="12" xfId="0" applyFill="1" applyBorder="1" applyAlignment="1">
      <alignment horizontal="right"/>
    </xf>
    <xf numFmtId="0" fontId="2" fillId="10" borderId="14" xfId="0" applyFont="1" applyFill="1" applyBorder="1"/>
    <xf numFmtId="0" fontId="0" fillId="9" borderId="14" xfId="0" applyFill="1" applyBorder="1"/>
    <xf numFmtId="0" fontId="0" fillId="9" borderId="15" xfId="0" applyFill="1" applyBorder="1"/>
    <xf numFmtId="0" fontId="0" fillId="9" borderId="16" xfId="0" applyFill="1" applyBorder="1"/>
    <xf numFmtId="0" fontId="0" fillId="0" borderId="14" xfId="0" applyBorder="1"/>
    <xf numFmtId="0" fontId="0" fillId="0" borderId="15" xfId="0" applyBorder="1"/>
    <xf numFmtId="0" fontId="0" fillId="0" borderId="16" xfId="0" applyBorder="1"/>
    <xf numFmtId="0" fontId="3" fillId="0" borderId="12" xfId="0" applyFont="1" applyBorder="1"/>
    <xf numFmtId="0" fontId="0" fillId="0" borderId="12" xfId="0" applyBorder="1"/>
    <xf numFmtId="9" fontId="0" fillId="0" borderId="12" xfId="1" applyFont="1" applyBorder="1"/>
    <xf numFmtId="164" fontId="0" fillId="0" borderId="12" xfId="1" applyNumberFormat="1" applyFont="1" applyBorder="1"/>
    <xf numFmtId="164" fontId="0" fillId="3" borderId="2" xfId="1" applyNumberFormat="1" applyFont="1" applyFill="1" applyBorder="1"/>
    <xf numFmtId="164" fontId="0" fillId="3" borderId="0" xfId="1" applyNumberFormat="1" applyFont="1" applyFill="1" applyBorder="1"/>
    <xf numFmtId="164" fontId="0" fillId="4" borderId="0" xfId="1" applyNumberFormat="1" applyFont="1" applyFill="1" applyBorder="1"/>
    <xf numFmtId="164" fontId="0" fillId="5" borderId="0" xfId="1" applyNumberFormat="1" applyFont="1" applyFill="1" applyBorder="1"/>
    <xf numFmtId="164" fontId="0" fillId="2" borderId="0" xfId="1" applyNumberFormat="1" applyFont="1" applyFill="1" applyBorder="1"/>
    <xf numFmtId="164" fontId="0" fillId="6" borderId="0" xfId="1" applyNumberFormat="1" applyFont="1" applyFill="1" applyBorder="1"/>
    <xf numFmtId="164" fontId="0" fillId="8" borderId="0" xfId="1" applyNumberFormat="1" applyFont="1" applyFill="1" applyBorder="1"/>
    <xf numFmtId="1" fontId="0" fillId="0" borderId="12" xfId="1" applyNumberFormat="1" applyFont="1" applyBorder="1"/>
    <xf numFmtId="1" fontId="3" fillId="0" borderId="12" xfId="0" applyNumberFormat="1" applyFont="1" applyBorder="1"/>
    <xf numFmtId="1" fontId="0" fillId="0" borderId="12" xfId="0" applyNumberFormat="1" applyBorder="1"/>
    <xf numFmtId="0" fontId="2" fillId="10" borderId="15" xfId="0" applyFont="1" applyFill="1" applyBorder="1"/>
    <xf numFmtId="0" fontId="2" fillId="10" borderId="16" xfId="0" applyFont="1" applyFill="1" applyBorder="1"/>
    <xf numFmtId="14" fontId="0" fillId="3" borderId="2" xfId="0" applyNumberFormat="1" applyFill="1" applyBorder="1" applyAlignment="1">
      <alignment horizontal="right" vertical="center"/>
    </xf>
    <xf numFmtId="0" fontId="0" fillId="4" borderId="7" xfId="0" applyFill="1" applyBorder="1" applyAlignment="1">
      <alignment horizontal="center" vertical="center"/>
    </xf>
    <xf numFmtId="0" fontId="0" fillId="4" borderId="8"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5" fillId="7" borderId="0" xfId="0" applyFont="1" applyFill="1" applyAlignment="1">
      <alignment horizontal="center" vertical="center" textRotation="90"/>
    </xf>
    <xf numFmtId="0" fontId="0" fillId="7" borderId="7" xfId="0" applyFill="1" applyBorder="1" applyAlignment="1">
      <alignment horizontal="center" vertical="center"/>
    </xf>
    <xf numFmtId="0" fontId="0" fillId="7" borderId="8" xfId="0" applyFill="1" applyBorder="1" applyAlignment="1">
      <alignment horizontal="center" vertical="center"/>
    </xf>
    <xf numFmtId="0" fontId="0" fillId="8" borderId="7" xfId="0" applyFill="1" applyBorder="1" applyAlignment="1">
      <alignment horizontal="center" vertical="center"/>
    </xf>
    <xf numFmtId="0" fontId="0" fillId="8" borderId="8" xfId="0" applyFill="1" applyBorder="1" applyAlignment="1">
      <alignment horizontal="center" vertical="center"/>
    </xf>
    <xf numFmtId="0" fontId="0" fillId="6" borderId="7" xfId="0" applyFill="1" applyBorder="1" applyAlignment="1">
      <alignment horizontal="center" vertical="center"/>
    </xf>
    <xf numFmtId="0" fontId="0" fillId="6" borderId="8" xfId="0" applyFill="1" applyBorder="1" applyAlignment="1">
      <alignment horizontal="center" vertical="center"/>
    </xf>
    <xf numFmtId="0" fontId="5" fillId="6" borderId="0" xfId="0" applyFont="1" applyFill="1" applyAlignment="1">
      <alignment horizontal="center" vertical="center" textRotation="90"/>
    </xf>
    <xf numFmtId="0" fontId="5" fillId="8" borderId="0" xfId="0" applyFont="1" applyFill="1" applyAlignment="1">
      <alignment horizontal="center" vertical="center" textRotation="90"/>
    </xf>
    <xf numFmtId="0" fontId="5" fillId="5" borderId="0" xfId="0" applyFont="1" applyFill="1" applyAlignment="1">
      <alignment horizontal="center" vertical="center" textRotation="90"/>
    </xf>
    <xf numFmtId="0" fontId="5" fillId="2" borderId="0" xfId="0" applyFont="1" applyFill="1" applyAlignment="1">
      <alignment horizontal="center" vertical="center" textRotation="90"/>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5" borderId="7" xfId="0" applyFill="1" applyBorder="1" applyAlignment="1">
      <alignment horizontal="center" vertical="center"/>
    </xf>
    <xf numFmtId="0" fontId="0" fillId="5" borderId="8" xfId="0" applyFill="1" applyBorder="1" applyAlignment="1">
      <alignment horizontal="center" vertical="center"/>
    </xf>
    <xf numFmtId="0" fontId="5" fillId="3" borderId="0" xfId="0" applyFont="1" applyFill="1" applyAlignment="1">
      <alignment horizontal="center" vertical="center" textRotation="90"/>
    </xf>
    <xf numFmtId="0" fontId="5" fillId="4" borderId="0" xfId="0" applyFont="1" applyFill="1" applyAlignment="1">
      <alignment horizontal="center" vertical="center" textRotation="90"/>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0" fillId="6" borderId="9" xfId="0" applyFill="1" applyBorder="1" applyAlignment="1">
      <alignment horizontal="center" vertical="center"/>
    </xf>
    <xf numFmtId="0" fontId="0" fillId="8" borderId="9" xfId="0" applyFill="1" applyBorder="1" applyAlignment="1">
      <alignment horizontal="center" vertical="center"/>
    </xf>
    <xf numFmtId="0" fontId="0" fillId="7" borderId="9" xfId="0" applyFill="1" applyBorder="1" applyAlignment="1">
      <alignment horizontal="center" vertical="center"/>
    </xf>
    <xf numFmtId="0" fontId="0" fillId="3" borderId="9" xfId="0" applyFill="1" applyBorder="1" applyAlignment="1">
      <alignment horizontal="center" vertical="center"/>
    </xf>
    <xf numFmtId="0" fontId="0" fillId="4" borderId="9" xfId="0" applyFill="1" applyBorder="1" applyAlignment="1">
      <alignment horizontal="center" vertical="center"/>
    </xf>
    <xf numFmtId="0" fontId="0" fillId="0" borderId="0" xfId="0" applyAlignment="1">
      <alignment horizontal="center" vertical="center"/>
    </xf>
    <xf numFmtId="0" fontId="0" fillId="2" borderId="9" xfId="0" applyFill="1" applyBorder="1" applyAlignment="1">
      <alignment horizontal="center" vertical="center"/>
    </xf>
    <xf numFmtId="0" fontId="0" fillId="5" borderId="9" xfId="0" applyFill="1" applyBorder="1" applyAlignment="1">
      <alignment horizontal="center" vertic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0" xfId="0" applyAlignment="1">
      <alignment horizontal="center"/>
    </xf>
    <xf numFmtId="0" fontId="0" fillId="0" borderId="0" xfId="0" applyNumberFormat="1"/>
    <xf numFmtId="0" fontId="0" fillId="6" borderId="0" xfId="0" applyFill="1" applyAlignment="1">
      <alignment horizontal="left"/>
    </xf>
    <xf numFmtId="0" fontId="0" fillId="6" borderId="0" xfId="0" applyNumberFormat="1" applyFill="1"/>
    <xf numFmtId="14" fontId="0" fillId="0" borderId="0" xfId="0" applyNumberFormat="1"/>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11" xfId="0" applyBorder="1" applyAlignment="1">
      <alignment horizontal="center"/>
    </xf>
    <xf numFmtId="0" fontId="0" fillId="0" borderId="0" xfId="0" applyBorder="1" applyAlignment="1">
      <alignment horizontal="center"/>
    </xf>
    <xf numFmtId="0" fontId="0" fillId="0" borderId="10" xfId="0" applyBorder="1" applyAlignment="1">
      <alignment horizontal="center"/>
    </xf>
    <xf numFmtId="0" fontId="0" fillId="11" borderId="7" xfId="0" applyNumberFormat="1" applyFill="1" applyBorder="1"/>
    <xf numFmtId="0" fontId="0" fillId="11" borderId="8" xfId="0" applyNumberFormat="1" applyFill="1" applyBorder="1"/>
    <xf numFmtId="0" fontId="0" fillId="11" borderId="9" xfId="0" applyNumberFormat="1" applyFill="1" applyBorder="1"/>
    <xf numFmtId="0" fontId="0" fillId="11" borderId="20" xfId="0" applyFill="1" applyBorder="1"/>
    <xf numFmtId="0" fontId="0" fillId="11" borderId="7" xfId="0" applyFill="1" applyBorder="1" applyAlignment="1">
      <alignment horizontal="left"/>
    </xf>
    <xf numFmtId="0" fontId="0" fillId="11" borderId="8" xfId="0" applyFill="1" applyBorder="1" applyAlignment="1">
      <alignment horizontal="left"/>
    </xf>
    <xf numFmtId="0" fontId="0" fillId="11" borderId="9" xfId="0" applyFill="1" applyBorder="1" applyAlignment="1">
      <alignment horizontal="left"/>
    </xf>
    <xf numFmtId="0" fontId="0" fillId="11" borderId="20" xfId="0" applyFill="1" applyBorder="1" applyAlignment="1">
      <alignment horizontal="left"/>
    </xf>
    <xf numFmtId="0" fontId="0" fillId="0" borderId="1" xfId="0" applyBorder="1" applyAlignment="1">
      <alignment horizontal="center" vertical="center" textRotation="90"/>
    </xf>
    <xf numFmtId="0" fontId="0" fillId="0" borderId="11" xfId="0" applyBorder="1" applyAlignment="1">
      <alignment horizontal="center" vertical="center" textRotation="90"/>
    </xf>
    <xf numFmtId="0" fontId="0" fillId="0" borderId="4" xfId="0" applyBorder="1" applyAlignment="1">
      <alignment horizontal="center" vertical="center" textRotation="90"/>
    </xf>
    <xf numFmtId="0" fontId="0" fillId="0" borderId="17" xfId="0" applyBorder="1"/>
    <xf numFmtId="0" fontId="0" fillId="0" borderId="18" xfId="0" applyBorder="1"/>
    <xf numFmtId="0" fontId="0" fillId="0" borderId="19"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cellXfs>
  <cellStyles count="2">
    <cellStyle name="Normal" xfId="0" builtinId="0"/>
    <cellStyle name="Percent" xfId="1" builtinId="5"/>
  </cellStyles>
  <dxfs count="27">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fgColor theme="7" tint="0.59999389629810485"/>
        </patternFill>
      </fill>
    </dxf>
    <dxf>
      <fill>
        <patternFill>
          <fgColor theme="7" tint="0.59999389629810485"/>
        </patternFill>
      </fill>
    </dxf>
    <dxf>
      <fill>
        <patternFill>
          <fgColor theme="7" tint="0.59999389629810485"/>
        </patternFill>
      </fill>
    </dxf>
    <dxf>
      <fill>
        <patternFill>
          <fgColor theme="7" tint="0.59999389629810485"/>
        </patternFill>
      </fill>
    </dxf>
    <dxf>
      <fill>
        <patternFill>
          <fgColor theme="7" tint="0.59999389629810485"/>
        </patternFill>
      </fill>
    </dxf>
    <dxf>
      <fill>
        <patternFill>
          <fgColor theme="7" tint="0.59999389629810485"/>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border outline="0">
        <top style="medium">
          <color indexed="64"/>
        </top>
      </border>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2.xml"/><Relationship Id="rId29"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pivotTable" Target="pivotTables/pivotTable1.xml"/><Relationship Id="rId28" Type="http://schemas.openxmlformats.org/officeDocument/2006/relationships/sheetMetadata" Target="metadata.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sharedStrings" Target="sharedString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cat>
            <c:strRef>
              <c:f>'Raw Data Totals'!$C$2:$C$14</c:f>
              <c:strCache>
                <c:ptCount val="13"/>
                <c:pt idx="0">
                  <c:v>Murder</c:v>
                </c:pt>
                <c:pt idx="1">
                  <c:v>Attempted murder</c:v>
                </c:pt>
                <c:pt idx="2">
                  <c:v>Manslaughter</c:v>
                </c:pt>
                <c:pt idx="3">
                  <c:v>Dangerous op. causing death</c:v>
                </c:pt>
                <c:pt idx="4">
                  <c:v>Striking causing death</c:v>
                </c:pt>
                <c:pt idx="5">
                  <c:v>Other Chapter 28 (ss.307-314)</c:v>
                </c:pt>
                <c:pt idx="6">
                  <c:v>Rape</c:v>
                </c:pt>
                <c:pt idx="7">
                  <c:v>Sexual assault</c:v>
                </c:pt>
                <c:pt idx="8">
                  <c:v>Unlawful carnal knowledge</c:v>
                </c:pt>
                <c:pt idx="9">
                  <c:v>Unlawful sodomy</c:v>
                </c:pt>
                <c:pt idx="10">
                  <c:v>Indecent treatment</c:v>
                </c:pt>
                <c:pt idx="11">
                  <c:v>CEM (incl. Cth Code)</c:v>
                </c:pt>
                <c:pt idx="12">
                  <c:v>Other Chapter 22 (ss.211-229B)</c:v>
                </c:pt>
              </c:strCache>
            </c:strRef>
          </c:cat>
          <c:val>
            <c:numRef>
              <c:f>'Raw Data Totals'!$D$2:$D$14</c:f>
              <c:numCache>
                <c:formatCode>General</c:formatCode>
                <c:ptCount val="13"/>
                <c:pt idx="0">
                  <c:v>101</c:v>
                </c:pt>
                <c:pt idx="1">
                  <c:v>100</c:v>
                </c:pt>
                <c:pt idx="2">
                  <c:v>17</c:v>
                </c:pt>
                <c:pt idx="3">
                  <c:v>15</c:v>
                </c:pt>
                <c:pt idx="4">
                  <c:v>3</c:v>
                </c:pt>
                <c:pt idx="5">
                  <c:v>12</c:v>
                </c:pt>
                <c:pt idx="6">
                  <c:v>1664</c:v>
                </c:pt>
                <c:pt idx="7">
                  <c:v>374</c:v>
                </c:pt>
                <c:pt idx="8">
                  <c:v>88</c:v>
                </c:pt>
                <c:pt idx="9">
                  <c:v>5</c:v>
                </c:pt>
                <c:pt idx="10">
                  <c:v>1833</c:v>
                </c:pt>
                <c:pt idx="11">
                  <c:v>462</c:v>
                </c:pt>
                <c:pt idx="12">
                  <c:v>402</c:v>
                </c:pt>
              </c:numCache>
            </c:numRef>
          </c:val>
          <c:extLst>
            <c:ext xmlns:c16="http://schemas.microsoft.com/office/drawing/2014/chart" uri="{C3380CC4-5D6E-409C-BE32-E72D297353CC}">
              <c16:uniqueId val="{00000000-F786-4693-8FE0-20959F98D24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macros.xlsm]Dashboard!PivotTable4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Charges</a:t>
            </a:r>
          </a:p>
        </c:rich>
      </c:tx>
      <c:layout>
        <c:manualLayout>
          <c:xMode val="edge"/>
          <c:yMode val="edge"/>
          <c:x val="0.31716547336344864"/>
          <c:y val="4.57645497015575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7146094833383924"/>
          <c:y val="0.14895631289332073"/>
          <c:w val="0.48470215032644731"/>
          <c:h val="0.82530366136665345"/>
        </c:manualLayout>
      </c:layout>
      <c:pieChart>
        <c:varyColors val="1"/>
        <c:ser>
          <c:idx val="0"/>
          <c:order val="0"/>
          <c:tx>
            <c:strRef>
              <c:f>Dashboard!$B$58</c:f>
              <c:strCache>
                <c:ptCount val="1"/>
                <c:pt idx="0">
                  <c:v>Total</c:v>
                </c:pt>
              </c:strCache>
            </c:strRef>
          </c:tx>
          <c:explosion val="1"/>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Lbls>
            <c:spPr>
              <a:noFill/>
              <a:ln>
                <a:no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Dashboard!$A$59:$A$65</c:f>
              <c:strCache>
                <c:ptCount val="6"/>
                <c:pt idx="0">
                  <c:v>Attempted murder</c:v>
                </c:pt>
                <c:pt idx="1">
                  <c:v>Dangerous op. causing death</c:v>
                </c:pt>
                <c:pt idx="2">
                  <c:v>Manslaughter</c:v>
                </c:pt>
                <c:pt idx="3">
                  <c:v>Murder</c:v>
                </c:pt>
                <c:pt idx="4">
                  <c:v>Other Chapter 28 (ss.307-314)</c:v>
                </c:pt>
                <c:pt idx="5">
                  <c:v>Striking causing death</c:v>
                </c:pt>
              </c:strCache>
            </c:strRef>
          </c:cat>
          <c:val>
            <c:numRef>
              <c:f>Dashboard!$B$59:$B$65</c:f>
              <c:numCache>
                <c:formatCode>General</c:formatCode>
                <c:ptCount val="6"/>
                <c:pt idx="0">
                  <c:v>60</c:v>
                </c:pt>
                <c:pt idx="1">
                  <c:v>29</c:v>
                </c:pt>
                <c:pt idx="2">
                  <c:v>25</c:v>
                </c:pt>
                <c:pt idx="3">
                  <c:v>103</c:v>
                </c:pt>
                <c:pt idx="4">
                  <c:v>20</c:v>
                </c:pt>
                <c:pt idx="5">
                  <c:v>4</c:v>
                </c:pt>
              </c:numCache>
            </c:numRef>
          </c:val>
          <c:extLst>
            <c:ext xmlns:c16="http://schemas.microsoft.com/office/drawing/2014/chart" uri="{C3380CC4-5D6E-409C-BE32-E72D297353CC}">
              <c16:uniqueId val="{00000000-C3BD-42FD-A1F7-B06BACF30CAD}"/>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1122181155926933"/>
          <c:y val="0.4074508254035813"/>
          <c:w val="0.19127251950649027"/>
          <c:h val="0.260619584714072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macros.xlsm]pivot3!PivotTable5</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pivot3!$B$1</c:f>
              <c:strCache>
                <c:ptCount val="1"/>
                <c:pt idx="0">
                  <c:v>Total</c:v>
                </c:pt>
              </c:strCache>
            </c:strRef>
          </c:tx>
          <c:spPr>
            <a:solidFill>
              <a:schemeClr val="accent2">
                <a:lumMod val="75000"/>
              </a:schemeClr>
            </a:solidFill>
            <a:ln>
              <a:noFill/>
            </a:ln>
            <a:effectLst/>
          </c:spPr>
          <c:invertIfNegative val="0"/>
          <c:cat>
            <c:strRef>
              <c:f>pivot3!$A$2:$A$8</c:f>
              <c:strCache>
                <c:ptCount val="6"/>
                <c:pt idx="0">
                  <c:v>Attempted murder</c:v>
                </c:pt>
                <c:pt idx="1">
                  <c:v>Dangerous op. causing death</c:v>
                </c:pt>
                <c:pt idx="2">
                  <c:v>Manslaughter</c:v>
                </c:pt>
                <c:pt idx="3">
                  <c:v>Murder</c:v>
                </c:pt>
                <c:pt idx="4">
                  <c:v>Other Chapter 28 (ss.307-314)</c:v>
                </c:pt>
                <c:pt idx="5">
                  <c:v>Striking causing death</c:v>
                </c:pt>
              </c:strCache>
            </c:strRef>
          </c:cat>
          <c:val>
            <c:numRef>
              <c:f>pivot3!$B$2:$B$8</c:f>
              <c:numCache>
                <c:formatCode>General</c:formatCode>
                <c:ptCount val="6"/>
                <c:pt idx="0">
                  <c:v>3.8297872340425534</c:v>
                </c:pt>
                <c:pt idx="1">
                  <c:v>19.444444444444446</c:v>
                </c:pt>
                <c:pt idx="2">
                  <c:v>-20.294117647058822</c:v>
                </c:pt>
                <c:pt idx="3">
                  <c:v>4.6638554216867467</c:v>
                </c:pt>
                <c:pt idx="4">
                  <c:v>31.628571428571426</c:v>
                </c:pt>
                <c:pt idx="5">
                  <c:v>-13.333333333333334</c:v>
                </c:pt>
              </c:numCache>
            </c:numRef>
          </c:val>
          <c:extLst>
            <c:ext xmlns:c16="http://schemas.microsoft.com/office/drawing/2014/chart" uri="{C3380CC4-5D6E-409C-BE32-E72D297353CC}">
              <c16:uniqueId val="{00000000-A0B4-49BA-850F-8309F26D085C}"/>
            </c:ext>
          </c:extLst>
        </c:ser>
        <c:dLbls>
          <c:showLegendKey val="0"/>
          <c:showVal val="0"/>
          <c:showCatName val="0"/>
          <c:showSerName val="0"/>
          <c:showPercent val="0"/>
          <c:showBubbleSize val="0"/>
        </c:dLbls>
        <c:gapWidth val="219"/>
        <c:overlap val="-27"/>
        <c:axId val="444059119"/>
        <c:axId val="444055759"/>
      </c:barChart>
      <c:catAx>
        <c:axId val="444059119"/>
        <c:scaling>
          <c:orientation val="minMax"/>
        </c:scaling>
        <c:delete val="0"/>
        <c:axPos val="b"/>
        <c:numFmt formatCode="General" sourceLinked="1"/>
        <c:majorTickMark val="none"/>
        <c:minorTickMark val="none"/>
        <c:tickLblPos val="low"/>
        <c:spPr>
          <a:noFill/>
          <a:ln w="9525" cap="flat" cmpd="sng" algn="ctr">
            <a:solidFill>
              <a:srgbClr val="00B050"/>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44055759"/>
        <c:crosses val="autoZero"/>
        <c:auto val="1"/>
        <c:lblAlgn val="ctr"/>
        <c:lblOffset val="100"/>
        <c:noMultiLvlLbl val="0"/>
      </c:catAx>
      <c:valAx>
        <c:axId val="444055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059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1">
          <a:shade val="1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macros.xlsm]pivot3!PivotTable5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pivot3!$B$1</c:f>
              <c:strCache>
                <c:ptCount val="1"/>
                <c:pt idx="0">
                  <c:v>Total</c:v>
                </c:pt>
              </c:strCache>
            </c:strRef>
          </c:tx>
          <c:spPr>
            <a:solidFill>
              <a:schemeClr val="accent1"/>
            </a:solidFill>
            <a:ln>
              <a:noFill/>
            </a:ln>
            <a:effectLst/>
          </c:spPr>
          <c:invertIfNegative val="0"/>
          <c:cat>
            <c:strRef>
              <c:f>pivot3!$A$2:$A$8</c:f>
              <c:strCache>
                <c:ptCount val="6"/>
                <c:pt idx="0">
                  <c:v>Attempted murder</c:v>
                </c:pt>
                <c:pt idx="1">
                  <c:v>Dangerous op. causing death</c:v>
                </c:pt>
                <c:pt idx="2">
                  <c:v>Manslaughter</c:v>
                </c:pt>
                <c:pt idx="3">
                  <c:v>Murder</c:v>
                </c:pt>
                <c:pt idx="4">
                  <c:v>Other Chapter 28 (ss.307-314)</c:v>
                </c:pt>
                <c:pt idx="5">
                  <c:v>Striking causing death</c:v>
                </c:pt>
              </c:strCache>
            </c:strRef>
          </c:cat>
          <c:val>
            <c:numRef>
              <c:f>pivot3!$B$2:$B$8</c:f>
              <c:numCache>
                <c:formatCode>General</c:formatCode>
                <c:ptCount val="6"/>
                <c:pt idx="0">
                  <c:v>3.8297872340425534</c:v>
                </c:pt>
                <c:pt idx="1">
                  <c:v>19.444444444444446</c:v>
                </c:pt>
                <c:pt idx="2">
                  <c:v>-20.294117647058822</c:v>
                </c:pt>
                <c:pt idx="3">
                  <c:v>4.6638554216867467</c:v>
                </c:pt>
                <c:pt idx="4">
                  <c:v>31.628571428571426</c:v>
                </c:pt>
                <c:pt idx="5">
                  <c:v>-13.333333333333334</c:v>
                </c:pt>
              </c:numCache>
            </c:numRef>
          </c:val>
          <c:extLst>
            <c:ext xmlns:c16="http://schemas.microsoft.com/office/drawing/2014/chart" uri="{C3380CC4-5D6E-409C-BE32-E72D297353CC}">
              <c16:uniqueId val="{00000002-305F-4D20-9E72-6BFD67964B0A}"/>
            </c:ext>
          </c:extLst>
        </c:ser>
        <c:dLbls>
          <c:showLegendKey val="0"/>
          <c:showVal val="0"/>
          <c:showCatName val="0"/>
          <c:showSerName val="0"/>
          <c:showPercent val="0"/>
          <c:showBubbleSize val="0"/>
        </c:dLbls>
        <c:gapWidth val="219"/>
        <c:overlap val="-27"/>
        <c:axId val="444059119"/>
        <c:axId val="444055759"/>
      </c:barChart>
      <c:catAx>
        <c:axId val="444059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055759"/>
        <c:crosses val="autoZero"/>
        <c:auto val="1"/>
        <c:lblAlgn val="ctr"/>
        <c:lblOffset val="100"/>
        <c:noMultiLvlLbl val="0"/>
      </c:catAx>
      <c:valAx>
        <c:axId val="444055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059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9"/>
              <c:pt idx="0">
                <c:v>Beenleigh</c:v>
              </c:pt>
              <c:pt idx="1">
                <c:v>Brisbane</c:v>
              </c:pt>
              <c:pt idx="2">
                <c:v>Cairns</c:v>
              </c:pt>
              <c:pt idx="3">
                <c:v>Ipswich</c:v>
              </c:pt>
              <c:pt idx="4">
                <c:v>Maroochy</c:v>
              </c:pt>
              <c:pt idx="5">
                <c:v>Rockhampton</c:v>
              </c:pt>
              <c:pt idx="6">
                <c:v>Southport</c:v>
              </c:pt>
              <c:pt idx="7">
                <c:v>Toowoomba</c:v>
              </c:pt>
              <c:pt idx="8">
                <c:v>Townsville</c:v>
              </c:pt>
            </c:strLit>
          </c:cat>
          <c:val>
            <c:numLit>
              <c:formatCode>General</c:formatCode>
              <c:ptCount val="9"/>
              <c:pt idx="0">
                <c:v>3641</c:v>
              </c:pt>
              <c:pt idx="1">
                <c:v>26872</c:v>
              </c:pt>
              <c:pt idx="2">
                <c:v>3579</c:v>
              </c:pt>
              <c:pt idx="3">
                <c:v>4437</c:v>
              </c:pt>
              <c:pt idx="4">
                <c:v>3476</c:v>
              </c:pt>
              <c:pt idx="5">
                <c:v>3800</c:v>
              </c:pt>
              <c:pt idx="6">
                <c:v>3123</c:v>
              </c:pt>
              <c:pt idx="7">
                <c:v>2139</c:v>
              </c:pt>
              <c:pt idx="8">
                <c:v>4798</c:v>
              </c:pt>
            </c:numLit>
          </c:val>
          <c:extLst>
            <c:ext xmlns:c16="http://schemas.microsoft.com/office/drawing/2014/chart" uri="{C3380CC4-5D6E-409C-BE32-E72D297353CC}">
              <c16:uniqueId val="{00000000-7629-4B6B-BBDD-AAE0591AAEF1}"/>
            </c:ext>
          </c:extLst>
        </c:ser>
        <c:dLbls>
          <c:showLegendKey val="0"/>
          <c:showVal val="0"/>
          <c:showCatName val="0"/>
          <c:showSerName val="0"/>
          <c:showPercent val="0"/>
          <c:showBubbleSize val="0"/>
        </c:dLbls>
        <c:gapWidth val="219"/>
        <c:axId val="443015887"/>
        <c:axId val="443016847"/>
      </c:barChart>
      <c:catAx>
        <c:axId val="443015887"/>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016847"/>
        <c:crosses val="autoZero"/>
        <c:auto val="1"/>
        <c:lblAlgn val="ctr"/>
        <c:lblOffset val="100"/>
        <c:noMultiLvlLbl val="0"/>
        <c:extLst>
          <c:ext xmlns:c15="http://schemas.microsoft.com/office/drawing/2012/chart" uri="{F40574EE-89B7-4290-83BB-5DA773EAF853}">
            <c15:numFmt c:formatCode="General" c:sourceLinked="1"/>
          </c:ext>
        </c:extLst>
      </c:catAx>
      <c:valAx>
        <c:axId val="4430168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015887"/>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[Data macros.xlsm]PivotChartTable1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macros.xlsm]Crime Totals Pivot Chart!PivotTable5</c:name>
    <c:fmtId val="0"/>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AU"/>
              <a:t>Total</a:t>
            </a:r>
            <a:r>
              <a:rPr lang="en-AU" baseline="0"/>
              <a:t> Crime by Region</a:t>
            </a:r>
            <a:endParaRPr lang="en-AU"/>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1">
                <a:lumMod val="60000"/>
              </a:schemeClr>
            </a:solidFill>
            <a:ln w="9525" cap="flat" cmpd="sng" algn="ctr">
              <a:solidFill>
                <a:schemeClr val="accent1">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2">
                <a:lumMod val="60000"/>
              </a:schemeClr>
            </a:solidFill>
            <a:ln w="9525" cap="flat" cmpd="sng" algn="ctr">
              <a:solidFill>
                <a:schemeClr val="accent2">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cmpd="sng" algn="ctr">
            <a:solidFill>
              <a:schemeClr val="accent1"/>
            </a:solidFill>
            <a:round/>
          </a:ln>
          <a:effectLst/>
        </c:spPr>
        <c:marker>
          <c:symbol val="circle"/>
          <c:size val="4"/>
          <c:spPr>
            <a:solidFill>
              <a:schemeClr val="accent5"/>
            </a:solidFill>
            <a:ln w="9525" cap="flat" cmpd="sng" algn="ctr">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cmpd="sng" algn="ctr">
            <a:solidFill>
              <a:schemeClr val="accent1"/>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'Crime Totals Pivot Chart'!$B$3</c:f>
              <c:strCache>
                <c:ptCount val="1"/>
                <c:pt idx="0">
                  <c:v>Sum of Townsville</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'Crime Totals Pivot Chart'!$A$4:$A$11</c:f>
              <c:strCache>
                <c:ptCount val="7"/>
                <c:pt idx="0">
                  <c:v>2016-2017</c:v>
                </c:pt>
                <c:pt idx="1">
                  <c:v>2017-2018</c:v>
                </c:pt>
                <c:pt idx="2">
                  <c:v>2018-2019</c:v>
                </c:pt>
                <c:pt idx="3">
                  <c:v>2019-2020</c:v>
                </c:pt>
                <c:pt idx="4">
                  <c:v>2020-2021</c:v>
                </c:pt>
                <c:pt idx="5">
                  <c:v>2021-2022</c:v>
                </c:pt>
                <c:pt idx="6">
                  <c:v>2022-2023</c:v>
                </c:pt>
              </c:strCache>
            </c:strRef>
          </c:cat>
          <c:val>
            <c:numRef>
              <c:f>'Crime Totals Pivot Chart'!$B$4:$B$11</c:f>
              <c:numCache>
                <c:formatCode>General</c:formatCode>
                <c:ptCount val="7"/>
                <c:pt idx="0">
                  <c:v>802</c:v>
                </c:pt>
                <c:pt idx="1">
                  <c:v>674</c:v>
                </c:pt>
                <c:pt idx="2">
                  <c:v>391</c:v>
                </c:pt>
                <c:pt idx="3">
                  <c:v>822</c:v>
                </c:pt>
                <c:pt idx="4">
                  <c:v>761</c:v>
                </c:pt>
                <c:pt idx="5">
                  <c:v>777</c:v>
                </c:pt>
                <c:pt idx="6">
                  <c:v>571</c:v>
                </c:pt>
              </c:numCache>
            </c:numRef>
          </c:val>
          <c:smooth val="0"/>
          <c:extLst>
            <c:ext xmlns:c16="http://schemas.microsoft.com/office/drawing/2014/chart" uri="{C3380CC4-5D6E-409C-BE32-E72D297353CC}">
              <c16:uniqueId val="{00000000-72DA-456C-8B79-690C95AF7820}"/>
            </c:ext>
          </c:extLst>
        </c:ser>
        <c:ser>
          <c:idx val="1"/>
          <c:order val="1"/>
          <c:tx>
            <c:strRef>
              <c:f>'Crime Totals Pivot Chart'!$C$3</c:f>
              <c:strCache>
                <c:ptCount val="1"/>
                <c:pt idx="0">
                  <c:v>Sum of Beenleigh</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'Crime Totals Pivot Chart'!$A$4:$A$11</c:f>
              <c:strCache>
                <c:ptCount val="7"/>
                <c:pt idx="0">
                  <c:v>2016-2017</c:v>
                </c:pt>
                <c:pt idx="1">
                  <c:v>2017-2018</c:v>
                </c:pt>
                <c:pt idx="2">
                  <c:v>2018-2019</c:v>
                </c:pt>
                <c:pt idx="3">
                  <c:v>2019-2020</c:v>
                </c:pt>
                <c:pt idx="4">
                  <c:v>2020-2021</c:v>
                </c:pt>
                <c:pt idx="5">
                  <c:v>2021-2022</c:v>
                </c:pt>
                <c:pt idx="6">
                  <c:v>2022-2023</c:v>
                </c:pt>
              </c:strCache>
            </c:strRef>
          </c:cat>
          <c:val>
            <c:numRef>
              <c:f>'Crime Totals Pivot Chart'!$C$4:$C$11</c:f>
              <c:numCache>
                <c:formatCode>General</c:formatCode>
                <c:ptCount val="7"/>
                <c:pt idx="0">
                  <c:v>430</c:v>
                </c:pt>
                <c:pt idx="1">
                  <c:v>552</c:v>
                </c:pt>
                <c:pt idx="2">
                  <c:v>443</c:v>
                </c:pt>
                <c:pt idx="3">
                  <c:v>406</c:v>
                </c:pt>
                <c:pt idx="4">
                  <c:v>637</c:v>
                </c:pt>
                <c:pt idx="5">
                  <c:v>628</c:v>
                </c:pt>
                <c:pt idx="6">
                  <c:v>545</c:v>
                </c:pt>
              </c:numCache>
            </c:numRef>
          </c:val>
          <c:smooth val="0"/>
          <c:extLst>
            <c:ext xmlns:c16="http://schemas.microsoft.com/office/drawing/2014/chart" uri="{C3380CC4-5D6E-409C-BE32-E72D297353CC}">
              <c16:uniqueId val="{00000002-72DA-456C-8B79-690C95AF7820}"/>
            </c:ext>
          </c:extLst>
        </c:ser>
        <c:ser>
          <c:idx val="2"/>
          <c:order val="2"/>
          <c:tx>
            <c:strRef>
              <c:f>'Crime Totals Pivot Chart'!$D$3</c:f>
              <c:strCache>
                <c:ptCount val="1"/>
                <c:pt idx="0">
                  <c:v>Sum of Toowoomba</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strRef>
              <c:f>'Crime Totals Pivot Chart'!$A$4:$A$11</c:f>
              <c:strCache>
                <c:ptCount val="7"/>
                <c:pt idx="0">
                  <c:v>2016-2017</c:v>
                </c:pt>
                <c:pt idx="1">
                  <c:v>2017-2018</c:v>
                </c:pt>
                <c:pt idx="2">
                  <c:v>2018-2019</c:v>
                </c:pt>
                <c:pt idx="3">
                  <c:v>2019-2020</c:v>
                </c:pt>
                <c:pt idx="4">
                  <c:v>2020-2021</c:v>
                </c:pt>
                <c:pt idx="5">
                  <c:v>2021-2022</c:v>
                </c:pt>
                <c:pt idx="6">
                  <c:v>2022-2023</c:v>
                </c:pt>
              </c:strCache>
            </c:strRef>
          </c:cat>
          <c:val>
            <c:numRef>
              <c:f>'Crime Totals Pivot Chart'!$D$4:$D$11</c:f>
              <c:numCache>
                <c:formatCode>General</c:formatCode>
                <c:ptCount val="7"/>
                <c:pt idx="0">
                  <c:v>308</c:v>
                </c:pt>
                <c:pt idx="1">
                  <c:v>282</c:v>
                </c:pt>
                <c:pt idx="2">
                  <c:v>218</c:v>
                </c:pt>
                <c:pt idx="3">
                  <c:v>192</c:v>
                </c:pt>
                <c:pt idx="4">
                  <c:v>109</c:v>
                </c:pt>
                <c:pt idx="5">
                  <c:v>427</c:v>
                </c:pt>
                <c:pt idx="6">
                  <c:v>603</c:v>
                </c:pt>
              </c:numCache>
            </c:numRef>
          </c:val>
          <c:smooth val="0"/>
          <c:extLst>
            <c:ext xmlns:c16="http://schemas.microsoft.com/office/drawing/2014/chart" uri="{C3380CC4-5D6E-409C-BE32-E72D297353CC}">
              <c16:uniqueId val="{00000003-72DA-456C-8B79-690C95AF7820}"/>
            </c:ext>
          </c:extLst>
        </c:ser>
        <c:ser>
          <c:idx val="3"/>
          <c:order val="3"/>
          <c:tx>
            <c:strRef>
              <c:f>'Crime Totals Pivot Chart'!$E$3</c:f>
              <c:strCache>
                <c:ptCount val="1"/>
                <c:pt idx="0">
                  <c:v>Sum of Southport</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strRef>
              <c:f>'Crime Totals Pivot Chart'!$A$4:$A$11</c:f>
              <c:strCache>
                <c:ptCount val="7"/>
                <c:pt idx="0">
                  <c:v>2016-2017</c:v>
                </c:pt>
                <c:pt idx="1">
                  <c:v>2017-2018</c:v>
                </c:pt>
                <c:pt idx="2">
                  <c:v>2018-2019</c:v>
                </c:pt>
                <c:pt idx="3">
                  <c:v>2019-2020</c:v>
                </c:pt>
                <c:pt idx="4">
                  <c:v>2020-2021</c:v>
                </c:pt>
                <c:pt idx="5">
                  <c:v>2021-2022</c:v>
                </c:pt>
                <c:pt idx="6">
                  <c:v>2022-2023</c:v>
                </c:pt>
              </c:strCache>
            </c:strRef>
          </c:cat>
          <c:val>
            <c:numRef>
              <c:f>'Crime Totals Pivot Chart'!$E$4:$E$11</c:f>
              <c:numCache>
                <c:formatCode>General</c:formatCode>
                <c:ptCount val="7"/>
                <c:pt idx="0">
                  <c:v>306</c:v>
                </c:pt>
                <c:pt idx="1">
                  <c:v>455</c:v>
                </c:pt>
                <c:pt idx="2">
                  <c:v>294</c:v>
                </c:pt>
                <c:pt idx="3">
                  <c:v>475</c:v>
                </c:pt>
                <c:pt idx="4">
                  <c:v>452</c:v>
                </c:pt>
                <c:pt idx="5">
                  <c:v>565</c:v>
                </c:pt>
                <c:pt idx="6">
                  <c:v>576</c:v>
                </c:pt>
              </c:numCache>
            </c:numRef>
          </c:val>
          <c:smooth val="0"/>
          <c:extLst>
            <c:ext xmlns:c16="http://schemas.microsoft.com/office/drawing/2014/chart" uri="{C3380CC4-5D6E-409C-BE32-E72D297353CC}">
              <c16:uniqueId val="{00000004-72DA-456C-8B79-690C95AF7820}"/>
            </c:ext>
          </c:extLst>
        </c:ser>
        <c:ser>
          <c:idx val="4"/>
          <c:order val="4"/>
          <c:tx>
            <c:strRef>
              <c:f>'Crime Totals Pivot Chart'!$F$3</c:f>
              <c:strCache>
                <c:ptCount val="1"/>
                <c:pt idx="0">
                  <c:v>Sum of Ipswich</c:v>
                </c:pt>
              </c:strCache>
            </c:strRef>
          </c:tx>
          <c:spPr>
            <a:ln w="22225" cap="rnd" cmpd="sng" algn="ctr">
              <a:solidFill>
                <a:schemeClr val="accent5"/>
              </a:solidFill>
              <a:round/>
            </a:ln>
            <a:effectLst/>
          </c:spPr>
          <c:marker>
            <c:symbol val="circle"/>
            <c:size val="4"/>
            <c:spPr>
              <a:solidFill>
                <a:schemeClr val="accent5"/>
              </a:solidFill>
              <a:ln w="9525" cap="flat" cmpd="sng" algn="ctr">
                <a:solidFill>
                  <a:schemeClr val="accent5"/>
                </a:solidFill>
                <a:round/>
              </a:ln>
              <a:effectLst/>
            </c:spPr>
          </c:marker>
          <c:cat>
            <c:strRef>
              <c:f>'Crime Totals Pivot Chart'!$A$4:$A$11</c:f>
              <c:strCache>
                <c:ptCount val="7"/>
                <c:pt idx="0">
                  <c:v>2016-2017</c:v>
                </c:pt>
                <c:pt idx="1">
                  <c:v>2017-2018</c:v>
                </c:pt>
                <c:pt idx="2">
                  <c:v>2018-2019</c:v>
                </c:pt>
                <c:pt idx="3">
                  <c:v>2019-2020</c:v>
                </c:pt>
                <c:pt idx="4">
                  <c:v>2020-2021</c:v>
                </c:pt>
                <c:pt idx="5">
                  <c:v>2021-2022</c:v>
                </c:pt>
                <c:pt idx="6">
                  <c:v>2022-2023</c:v>
                </c:pt>
              </c:strCache>
            </c:strRef>
          </c:cat>
          <c:val>
            <c:numRef>
              <c:f>'Crime Totals Pivot Chart'!$F$4:$F$11</c:f>
              <c:numCache>
                <c:formatCode>General</c:formatCode>
                <c:ptCount val="7"/>
                <c:pt idx="0">
                  <c:v>589</c:v>
                </c:pt>
                <c:pt idx="1">
                  <c:v>684</c:v>
                </c:pt>
                <c:pt idx="2">
                  <c:v>522</c:v>
                </c:pt>
                <c:pt idx="3">
                  <c:v>626</c:v>
                </c:pt>
                <c:pt idx="4">
                  <c:v>823</c:v>
                </c:pt>
                <c:pt idx="5">
                  <c:v>595</c:v>
                </c:pt>
                <c:pt idx="6">
                  <c:v>598</c:v>
                </c:pt>
              </c:numCache>
            </c:numRef>
          </c:val>
          <c:smooth val="0"/>
          <c:extLst>
            <c:ext xmlns:c16="http://schemas.microsoft.com/office/drawing/2014/chart" uri="{C3380CC4-5D6E-409C-BE32-E72D297353CC}">
              <c16:uniqueId val="{00000005-72DA-456C-8B79-690C95AF7820}"/>
            </c:ext>
          </c:extLst>
        </c:ser>
        <c:ser>
          <c:idx val="5"/>
          <c:order val="5"/>
          <c:tx>
            <c:strRef>
              <c:f>'Crime Totals Pivot Chart'!$G$3</c:f>
              <c:strCache>
                <c:ptCount val="1"/>
                <c:pt idx="0">
                  <c:v>Sum of Cairns</c:v>
                </c:pt>
              </c:strCache>
            </c:strRef>
          </c:tx>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cat>
            <c:strRef>
              <c:f>'Crime Totals Pivot Chart'!$A$4:$A$11</c:f>
              <c:strCache>
                <c:ptCount val="7"/>
                <c:pt idx="0">
                  <c:v>2016-2017</c:v>
                </c:pt>
                <c:pt idx="1">
                  <c:v>2017-2018</c:v>
                </c:pt>
                <c:pt idx="2">
                  <c:v>2018-2019</c:v>
                </c:pt>
                <c:pt idx="3">
                  <c:v>2019-2020</c:v>
                </c:pt>
                <c:pt idx="4">
                  <c:v>2020-2021</c:v>
                </c:pt>
                <c:pt idx="5">
                  <c:v>2021-2022</c:v>
                </c:pt>
                <c:pt idx="6">
                  <c:v>2022-2023</c:v>
                </c:pt>
              </c:strCache>
            </c:strRef>
          </c:cat>
          <c:val>
            <c:numRef>
              <c:f>'Crime Totals Pivot Chart'!$G$4:$G$11</c:f>
              <c:numCache>
                <c:formatCode>General</c:formatCode>
                <c:ptCount val="7"/>
                <c:pt idx="0">
                  <c:v>548</c:v>
                </c:pt>
                <c:pt idx="1">
                  <c:v>515</c:v>
                </c:pt>
                <c:pt idx="2">
                  <c:v>514</c:v>
                </c:pt>
                <c:pt idx="3">
                  <c:v>423</c:v>
                </c:pt>
                <c:pt idx="4">
                  <c:v>468</c:v>
                </c:pt>
                <c:pt idx="5">
                  <c:v>532</c:v>
                </c:pt>
                <c:pt idx="6">
                  <c:v>579</c:v>
                </c:pt>
              </c:numCache>
            </c:numRef>
          </c:val>
          <c:smooth val="0"/>
          <c:extLst>
            <c:ext xmlns:c16="http://schemas.microsoft.com/office/drawing/2014/chart" uri="{C3380CC4-5D6E-409C-BE32-E72D297353CC}">
              <c16:uniqueId val="{00000006-72DA-456C-8B79-690C95AF7820}"/>
            </c:ext>
          </c:extLst>
        </c:ser>
        <c:ser>
          <c:idx val="6"/>
          <c:order val="6"/>
          <c:tx>
            <c:strRef>
              <c:f>'Crime Totals Pivot Chart'!$H$3</c:f>
              <c:strCache>
                <c:ptCount val="1"/>
                <c:pt idx="0">
                  <c:v>Sum of Rockhampton</c:v>
                </c:pt>
              </c:strCache>
            </c:strRef>
          </c:tx>
          <c:spPr>
            <a:ln w="22225" cap="rnd" cmpd="sng" algn="ctr">
              <a:solidFill>
                <a:schemeClr val="accent1">
                  <a:lumMod val="60000"/>
                </a:schemeClr>
              </a:solidFill>
              <a:round/>
            </a:ln>
            <a:effectLst/>
          </c:spPr>
          <c:marker>
            <c:symbol val="circle"/>
            <c:size val="4"/>
            <c:spPr>
              <a:solidFill>
                <a:schemeClr val="accent1">
                  <a:lumMod val="60000"/>
                </a:schemeClr>
              </a:solidFill>
              <a:ln w="9525" cap="flat" cmpd="sng" algn="ctr">
                <a:solidFill>
                  <a:schemeClr val="accent1">
                    <a:lumMod val="60000"/>
                  </a:schemeClr>
                </a:solidFill>
                <a:round/>
              </a:ln>
              <a:effectLst/>
            </c:spPr>
          </c:marker>
          <c:cat>
            <c:strRef>
              <c:f>'Crime Totals Pivot Chart'!$A$4:$A$11</c:f>
              <c:strCache>
                <c:ptCount val="7"/>
                <c:pt idx="0">
                  <c:v>2016-2017</c:v>
                </c:pt>
                <c:pt idx="1">
                  <c:v>2017-2018</c:v>
                </c:pt>
                <c:pt idx="2">
                  <c:v>2018-2019</c:v>
                </c:pt>
                <c:pt idx="3">
                  <c:v>2019-2020</c:v>
                </c:pt>
                <c:pt idx="4">
                  <c:v>2020-2021</c:v>
                </c:pt>
                <c:pt idx="5">
                  <c:v>2021-2022</c:v>
                </c:pt>
                <c:pt idx="6">
                  <c:v>2022-2023</c:v>
                </c:pt>
              </c:strCache>
            </c:strRef>
          </c:cat>
          <c:val>
            <c:numRef>
              <c:f>'Crime Totals Pivot Chart'!$H$4:$H$11</c:f>
              <c:numCache>
                <c:formatCode>General</c:formatCode>
                <c:ptCount val="7"/>
                <c:pt idx="0">
                  <c:v>332</c:v>
                </c:pt>
                <c:pt idx="1">
                  <c:v>448</c:v>
                </c:pt>
                <c:pt idx="2">
                  <c:v>788</c:v>
                </c:pt>
                <c:pt idx="3">
                  <c:v>704</c:v>
                </c:pt>
                <c:pt idx="4">
                  <c:v>547</c:v>
                </c:pt>
                <c:pt idx="5">
                  <c:v>501</c:v>
                </c:pt>
                <c:pt idx="6">
                  <c:v>480</c:v>
                </c:pt>
              </c:numCache>
            </c:numRef>
          </c:val>
          <c:smooth val="0"/>
          <c:extLst>
            <c:ext xmlns:c16="http://schemas.microsoft.com/office/drawing/2014/chart" uri="{C3380CC4-5D6E-409C-BE32-E72D297353CC}">
              <c16:uniqueId val="{00000007-72DA-456C-8B79-690C95AF7820}"/>
            </c:ext>
          </c:extLst>
        </c:ser>
        <c:ser>
          <c:idx val="7"/>
          <c:order val="7"/>
          <c:tx>
            <c:strRef>
              <c:f>'Crime Totals Pivot Chart'!$I$3</c:f>
              <c:strCache>
                <c:ptCount val="1"/>
                <c:pt idx="0">
                  <c:v>Sum of Maroochy</c:v>
                </c:pt>
              </c:strCache>
            </c:strRef>
          </c:tx>
          <c:spPr>
            <a:ln w="22225" cap="rnd" cmpd="sng" algn="ctr">
              <a:solidFill>
                <a:schemeClr val="accent2">
                  <a:lumMod val="60000"/>
                </a:schemeClr>
              </a:solidFill>
              <a:round/>
            </a:ln>
            <a:effectLst/>
          </c:spPr>
          <c:marker>
            <c:symbol val="circle"/>
            <c:size val="4"/>
            <c:spPr>
              <a:solidFill>
                <a:schemeClr val="accent2">
                  <a:lumMod val="60000"/>
                </a:schemeClr>
              </a:solidFill>
              <a:ln w="9525" cap="flat" cmpd="sng" algn="ctr">
                <a:solidFill>
                  <a:schemeClr val="accent2">
                    <a:lumMod val="60000"/>
                  </a:schemeClr>
                </a:solidFill>
                <a:round/>
              </a:ln>
              <a:effectLst/>
            </c:spPr>
          </c:marker>
          <c:cat>
            <c:strRef>
              <c:f>'Crime Totals Pivot Chart'!$A$4:$A$11</c:f>
              <c:strCache>
                <c:ptCount val="7"/>
                <c:pt idx="0">
                  <c:v>2016-2017</c:v>
                </c:pt>
                <c:pt idx="1">
                  <c:v>2017-2018</c:v>
                </c:pt>
                <c:pt idx="2">
                  <c:v>2018-2019</c:v>
                </c:pt>
                <c:pt idx="3">
                  <c:v>2019-2020</c:v>
                </c:pt>
                <c:pt idx="4">
                  <c:v>2020-2021</c:v>
                </c:pt>
                <c:pt idx="5">
                  <c:v>2021-2022</c:v>
                </c:pt>
                <c:pt idx="6">
                  <c:v>2022-2023</c:v>
                </c:pt>
              </c:strCache>
            </c:strRef>
          </c:cat>
          <c:val>
            <c:numRef>
              <c:f>'Crime Totals Pivot Chart'!$I$4:$I$11</c:f>
              <c:numCache>
                <c:formatCode>General</c:formatCode>
                <c:ptCount val="7"/>
                <c:pt idx="0">
                  <c:v>445</c:v>
                </c:pt>
                <c:pt idx="1">
                  <c:v>718</c:v>
                </c:pt>
                <c:pt idx="2">
                  <c:v>351</c:v>
                </c:pt>
                <c:pt idx="3">
                  <c:v>415</c:v>
                </c:pt>
                <c:pt idx="4">
                  <c:v>508</c:v>
                </c:pt>
                <c:pt idx="5">
                  <c:v>546</c:v>
                </c:pt>
                <c:pt idx="6">
                  <c:v>493</c:v>
                </c:pt>
              </c:numCache>
            </c:numRef>
          </c:val>
          <c:smooth val="0"/>
          <c:extLst>
            <c:ext xmlns:c16="http://schemas.microsoft.com/office/drawing/2014/chart" uri="{C3380CC4-5D6E-409C-BE32-E72D297353CC}">
              <c16:uniqueId val="{00000008-72DA-456C-8B79-690C95AF782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52329440"/>
        <c:axId val="252346240"/>
      </c:lineChart>
      <c:catAx>
        <c:axId val="25232944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52346240"/>
        <c:crosses val="autoZero"/>
        <c:auto val="1"/>
        <c:lblAlgn val="ctr"/>
        <c:lblOffset val="100"/>
        <c:noMultiLvlLbl val="0"/>
      </c:catAx>
      <c:valAx>
        <c:axId val="252346240"/>
        <c:scaling>
          <c:orientation val="minMax"/>
          <c:min val="1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52329440"/>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AU"/>
              <a:t>Homicide rate by Population QLD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'Raw Data Rates'!$AP$6:$AP$14</c:f>
              <c:numCache>
                <c:formatCode>General</c:formatCode>
                <c:ptCount val="9"/>
                <c:pt idx="0">
                  <c:v>1.8</c:v>
                </c:pt>
                <c:pt idx="1">
                  <c:v>13.22</c:v>
                </c:pt>
                <c:pt idx="2">
                  <c:v>0.56999999999999995</c:v>
                </c:pt>
                <c:pt idx="3">
                  <c:v>1.01</c:v>
                </c:pt>
                <c:pt idx="4">
                  <c:v>2.25</c:v>
                </c:pt>
                <c:pt idx="5">
                  <c:v>2.11</c:v>
                </c:pt>
                <c:pt idx="6">
                  <c:v>0.49</c:v>
                </c:pt>
                <c:pt idx="7">
                  <c:v>0.88</c:v>
                </c:pt>
                <c:pt idx="8">
                  <c:v>1.0900000000000001</c:v>
                </c:pt>
              </c:numCache>
            </c:numRef>
          </c:xVal>
          <c:yVal>
            <c:numRef>
              <c:f>'Raw Data Rates'!$AQ$6:$AQ$14</c:f>
              <c:numCache>
                <c:formatCode>General</c:formatCode>
                <c:ptCount val="9"/>
                <c:pt idx="0">
                  <c:v>2300818</c:v>
                </c:pt>
                <c:pt idx="1">
                  <c:v>8825</c:v>
                </c:pt>
                <c:pt idx="2">
                  <c:v>265366</c:v>
                </c:pt>
                <c:pt idx="3">
                  <c:v>397323</c:v>
                </c:pt>
                <c:pt idx="4">
                  <c:v>66770</c:v>
                </c:pt>
                <c:pt idx="5">
                  <c:v>126423</c:v>
                </c:pt>
                <c:pt idx="6">
                  <c:v>67751</c:v>
                </c:pt>
                <c:pt idx="7">
                  <c:v>170792</c:v>
                </c:pt>
                <c:pt idx="8">
                  <c:v>243798</c:v>
                </c:pt>
              </c:numCache>
            </c:numRef>
          </c:yVal>
          <c:smooth val="0"/>
          <c:extLst>
            <c:ext xmlns:c16="http://schemas.microsoft.com/office/drawing/2014/chart" uri="{C3380CC4-5D6E-409C-BE32-E72D297353CC}">
              <c16:uniqueId val="{00000000-826E-4A67-88F7-2E82C018F9D1}"/>
            </c:ext>
          </c:extLst>
        </c:ser>
        <c:dLbls>
          <c:showLegendKey val="0"/>
          <c:showVal val="0"/>
          <c:showCatName val="0"/>
          <c:showSerName val="0"/>
          <c:showPercent val="0"/>
          <c:showBubbleSize val="0"/>
        </c:dLbls>
        <c:axId val="252214720"/>
        <c:axId val="252199840"/>
      </c:scatterChart>
      <c:valAx>
        <c:axId val="252214720"/>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AU"/>
                  <a:t>Homicide Rate per 100,000</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2199840"/>
        <c:crosses val="autoZero"/>
        <c:crossBetween val="midCat"/>
      </c:valAx>
      <c:valAx>
        <c:axId val="25219984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AU"/>
                  <a:t>Population</a:t>
                </a:r>
              </a:p>
              <a:p>
                <a:pPr>
                  <a:defRPr/>
                </a:pPr>
                <a:endParaRPr lang="en-AU"/>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2214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Sexual Offences by Population QLD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12991426071741033"/>
          <c:y val="0.18515222482435598"/>
          <c:w val="0.81419685039370082"/>
          <c:h val="0.61251396854081752"/>
        </c:manualLayout>
      </c:layout>
      <c:scatterChart>
        <c:scatterStyle val="lineMarker"/>
        <c:varyColors val="0"/>
        <c:ser>
          <c:idx val="0"/>
          <c:order val="0"/>
          <c:tx>
            <c:strRef>
              <c:f>'Raw Data Rates'!$AQ$36</c:f>
              <c:strCache>
                <c:ptCount val="1"/>
                <c:pt idx="0">
                  <c:v>Population</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'Raw Data Rates'!$AP$37:$AP$45</c:f>
              <c:numCache>
                <c:formatCode>General</c:formatCode>
                <c:ptCount val="9"/>
                <c:pt idx="0">
                  <c:v>29.98</c:v>
                </c:pt>
                <c:pt idx="1">
                  <c:v>870.9</c:v>
                </c:pt>
                <c:pt idx="2">
                  <c:v>30.69</c:v>
                </c:pt>
                <c:pt idx="3">
                  <c:v>20.64</c:v>
                </c:pt>
                <c:pt idx="4">
                  <c:v>103.55</c:v>
                </c:pt>
                <c:pt idx="5">
                  <c:v>52.43</c:v>
                </c:pt>
                <c:pt idx="6">
                  <c:v>121.03</c:v>
                </c:pt>
                <c:pt idx="7">
                  <c:v>49.68</c:v>
                </c:pt>
                <c:pt idx="8">
                  <c:v>32.520000000000003</c:v>
                </c:pt>
              </c:numCache>
            </c:numRef>
          </c:xVal>
          <c:yVal>
            <c:numRef>
              <c:f>'Raw Data Rates'!$AQ$37:$AQ$45</c:f>
              <c:numCache>
                <c:formatCode>General</c:formatCode>
                <c:ptCount val="9"/>
                <c:pt idx="0">
                  <c:v>2300818</c:v>
                </c:pt>
                <c:pt idx="1">
                  <c:v>8825</c:v>
                </c:pt>
                <c:pt idx="2">
                  <c:v>265366</c:v>
                </c:pt>
                <c:pt idx="3">
                  <c:v>397323</c:v>
                </c:pt>
                <c:pt idx="4">
                  <c:v>66770</c:v>
                </c:pt>
                <c:pt idx="5">
                  <c:v>126423</c:v>
                </c:pt>
                <c:pt idx="6">
                  <c:v>67751</c:v>
                </c:pt>
                <c:pt idx="7">
                  <c:v>170792</c:v>
                </c:pt>
                <c:pt idx="8">
                  <c:v>243798</c:v>
                </c:pt>
              </c:numCache>
            </c:numRef>
          </c:yVal>
          <c:smooth val="0"/>
          <c:extLst>
            <c:ext xmlns:c16="http://schemas.microsoft.com/office/drawing/2014/chart" uri="{C3380CC4-5D6E-409C-BE32-E72D297353CC}">
              <c16:uniqueId val="{00000000-25C4-467B-A434-0EAAA7A55E98}"/>
            </c:ext>
          </c:extLst>
        </c:ser>
        <c:dLbls>
          <c:showLegendKey val="0"/>
          <c:showVal val="0"/>
          <c:showCatName val="0"/>
          <c:showSerName val="0"/>
          <c:showPercent val="0"/>
          <c:showBubbleSize val="0"/>
        </c:dLbls>
        <c:axId val="252165760"/>
        <c:axId val="252192160"/>
      </c:scatterChart>
      <c:valAx>
        <c:axId val="25216576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2192160"/>
        <c:crosses val="autoZero"/>
        <c:crossBetween val="midCat"/>
      </c:valAx>
      <c:valAx>
        <c:axId val="25219216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21657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macros.xlsm]Crime Rates Pivot Chart!PivotTable4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966516321382159E-2"/>
          <c:y val="0.16658552385470934"/>
          <c:w val="0.94290934932772386"/>
          <c:h val="0.70516145185799151"/>
        </c:manualLayout>
      </c:layout>
      <c:lineChart>
        <c:grouping val="standard"/>
        <c:varyColors val="0"/>
        <c:ser>
          <c:idx val="0"/>
          <c:order val="0"/>
          <c:tx>
            <c:strRef>
              <c:f>'Crime Rates Pivot Chart'!$B$3</c:f>
              <c:strCache>
                <c:ptCount val="1"/>
                <c:pt idx="0">
                  <c:v>- Brisbane</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Chart'!$B$4:$B$11</c:f>
              <c:numCache>
                <c:formatCode>General</c:formatCode>
                <c:ptCount val="7"/>
                <c:pt idx="0">
                  <c:v>1.5429295146334914</c:v>
                </c:pt>
                <c:pt idx="1">
                  <c:v>1.2169584904151478</c:v>
                </c:pt>
                <c:pt idx="2">
                  <c:v>1.3908097033315976</c:v>
                </c:pt>
                <c:pt idx="3">
                  <c:v>1.0503510780368837</c:v>
                </c:pt>
                <c:pt idx="4">
                  <c:v>1.2676650941824461</c:v>
                </c:pt>
                <c:pt idx="5">
                  <c:v>1.4632477087134517</c:v>
                </c:pt>
                <c:pt idx="6">
                  <c:v>1.79646253346998</c:v>
                </c:pt>
              </c:numCache>
            </c:numRef>
          </c:val>
          <c:smooth val="0"/>
          <c:extLst>
            <c:ext xmlns:c16="http://schemas.microsoft.com/office/drawing/2014/chart" uri="{C3380CC4-5D6E-409C-BE32-E72D297353CC}">
              <c16:uniqueId val="{00000000-FF15-4D70-8886-A5010398B34F}"/>
            </c:ext>
          </c:extLst>
        </c:ser>
        <c:ser>
          <c:idx val="1"/>
          <c:order val="1"/>
          <c:tx>
            <c:strRef>
              <c:f>'Crime Rates Pivot Chart'!$C$3</c:f>
              <c:strCache>
                <c:ptCount val="1"/>
                <c:pt idx="0">
                  <c:v>- Cairns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Chart'!$C$4:$C$11</c:f>
              <c:numCache>
                <c:formatCode>General</c:formatCode>
                <c:ptCount val="7"/>
                <c:pt idx="0">
                  <c:v>0.69086971704488642</c:v>
                </c:pt>
                <c:pt idx="1">
                  <c:v>2.637866192353203</c:v>
                </c:pt>
                <c:pt idx="2">
                  <c:v>0.75367605495805801</c:v>
                </c:pt>
                <c:pt idx="3">
                  <c:v>1.004901406610744</c:v>
                </c:pt>
                <c:pt idx="4">
                  <c:v>1.130514082437087</c:v>
                </c:pt>
                <c:pt idx="5">
                  <c:v>0.56525704121854348</c:v>
                </c:pt>
                <c:pt idx="6">
                  <c:v>0.56525704121854348</c:v>
                </c:pt>
              </c:numCache>
            </c:numRef>
          </c:val>
          <c:smooth val="0"/>
          <c:extLst>
            <c:ext xmlns:c16="http://schemas.microsoft.com/office/drawing/2014/chart" uri="{C3380CC4-5D6E-409C-BE32-E72D297353CC}">
              <c16:uniqueId val="{00000002-FF15-4D70-8886-A5010398B34F}"/>
            </c:ext>
          </c:extLst>
        </c:ser>
        <c:ser>
          <c:idx val="2"/>
          <c:order val="2"/>
          <c:tx>
            <c:strRef>
              <c:f>'Crime Rates Pivot Chart'!$D$3</c:f>
              <c:strCache>
                <c:ptCount val="1"/>
                <c:pt idx="0">
                  <c:v>Average of Beenleigh</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Chart'!$D$4:$D$11</c:f>
              <c:numCache>
                <c:formatCode>General</c:formatCode>
                <c:ptCount val="7"/>
                <c:pt idx="0">
                  <c:v>7.5542965061378666</c:v>
                </c:pt>
                <c:pt idx="1">
                  <c:v>5.6657223796033991</c:v>
                </c:pt>
                <c:pt idx="2">
                  <c:v>22.662889518413596</c:v>
                </c:pt>
                <c:pt idx="3">
                  <c:v>3.7771482530689333</c:v>
                </c:pt>
                <c:pt idx="4">
                  <c:v>5.6657223796033991</c:v>
                </c:pt>
                <c:pt idx="5">
                  <c:v>15.108593012275733</c:v>
                </c:pt>
                <c:pt idx="6">
                  <c:v>13.220018885741267</c:v>
                </c:pt>
              </c:numCache>
            </c:numRef>
          </c:val>
          <c:smooth val="0"/>
          <c:extLst>
            <c:ext xmlns:c16="http://schemas.microsoft.com/office/drawing/2014/chart" uri="{C3380CC4-5D6E-409C-BE32-E72D297353CC}">
              <c16:uniqueId val="{00000003-FF15-4D70-8886-A5010398B34F}"/>
            </c:ext>
          </c:extLst>
        </c:ser>
        <c:ser>
          <c:idx val="3"/>
          <c:order val="3"/>
          <c:tx>
            <c:strRef>
              <c:f>'Crime Rates Pivot Chart'!$E$3</c:f>
              <c:strCache>
                <c:ptCount val="1"/>
                <c:pt idx="0">
                  <c:v>- Townsville</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Chart'!$E$4:$E$11</c:f>
              <c:numCache>
                <c:formatCode>General</c:formatCode>
                <c:ptCount val="7"/>
                <c:pt idx="0">
                  <c:v>0.82035127441570488</c:v>
                </c:pt>
                <c:pt idx="1">
                  <c:v>0.88871388061701351</c:v>
                </c:pt>
                <c:pt idx="2">
                  <c:v>0.34181303100654364</c:v>
                </c:pt>
                <c:pt idx="3">
                  <c:v>0.68362606201308729</c:v>
                </c:pt>
                <c:pt idx="4">
                  <c:v>0.68362606201308729</c:v>
                </c:pt>
                <c:pt idx="5">
                  <c:v>0.75198866821439603</c:v>
                </c:pt>
                <c:pt idx="6">
                  <c:v>1.0938016992209396</c:v>
                </c:pt>
              </c:numCache>
            </c:numRef>
          </c:val>
          <c:smooth val="0"/>
          <c:extLst>
            <c:ext xmlns:c16="http://schemas.microsoft.com/office/drawing/2014/chart" uri="{C3380CC4-5D6E-409C-BE32-E72D297353CC}">
              <c16:uniqueId val="{00000004-FF15-4D70-8886-A5010398B34F}"/>
            </c:ext>
          </c:extLst>
        </c:ser>
        <c:ser>
          <c:idx val="4"/>
          <c:order val="4"/>
          <c:tx>
            <c:strRef>
              <c:f>'Crime Rates Pivot Chart'!$F$3</c:f>
              <c:strCache>
                <c:ptCount val="1"/>
                <c:pt idx="0">
                  <c:v>- Ipswich</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Chart'!$F$4:$F$11</c:f>
              <c:numCache>
                <c:formatCode>General</c:formatCode>
                <c:ptCount val="7"/>
                <c:pt idx="0">
                  <c:v>0.50336879566498793</c:v>
                </c:pt>
                <c:pt idx="1">
                  <c:v>0.16778959855499598</c:v>
                </c:pt>
                <c:pt idx="2">
                  <c:v>0.25168439783249397</c:v>
                </c:pt>
                <c:pt idx="3">
                  <c:v>0.67115839421998391</c:v>
                </c:pt>
                <c:pt idx="4">
                  <c:v>0.37752659674874095</c:v>
                </c:pt>
                <c:pt idx="5">
                  <c:v>0.62921099458123486</c:v>
                </c:pt>
                <c:pt idx="6">
                  <c:v>1.0067375913299759</c:v>
                </c:pt>
              </c:numCache>
            </c:numRef>
          </c:val>
          <c:smooth val="0"/>
          <c:extLst>
            <c:ext xmlns:c16="http://schemas.microsoft.com/office/drawing/2014/chart" uri="{C3380CC4-5D6E-409C-BE32-E72D297353CC}">
              <c16:uniqueId val="{00000005-FF15-4D70-8886-A5010398B34F}"/>
            </c:ext>
          </c:extLst>
        </c:ser>
        <c:ser>
          <c:idx val="5"/>
          <c:order val="5"/>
          <c:tx>
            <c:strRef>
              <c:f>'Crime Rates Pivot Chart'!$G$3</c:f>
              <c:strCache>
                <c:ptCount val="1"/>
                <c:pt idx="0">
                  <c:v>- Maroochy</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Chart'!$G$4:$G$11</c:f>
              <c:numCache>
                <c:formatCode>General</c:formatCode>
                <c:ptCount val="7"/>
                <c:pt idx="0">
                  <c:v>2.7457440966501925</c:v>
                </c:pt>
                <c:pt idx="1">
                  <c:v>2.2465178972592486</c:v>
                </c:pt>
                <c:pt idx="2">
                  <c:v>2.7457440966501925</c:v>
                </c:pt>
                <c:pt idx="3">
                  <c:v>0.99845239878188818</c:v>
                </c:pt>
                <c:pt idx="4">
                  <c:v>1.7472916978683042</c:v>
                </c:pt>
                <c:pt idx="5">
                  <c:v>1.7472916978683042</c:v>
                </c:pt>
                <c:pt idx="6">
                  <c:v>2.2465178972592486</c:v>
                </c:pt>
              </c:numCache>
            </c:numRef>
          </c:val>
          <c:smooth val="0"/>
          <c:extLst>
            <c:ext xmlns:c16="http://schemas.microsoft.com/office/drawing/2014/chart" uri="{C3380CC4-5D6E-409C-BE32-E72D297353CC}">
              <c16:uniqueId val="{00000006-FF15-4D70-8886-A5010398B34F}"/>
            </c:ext>
          </c:extLst>
        </c:ser>
        <c:ser>
          <c:idx val="6"/>
          <c:order val="6"/>
          <c:tx>
            <c:strRef>
              <c:f>'Crime Rates Pivot Chart'!$H$3</c:f>
              <c:strCache>
                <c:ptCount val="1"/>
                <c:pt idx="0">
                  <c:v>- Rockhampton</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Chart'!$H$4:$H$11</c:f>
              <c:numCache>
                <c:formatCode>General</c:formatCode>
                <c:ptCount val="7"/>
                <c:pt idx="0">
                  <c:v>2.241153376627143</c:v>
                </c:pt>
                <c:pt idx="1">
                  <c:v>2.6366510313260512</c:v>
                </c:pt>
                <c:pt idx="2">
                  <c:v>1.0546604125304204</c:v>
                </c:pt>
                <c:pt idx="3">
                  <c:v>1.3183255156630254</c:v>
                </c:pt>
                <c:pt idx="4">
                  <c:v>0.92282786096411795</c:v>
                </c:pt>
                <c:pt idx="5">
                  <c:v>2.6366510313260512</c:v>
                </c:pt>
                <c:pt idx="6">
                  <c:v>2.1093208250608408</c:v>
                </c:pt>
              </c:numCache>
            </c:numRef>
          </c:val>
          <c:smooth val="0"/>
          <c:extLst>
            <c:ext xmlns:c16="http://schemas.microsoft.com/office/drawing/2014/chart" uri="{C3380CC4-5D6E-409C-BE32-E72D297353CC}">
              <c16:uniqueId val="{00000007-FF15-4D70-8886-A5010398B34F}"/>
            </c:ext>
          </c:extLst>
        </c:ser>
        <c:ser>
          <c:idx val="7"/>
          <c:order val="7"/>
          <c:tx>
            <c:strRef>
              <c:f>'Crime Rates Pivot Chart'!$I$3</c:f>
              <c:strCache>
                <c:ptCount val="1"/>
                <c:pt idx="0">
                  <c:v>- Southport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Chart'!$I$4:$I$11</c:f>
              <c:numCache>
                <c:formatCode>General</c:formatCode>
                <c:ptCount val="7"/>
                <c:pt idx="0">
                  <c:v>0</c:v>
                </c:pt>
                <c:pt idx="1">
                  <c:v>0.24599882904557377</c:v>
                </c:pt>
                <c:pt idx="2">
                  <c:v>0.73799648713672139</c:v>
                </c:pt>
                <c:pt idx="3">
                  <c:v>1.7219918033190165</c:v>
                </c:pt>
                <c:pt idx="4">
                  <c:v>0.98399531618229508</c:v>
                </c:pt>
                <c:pt idx="5">
                  <c:v>1.7219918033190165</c:v>
                </c:pt>
                <c:pt idx="6">
                  <c:v>0.49199765809114754</c:v>
                </c:pt>
              </c:numCache>
            </c:numRef>
          </c:val>
          <c:smooth val="0"/>
          <c:extLst>
            <c:ext xmlns:c16="http://schemas.microsoft.com/office/drawing/2014/chart" uri="{C3380CC4-5D6E-409C-BE32-E72D297353CC}">
              <c16:uniqueId val="{00000008-FF15-4D70-8886-A5010398B34F}"/>
            </c:ext>
          </c:extLst>
        </c:ser>
        <c:ser>
          <c:idx val="8"/>
          <c:order val="8"/>
          <c:tx>
            <c:strRef>
              <c:f>'Crime Rates Pivot Chart'!$J$3</c:f>
              <c:strCache>
                <c:ptCount val="1"/>
                <c:pt idx="0">
                  <c:v>- Toowoomba</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Chart'!$J$4:$J$11</c:f>
              <c:numCache>
                <c:formatCode>General</c:formatCode>
                <c:ptCount val="7"/>
                <c:pt idx="0">
                  <c:v>0.39033834527768668</c:v>
                </c:pt>
                <c:pt idx="1">
                  <c:v>0.58550751791653</c:v>
                </c:pt>
                <c:pt idx="2">
                  <c:v>0.48792293159710837</c:v>
                </c:pt>
                <c:pt idx="3">
                  <c:v>0.19516917263884334</c:v>
                </c:pt>
                <c:pt idx="4">
                  <c:v>0.48792293159710831</c:v>
                </c:pt>
                <c:pt idx="5">
                  <c:v>0.39033834527768668</c:v>
                </c:pt>
                <c:pt idx="6">
                  <c:v>0.87826127687479494</c:v>
                </c:pt>
              </c:numCache>
            </c:numRef>
          </c:val>
          <c:smooth val="0"/>
          <c:extLst>
            <c:ext xmlns:c16="http://schemas.microsoft.com/office/drawing/2014/chart" uri="{C3380CC4-5D6E-409C-BE32-E72D297353CC}">
              <c16:uniqueId val="{0000000E-FF15-4D70-8886-A5010398B34F}"/>
            </c:ext>
          </c:extLst>
        </c:ser>
        <c:dLbls>
          <c:showLegendKey val="0"/>
          <c:showVal val="0"/>
          <c:showCatName val="0"/>
          <c:showSerName val="0"/>
          <c:showPercent val="0"/>
          <c:showBubbleSize val="0"/>
        </c:dLbls>
        <c:marker val="1"/>
        <c:smooth val="0"/>
        <c:axId val="141815536"/>
        <c:axId val="141802096"/>
      </c:lineChart>
      <c:catAx>
        <c:axId val="14181553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802096"/>
        <c:crosses val="autoZero"/>
        <c:auto val="1"/>
        <c:lblAlgn val="ctr"/>
        <c:lblOffset val="100"/>
        <c:noMultiLvlLbl val="0"/>
      </c:catAx>
      <c:valAx>
        <c:axId val="14180209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815536"/>
        <c:crosses val="autoZero"/>
        <c:crossBetween val="between"/>
      </c:valAx>
      <c:spPr>
        <a:noFill/>
        <a:ln>
          <a:noFill/>
        </a:ln>
        <a:effectLst/>
      </c:spPr>
    </c:plotArea>
    <c:legend>
      <c:legendPos val="b"/>
      <c:layout>
        <c:manualLayout>
          <c:xMode val="edge"/>
          <c:yMode val="edge"/>
          <c:x val="1.6901521011890436E-2"/>
          <c:y val="0.94983526730211354"/>
          <c:w val="0.7590768760327663"/>
          <c:h val="5.016469816272965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macros.xlsm]Crime Rates Pivot Chart!PivotTable4</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'Crime Rates Pivot Chart'!$B$3</c:f>
              <c:strCache>
                <c:ptCount val="1"/>
                <c:pt idx="0">
                  <c:v>- Brisbane</c:v>
                </c:pt>
              </c:strCache>
            </c:strRef>
          </c:tx>
          <c:spPr>
            <a:solidFill>
              <a:schemeClr val="accent1"/>
            </a:solidFill>
            <a:ln>
              <a:noFill/>
            </a:ln>
            <a:effectLst/>
          </c:spPr>
          <c:invertIfNegative val="0"/>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Chart'!$B$4:$B$11</c:f>
              <c:numCache>
                <c:formatCode>General</c:formatCode>
                <c:ptCount val="7"/>
                <c:pt idx="0">
                  <c:v>1.5429295146334914</c:v>
                </c:pt>
                <c:pt idx="1">
                  <c:v>1.2169584904151478</c:v>
                </c:pt>
                <c:pt idx="2">
                  <c:v>1.3908097033315976</c:v>
                </c:pt>
                <c:pt idx="3">
                  <c:v>1.0503510780368837</c:v>
                </c:pt>
                <c:pt idx="4">
                  <c:v>1.2676650941824461</c:v>
                </c:pt>
                <c:pt idx="5">
                  <c:v>1.4632477087134517</c:v>
                </c:pt>
                <c:pt idx="6">
                  <c:v>1.79646253346998</c:v>
                </c:pt>
              </c:numCache>
            </c:numRef>
          </c:val>
          <c:extLst>
            <c:ext xmlns:c16="http://schemas.microsoft.com/office/drawing/2014/chart" uri="{C3380CC4-5D6E-409C-BE32-E72D297353CC}">
              <c16:uniqueId val="{00000000-E19B-4E65-97E8-2A5C683003C3}"/>
            </c:ext>
          </c:extLst>
        </c:ser>
        <c:ser>
          <c:idx val="1"/>
          <c:order val="1"/>
          <c:tx>
            <c:strRef>
              <c:f>'Crime Rates Pivot Chart'!$C$3</c:f>
              <c:strCache>
                <c:ptCount val="1"/>
                <c:pt idx="0">
                  <c:v>- Cairns</c:v>
                </c:pt>
              </c:strCache>
            </c:strRef>
          </c:tx>
          <c:spPr>
            <a:solidFill>
              <a:schemeClr val="accent2"/>
            </a:solidFill>
            <a:ln>
              <a:noFill/>
            </a:ln>
            <a:effectLst/>
          </c:spPr>
          <c:invertIfNegative val="0"/>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Chart'!$C$4:$C$11</c:f>
              <c:numCache>
                <c:formatCode>General</c:formatCode>
                <c:ptCount val="7"/>
                <c:pt idx="0">
                  <c:v>0.69086971704488642</c:v>
                </c:pt>
                <c:pt idx="1">
                  <c:v>2.637866192353203</c:v>
                </c:pt>
                <c:pt idx="2">
                  <c:v>0.75367605495805801</c:v>
                </c:pt>
                <c:pt idx="3">
                  <c:v>1.004901406610744</c:v>
                </c:pt>
                <c:pt idx="4">
                  <c:v>1.130514082437087</c:v>
                </c:pt>
                <c:pt idx="5">
                  <c:v>0.56525704121854348</c:v>
                </c:pt>
                <c:pt idx="6">
                  <c:v>0.56525704121854348</c:v>
                </c:pt>
              </c:numCache>
            </c:numRef>
          </c:val>
          <c:extLst>
            <c:ext xmlns:c16="http://schemas.microsoft.com/office/drawing/2014/chart" uri="{C3380CC4-5D6E-409C-BE32-E72D297353CC}">
              <c16:uniqueId val="{00000001-E19B-4E65-97E8-2A5C683003C3}"/>
            </c:ext>
          </c:extLst>
        </c:ser>
        <c:ser>
          <c:idx val="2"/>
          <c:order val="2"/>
          <c:tx>
            <c:strRef>
              <c:f>'Crime Rates Pivot Chart'!$D$3</c:f>
              <c:strCache>
                <c:ptCount val="1"/>
                <c:pt idx="0">
                  <c:v>Average of Beenleigh</c:v>
                </c:pt>
              </c:strCache>
            </c:strRef>
          </c:tx>
          <c:spPr>
            <a:solidFill>
              <a:schemeClr val="accent3"/>
            </a:solidFill>
            <a:ln>
              <a:noFill/>
            </a:ln>
            <a:effectLst/>
          </c:spPr>
          <c:invertIfNegative val="0"/>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Chart'!$D$4:$D$11</c:f>
              <c:numCache>
                <c:formatCode>General</c:formatCode>
                <c:ptCount val="7"/>
                <c:pt idx="0">
                  <c:v>7.5542965061378666</c:v>
                </c:pt>
                <c:pt idx="1">
                  <c:v>5.6657223796033991</c:v>
                </c:pt>
                <c:pt idx="2">
                  <c:v>22.662889518413596</c:v>
                </c:pt>
                <c:pt idx="3">
                  <c:v>3.7771482530689333</c:v>
                </c:pt>
                <c:pt idx="4">
                  <c:v>5.6657223796033991</c:v>
                </c:pt>
                <c:pt idx="5">
                  <c:v>15.108593012275733</c:v>
                </c:pt>
                <c:pt idx="6">
                  <c:v>13.220018885741267</c:v>
                </c:pt>
              </c:numCache>
            </c:numRef>
          </c:val>
          <c:extLst>
            <c:ext xmlns:c16="http://schemas.microsoft.com/office/drawing/2014/chart" uri="{C3380CC4-5D6E-409C-BE32-E72D297353CC}">
              <c16:uniqueId val="{00000002-E19B-4E65-97E8-2A5C683003C3}"/>
            </c:ext>
          </c:extLst>
        </c:ser>
        <c:ser>
          <c:idx val="3"/>
          <c:order val="3"/>
          <c:tx>
            <c:strRef>
              <c:f>'Crime Rates Pivot Chart'!$E$3</c:f>
              <c:strCache>
                <c:ptCount val="1"/>
                <c:pt idx="0">
                  <c:v>- Townsville</c:v>
                </c:pt>
              </c:strCache>
            </c:strRef>
          </c:tx>
          <c:spPr>
            <a:solidFill>
              <a:schemeClr val="accent4"/>
            </a:solidFill>
            <a:ln>
              <a:noFill/>
            </a:ln>
            <a:effectLst/>
          </c:spPr>
          <c:invertIfNegative val="0"/>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Chart'!$E$4:$E$11</c:f>
              <c:numCache>
                <c:formatCode>General</c:formatCode>
                <c:ptCount val="7"/>
                <c:pt idx="0">
                  <c:v>0.82035127441570488</c:v>
                </c:pt>
                <c:pt idx="1">
                  <c:v>0.88871388061701351</c:v>
                </c:pt>
                <c:pt idx="2">
                  <c:v>0.34181303100654364</c:v>
                </c:pt>
                <c:pt idx="3">
                  <c:v>0.68362606201308729</c:v>
                </c:pt>
                <c:pt idx="4">
                  <c:v>0.68362606201308729</c:v>
                </c:pt>
                <c:pt idx="5">
                  <c:v>0.75198866821439603</c:v>
                </c:pt>
                <c:pt idx="6">
                  <c:v>1.0938016992209396</c:v>
                </c:pt>
              </c:numCache>
            </c:numRef>
          </c:val>
          <c:extLst>
            <c:ext xmlns:c16="http://schemas.microsoft.com/office/drawing/2014/chart" uri="{C3380CC4-5D6E-409C-BE32-E72D297353CC}">
              <c16:uniqueId val="{00000003-E19B-4E65-97E8-2A5C683003C3}"/>
            </c:ext>
          </c:extLst>
        </c:ser>
        <c:ser>
          <c:idx val="4"/>
          <c:order val="4"/>
          <c:tx>
            <c:strRef>
              <c:f>'Crime Rates Pivot Chart'!$F$3</c:f>
              <c:strCache>
                <c:ptCount val="1"/>
                <c:pt idx="0">
                  <c:v>- Ipswich</c:v>
                </c:pt>
              </c:strCache>
            </c:strRef>
          </c:tx>
          <c:spPr>
            <a:solidFill>
              <a:schemeClr val="accent5"/>
            </a:solidFill>
            <a:ln>
              <a:noFill/>
            </a:ln>
            <a:effectLst/>
          </c:spPr>
          <c:invertIfNegative val="0"/>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Chart'!$F$4:$F$11</c:f>
              <c:numCache>
                <c:formatCode>General</c:formatCode>
                <c:ptCount val="7"/>
                <c:pt idx="0">
                  <c:v>0.50336879566498793</c:v>
                </c:pt>
                <c:pt idx="1">
                  <c:v>0.16778959855499598</c:v>
                </c:pt>
                <c:pt idx="2">
                  <c:v>0.25168439783249397</c:v>
                </c:pt>
                <c:pt idx="3">
                  <c:v>0.67115839421998391</c:v>
                </c:pt>
                <c:pt idx="4">
                  <c:v>0.37752659674874095</c:v>
                </c:pt>
                <c:pt idx="5">
                  <c:v>0.62921099458123486</c:v>
                </c:pt>
                <c:pt idx="6">
                  <c:v>1.0067375913299759</c:v>
                </c:pt>
              </c:numCache>
            </c:numRef>
          </c:val>
          <c:extLst>
            <c:ext xmlns:c16="http://schemas.microsoft.com/office/drawing/2014/chart" uri="{C3380CC4-5D6E-409C-BE32-E72D297353CC}">
              <c16:uniqueId val="{00000004-E19B-4E65-97E8-2A5C683003C3}"/>
            </c:ext>
          </c:extLst>
        </c:ser>
        <c:ser>
          <c:idx val="5"/>
          <c:order val="5"/>
          <c:tx>
            <c:strRef>
              <c:f>'Crime Rates Pivot Chart'!$G$3</c:f>
              <c:strCache>
                <c:ptCount val="1"/>
                <c:pt idx="0">
                  <c:v>- Maroochy</c:v>
                </c:pt>
              </c:strCache>
            </c:strRef>
          </c:tx>
          <c:spPr>
            <a:solidFill>
              <a:schemeClr val="accent6"/>
            </a:solidFill>
            <a:ln>
              <a:noFill/>
            </a:ln>
            <a:effectLst/>
          </c:spPr>
          <c:invertIfNegative val="0"/>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Chart'!$G$4:$G$11</c:f>
              <c:numCache>
                <c:formatCode>General</c:formatCode>
                <c:ptCount val="7"/>
                <c:pt idx="0">
                  <c:v>2.7457440966501925</c:v>
                </c:pt>
                <c:pt idx="1">
                  <c:v>2.2465178972592486</c:v>
                </c:pt>
                <c:pt idx="2">
                  <c:v>2.7457440966501925</c:v>
                </c:pt>
                <c:pt idx="3">
                  <c:v>0.99845239878188818</c:v>
                </c:pt>
                <c:pt idx="4">
                  <c:v>1.7472916978683042</c:v>
                </c:pt>
                <c:pt idx="5">
                  <c:v>1.7472916978683042</c:v>
                </c:pt>
                <c:pt idx="6">
                  <c:v>2.2465178972592486</c:v>
                </c:pt>
              </c:numCache>
            </c:numRef>
          </c:val>
          <c:extLst>
            <c:ext xmlns:c16="http://schemas.microsoft.com/office/drawing/2014/chart" uri="{C3380CC4-5D6E-409C-BE32-E72D297353CC}">
              <c16:uniqueId val="{00000005-E19B-4E65-97E8-2A5C683003C3}"/>
            </c:ext>
          </c:extLst>
        </c:ser>
        <c:ser>
          <c:idx val="6"/>
          <c:order val="6"/>
          <c:tx>
            <c:strRef>
              <c:f>'Crime Rates Pivot Chart'!$H$3</c:f>
              <c:strCache>
                <c:ptCount val="1"/>
                <c:pt idx="0">
                  <c:v>- Rockhampton</c:v>
                </c:pt>
              </c:strCache>
            </c:strRef>
          </c:tx>
          <c:spPr>
            <a:solidFill>
              <a:schemeClr val="accent1">
                <a:lumMod val="60000"/>
              </a:schemeClr>
            </a:solidFill>
            <a:ln>
              <a:noFill/>
            </a:ln>
            <a:effectLst/>
          </c:spPr>
          <c:invertIfNegative val="0"/>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Chart'!$H$4:$H$11</c:f>
              <c:numCache>
                <c:formatCode>General</c:formatCode>
                <c:ptCount val="7"/>
                <c:pt idx="0">
                  <c:v>2.241153376627143</c:v>
                </c:pt>
                <c:pt idx="1">
                  <c:v>2.6366510313260512</c:v>
                </c:pt>
                <c:pt idx="2">
                  <c:v>1.0546604125304204</c:v>
                </c:pt>
                <c:pt idx="3">
                  <c:v>1.3183255156630254</c:v>
                </c:pt>
                <c:pt idx="4">
                  <c:v>0.92282786096411795</c:v>
                </c:pt>
                <c:pt idx="5">
                  <c:v>2.6366510313260512</c:v>
                </c:pt>
                <c:pt idx="6">
                  <c:v>2.1093208250608408</c:v>
                </c:pt>
              </c:numCache>
            </c:numRef>
          </c:val>
          <c:extLst>
            <c:ext xmlns:c16="http://schemas.microsoft.com/office/drawing/2014/chart" uri="{C3380CC4-5D6E-409C-BE32-E72D297353CC}">
              <c16:uniqueId val="{00000006-E19B-4E65-97E8-2A5C683003C3}"/>
            </c:ext>
          </c:extLst>
        </c:ser>
        <c:ser>
          <c:idx val="7"/>
          <c:order val="7"/>
          <c:tx>
            <c:strRef>
              <c:f>'Crime Rates Pivot Chart'!$I$3</c:f>
              <c:strCache>
                <c:ptCount val="1"/>
                <c:pt idx="0">
                  <c:v>- Southport</c:v>
                </c:pt>
              </c:strCache>
            </c:strRef>
          </c:tx>
          <c:spPr>
            <a:solidFill>
              <a:schemeClr val="accent2">
                <a:lumMod val="60000"/>
              </a:schemeClr>
            </a:solidFill>
            <a:ln>
              <a:noFill/>
            </a:ln>
            <a:effectLst/>
          </c:spPr>
          <c:invertIfNegative val="0"/>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Chart'!$I$4:$I$11</c:f>
              <c:numCache>
                <c:formatCode>General</c:formatCode>
                <c:ptCount val="7"/>
                <c:pt idx="0">
                  <c:v>0</c:v>
                </c:pt>
                <c:pt idx="1">
                  <c:v>0.24599882904557377</c:v>
                </c:pt>
                <c:pt idx="2">
                  <c:v>0.73799648713672139</c:v>
                </c:pt>
                <c:pt idx="3">
                  <c:v>1.7219918033190165</c:v>
                </c:pt>
                <c:pt idx="4">
                  <c:v>0.98399531618229508</c:v>
                </c:pt>
                <c:pt idx="5">
                  <c:v>1.7219918033190165</c:v>
                </c:pt>
                <c:pt idx="6">
                  <c:v>0.49199765809114754</c:v>
                </c:pt>
              </c:numCache>
            </c:numRef>
          </c:val>
          <c:extLst>
            <c:ext xmlns:c16="http://schemas.microsoft.com/office/drawing/2014/chart" uri="{C3380CC4-5D6E-409C-BE32-E72D297353CC}">
              <c16:uniqueId val="{00000007-E19B-4E65-97E8-2A5C683003C3}"/>
            </c:ext>
          </c:extLst>
        </c:ser>
        <c:ser>
          <c:idx val="8"/>
          <c:order val="8"/>
          <c:tx>
            <c:strRef>
              <c:f>'Crime Rates Pivot Chart'!$J$3</c:f>
              <c:strCache>
                <c:ptCount val="1"/>
                <c:pt idx="0">
                  <c:v>- Toowoomba</c:v>
                </c:pt>
              </c:strCache>
            </c:strRef>
          </c:tx>
          <c:spPr>
            <a:solidFill>
              <a:schemeClr val="accent3">
                <a:lumMod val="60000"/>
              </a:schemeClr>
            </a:solidFill>
            <a:ln>
              <a:noFill/>
            </a:ln>
            <a:effectLst/>
          </c:spPr>
          <c:invertIfNegative val="0"/>
          <c:cat>
            <c:strRef>
              <c:f>'Crime Rates Pivot Chart'!$A$4:$A$11</c:f>
              <c:strCache>
                <c:ptCount val="7"/>
                <c:pt idx="0">
                  <c:v>2016-2017</c:v>
                </c:pt>
                <c:pt idx="1">
                  <c:v>2017-2018</c:v>
                </c:pt>
                <c:pt idx="2">
                  <c:v>2018-2019</c:v>
                </c:pt>
                <c:pt idx="3">
                  <c:v>2019-2020</c:v>
                </c:pt>
                <c:pt idx="4">
                  <c:v>2020-2021</c:v>
                </c:pt>
                <c:pt idx="5">
                  <c:v>2021-2022</c:v>
                </c:pt>
                <c:pt idx="6">
                  <c:v>2022-2023</c:v>
                </c:pt>
              </c:strCache>
            </c:strRef>
          </c:cat>
          <c:val>
            <c:numRef>
              <c:f>'Crime Rates Pivot Chart'!$J$4:$J$11</c:f>
              <c:numCache>
                <c:formatCode>General</c:formatCode>
                <c:ptCount val="7"/>
                <c:pt idx="0">
                  <c:v>0.39033834527768668</c:v>
                </c:pt>
                <c:pt idx="1">
                  <c:v>0.58550751791653</c:v>
                </c:pt>
                <c:pt idx="2">
                  <c:v>0.48792293159710837</c:v>
                </c:pt>
                <c:pt idx="3">
                  <c:v>0.19516917263884334</c:v>
                </c:pt>
                <c:pt idx="4">
                  <c:v>0.48792293159710831</c:v>
                </c:pt>
                <c:pt idx="5">
                  <c:v>0.39033834527768668</c:v>
                </c:pt>
                <c:pt idx="6">
                  <c:v>0.87826127687479494</c:v>
                </c:pt>
              </c:numCache>
            </c:numRef>
          </c:val>
          <c:extLst>
            <c:ext xmlns:c16="http://schemas.microsoft.com/office/drawing/2014/chart" uri="{C3380CC4-5D6E-409C-BE32-E72D297353CC}">
              <c16:uniqueId val="{0000000E-E19B-4E65-97E8-2A5C683003C3}"/>
            </c:ext>
          </c:extLst>
        </c:ser>
        <c:dLbls>
          <c:showLegendKey val="0"/>
          <c:showVal val="0"/>
          <c:showCatName val="0"/>
          <c:showSerName val="0"/>
          <c:showPercent val="0"/>
          <c:showBubbleSize val="0"/>
        </c:dLbls>
        <c:gapWidth val="150"/>
        <c:axId val="141815536"/>
        <c:axId val="141802096"/>
      </c:barChart>
      <c:catAx>
        <c:axId val="14181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802096"/>
        <c:crosses val="autoZero"/>
        <c:auto val="1"/>
        <c:lblAlgn val="ctr"/>
        <c:lblOffset val="100"/>
        <c:noMultiLvlLbl val="0"/>
      </c:catAx>
      <c:valAx>
        <c:axId val="14180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815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AU"/>
              <a:t>Total Charge Forecast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1"/>
          <c:order val="1"/>
          <c:tx>
            <c:strRef>
              <c:f>'Raw Data Totals With Totals'!$V$81</c:f>
              <c:strCache>
                <c:ptCount val="1"/>
                <c:pt idx="0">
                  <c:v>Brisbane</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'Raw Data Totals With Totals'!$U$82:$U$92</c:f>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cat>
          <c:val>
            <c:numRef>
              <c:f>'Raw Data Totals With Totals'!$V$82:$V$92</c:f>
              <c:numCache>
                <c:formatCode>General</c:formatCode>
                <c:ptCount val="11"/>
                <c:pt idx="0">
                  <c:v>3949</c:v>
                </c:pt>
                <c:pt idx="1">
                  <c:v>2982</c:v>
                </c:pt>
                <c:pt idx="2">
                  <c:v>4009</c:v>
                </c:pt>
                <c:pt idx="3">
                  <c:v>3451</c:v>
                </c:pt>
                <c:pt idx="4">
                  <c:v>3589</c:v>
                </c:pt>
                <c:pt idx="5">
                  <c:v>3816</c:v>
                </c:pt>
                <c:pt idx="6">
                  <c:v>5076</c:v>
                </c:pt>
                <c:pt idx="7">
                  <c:v>4500.1428571428987</c:v>
                </c:pt>
                <c:pt idx="8">
                  <c:v>4925.2244897959172</c:v>
                </c:pt>
                <c:pt idx="9">
                  <c:v>5100.0466472302796</c:v>
                </c:pt>
                <c:pt idx="10">
                  <c:v>5537.3065389420372</c:v>
                </c:pt>
              </c:numCache>
            </c:numRef>
          </c:val>
          <c:smooth val="0"/>
          <c:extLst>
            <c:ext xmlns:c16="http://schemas.microsoft.com/office/drawing/2014/chart" uri="{C3380CC4-5D6E-409C-BE32-E72D297353CC}">
              <c16:uniqueId val="{00000001-3012-4DE8-9618-927A6ECACCF7}"/>
            </c:ext>
          </c:extLst>
        </c:ser>
        <c:ser>
          <c:idx val="2"/>
          <c:order val="2"/>
          <c:tx>
            <c:strRef>
              <c:f>'Raw Data Totals With Totals'!$W$81</c:f>
              <c:strCache>
                <c:ptCount val="1"/>
                <c:pt idx="0">
                  <c:v>Beenleigh</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f>'Raw Data Totals With Totals'!$U$82:$U$92</c:f>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cat>
          <c:val>
            <c:numRef>
              <c:f>'Raw Data Totals With Totals'!$W$82:$W$92</c:f>
              <c:numCache>
                <c:formatCode>General</c:formatCode>
                <c:ptCount val="11"/>
                <c:pt idx="0">
                  <c:v>430</c:v>
                </c:pt>
                <c:pt idx="1">
                  <c:v>552</c:v>
                </c:pt>
                <c:pt idx="2">
                  <c:v>443</c:v>
                </c:pt>
                <c:pt idx="3">
                  <c:v>406</c:v>
                </c:pt>
                <c:pt idx="4">
                  <c:v>637</c:v>
                </c:pt>
                <c:pt idx="5">
                  <c:v>628</c:v>
                </c:pt>
                <c:pt idx="6">
                  <c:v>545</c:v>
                </c:pt>
                <c:pt idx="7">
                  <c:v>518.30776237579084</c:v>
                </c:pt>
                <c:pt idx="8">
                  <c:v>530.94210365926403</c:v>
                </c:pt>
                <c:pt idx="9">
                  <c:v>535.82310887508345</c:v>
                </c:pt>
                <c:pt idx="10">
                  <c:v>539.83669333110186</c:v>
                </c:pt>
              </c:numCache>
            </c:numRef>
          </c:val>
          <c:smooth val="0"/>
          <c:extLst>
            <c:ext xmlns:c16="http://schemas.microsoft.com/office/drawing/2014/chart" uri="{C3380CC4-5D6E-409C-BE32-E72D297353CC}">
              <c16:uniqueId val="{00000002-3012-4DE8-9618-927A6ECACCF7}"/>
            </c:ext>
          </c:extLst>
        </c:ser>
        <c:ser>
          <c:idx val="3"/>
          <c:order val="3"/>
          <c:tx>
            <c:strRef>
              <c:f>'Raw Data Totals With Totals'!$X$81</c:f>
              <c:strCache>
                <c:ptCount val="1"/>
                <c:pt idx="0">
                  <c:v>Cairns</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f>'Raw Data Totals With Totals'!$U$82:$U$92</c:f>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cat>
          <c:val>
            <c:numRef>
              <c:f>'Raw Data Totals With Totals'!$X$82:$X$92</c:f>
              <c:numCache>
                <c:formatCode>General</c:formatCode>
                <c:ptCount val="11"/>
                <c:pt idx="0">
                  <c:v>548</c:v>
                </c:pt>
                <c:pt idx="1">
                  <c:v>515</c:v>
                </c:pt>
                <c:pt idx="2">
                  <c:v>514</c:v>
                </c:pt>
                <c:pt idx="3">
                  <c:v>423</c:v>
                </c:pt>
                <c:pt idx="4">
                  <c:v>468</c:v>
                </c:pt>
                <c:pt idx="5">
                  <c:v>532</c:v>
                </c:pt>
                <c:pt idx="6">
                  <c:v>579</c:v>
                </c:pt>
                <c:pt idx="7">
                  <c:v>511.09768631490658</c:v>
                </c:pt>
                <c:pt idx="8">
                  <c:v>505.63641075571991</c:v>
                </c:pt>
                <c:pt idx="9">
                  <c:v>505.9236051998065</c:v>
                </c:pt>
                <c:pt idx="10">
                  <c:v>502.62899794884953</c:v>
                </c:pt>
              </c:numCache>
            </c:numRef>
          </c:val>
          <c:smooth val="0"/>
          <c:extLst>
            <c:ext xmlns:c16="http://schemas.microsoft.com/office/drawing/2014/chart" uri="{C3380CC4-5D6E-409C-BE32-E72D297353CC}">
              <c16:uniqueId val="{00000003-3012-4DE8-9618-927A6ECACCF7}"/>
            </c:ext>
          </c:extLst>
        </c:ser>
        <c:ser>
          <c:idx val="4"/>
          <c:order val="4"/>
          <c:tx>
            <c:strRef>
              <c:f>'Raw Data Totals With Totals'!$Y$81</c:f>
              <c:strCache>
                <c:ptCount val="1"/>
                <c:pt idx="0">
                  <c:v>Ipswich</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f>'Raw Data Totals With Totals'!$U$82:$U$92</c:f>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cat>
          <c:val>
            <c:numRef>
              <c:f>'Raw Data Totals With Totals'!$Y$82:$Y$92</c:f>
              <c:numCache>
                <c:formatCode>General</c:formatCode>
                <c:ptCount val="11"/>
                <c:pt idx="0">
                  <c:v>589</c:v>
                </c:pt>
                <c:pt idx="1">
                  <c:v>684</c:v>
                </c:pt>
                <c:pt idx="2">
                  <c:v>522</c:v>
                </c:pt>
                <c:pt idx="3">
                  <c:v>626</c:v>
                </c:pt>
                <c:pt idx="4">
                  <c:v>823</c:v>
                </c:pt>
                <c:pt idx="5">
                  <c:v>595</c:v>
                </c:pt>
                <c:pt idx="6">
                  <c:v>598</c:v>
                </c:pt>
                <c:pt idx="7">
                  <c:v>634.00346027995874</c:v>
                </c:pt>
                <c:pt idx="8">
                  <c:v>640.56220734027136</c:v>
                </c:pt>
                <c:pt idx="9">
                  <c:v>633.12406914246026</c:v>
                </c:pt>
                <c:pt idx="10">
                  <c:v>650.5724621859423</c:v>
                </c:pt>
              </c:numCache>
            </c:numRef>
          </c:val>
          <c:smooth val="0"/>
          <c:extLst>
            <c:ext xmlns:c16="http://schemas.microsoft.com/office/drawing/2014/chart" uri="{C3380CC4-5D6E-409C-BE32-E72D297353CC}">
              <c16:uniqueId val="{00000004-3012-4DE8-9618-927A6ECACCF7}"/>
            </c:ext>
          </c:extLst>
        </c:ser>
        <c:ser>
          <c:idx val="5"/>
          <c:order val="5"/>
          <c:tx>
            <c:strRef>
              <c:f>'Raw Data Totals With Totals'!$Z$81</c:f>
              <c:strCache>
                <c:ptCount val="1"/>
                <c:pt idx="0">
                  <c:v>Maroochy</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f>'Raw Data Totals With Totals'!$U$82:$U$92</c:f>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cat>
          <c:val>
            <c:numRef>
              <c:f>'Raw Data Totals With Totals'!$Z$82:$Z$92</c:f>
              <c:numCache>
                <c:formatCode>General</c:formatCode>
                <c:ptCount val="11"/>
                <c:pt idx="0">
                  <c:v>445</c:v>
                </c:pt>
                <c:pt idx="1">
                  <c:v>718</c:v>
                </c:pt>
                <c:pt idx="2">
                  <c:v>351</c:v>
                </c:pt>
                <c:pt idx="3">
                  <c:v>415</c:v>
                </c:pt>
                <c:pt idx="4">
                  <c:v>508</c:v>
                </c:pt>
                <c:pt idx="5">
                  <c:v>546</c:v>
                </c:pt>
                <c:pt idx="6">
                  <c:v>493</c:v>
                </c:pt>
                <c:pt idx="7">
                  <c:v>496.65214127422882</c:v>
                </c:pt>
                <c:pt idx="8">
                  <c:v>504.09543915632537</c:v>
                </c:pt>
                <c:pt idx="9">
                  <c:v>473.06767484655779</c:v>
                </c:pt>
                <c:pt idx="10">
                  <c:v>490.85960530927014</c:v>
                </c:pt>
              </c:numCache>
            </c:numRef>
          </c:val>
          <c:smooth val="0"/>
          <c:extLst>
            <c:ext xmlns:c16="http://schemas.microsoft.com/office/drawing/2014/chart" uri="{C3380CC4-5D6E-409C-BE32-E72D297353CC}">
              <c16:uniqueId val="{00000005-3012-4DE8-9618-927A6ECACCF7}"/>
            </c:ext>
          </c:extLst>
        </c:ser>
        <c:ser>
          <c:idx val="6"/>
          <c:order val="6"/>
          <c:tx>
            <c:strRef>
              <c:f>'Raw Data Totals With Totals'!$AA$81</c:f>
              <c:strCache>
                <c:ptCount val="1"/>
                <c:pt idx="0">
                  <c:v>Rockhampton</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f>'Raw Data Totals With Totals'!$U$82:$U$92</c:f>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cat>
          <c:val>
            <c:numRef>
              <c:f>'Raw Data Totals With Totals'!$AA$82:$AA$92</c:f>
              <c:numCache>
                <c:formatCode>General</c:formatCode>
                <c:ptCount val="11"/>
                <c:pt idx="0">
                  <c:v>332</c:v>
                </c:pt>
                <c:pt idx="1">
                  <c:v>448</c:v>
                </c:pt>
                <c:pt idx="2">
                  <c:v>788</c:v>
                </c:pt>
                <c:pt idx="3">
                  <c:v>704</c:v>
                </c:pt>
                <c:pt idx="4">
                  <c:v>547</c:v>
                </c:pt>
                <c:pt idx="5">
                  <c:v>501</c:v>
                </c:pt>
                <c:pt idx="6">
                  <c:v>480</c:v>
                </c:pt>
                <c:pt idx="7">
                  <c:v>542.7974278801986</c:v>
                </c:pt>
                <c:pt idx="8">
                  <c:v>572.83674461628516</c:v>
                </c:pt>
                <c:pt idx="9">
                  <c:v>591.32290330449325</c:v>
                </c:pt>
                <c:pt idx="10">
                  <c:v>562.66298375919473</c:v>
                </c:pt>
              </c:numCache>
            </c:numRef>
          </c:val>
          <c:smooth val="0"/>
          <c:extLst>
            <c:ext xmlns:c16="http://schemas.microsoft.com/office/drawing/2014/chart" uri="{C3380CC4-5D6E-409C-BE32-E72D297353CC}">
              <c16:uniqueId val="{00000006-3012-4DE8-9618-927A6ECACCF7}"/>
            </c:ext>
          </c:extLst>
        </c:ser>
        <c:ser>
          <c:idx val="7"/>
          <c:order val="7"/>
          <c:tx>
            <c:strRef>
              <c:f>'Raw Data Totals With Totals'!$AB$81</c:f>
              <c:strCache>
                <c:ptCount val="1"/>
                <c:pt idx="0">
                  <c:v>Southport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f>'Raw Data Totals With Totals'!$U$82:$U$92</c:f>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cat>
          <c:val>
            <c:numRef>
              <c:f>'Raw Data Totals With Totals'!$AB$82:$AB$92</c:f>
              <c:numCache>
                <c:formatCode>General</c:formatCode>
                <c:ptCount val="11"/>
                <c:pt idx="0">
                  <c:v>306</c:v>
                </c:pt>
                <c:pt idx="1">
                  <c:v>455</c:v>
                </c:pt>
                <c:pt idx="2">
                  <c:v>294</c:v>
                </c:pt>
                <c:pt idx="3">
                  <c:v>475</c:v>
                </c:pt>
                <c:pt idx="4">
                  <c:v>452</c:v>
                </c:pt>
                <c:pt idx="5">
                  <c:v>565</c:v>
                </c:pt>
                <c:pt idx="6">
                  <c:v>576</c:v>
                </c:pt>
                <c:pt idx="7">
                  <c:v>446.14986709753668</c:v>
                </c:pt>
                <c:pt idx="8">
                  <c:v>466.23655165953488</c:v>
                </c:pt>
                <c:pt idx="9">
                  <c:v>467.41496028755307</c:v>
                </c:pt>
                <c:pt idx="10">
                  <c:v>492.56169312220857</c:v>
                </c:pt>
              </c:numCache>
            </c:numRef>
          </c:val>
          <c:smooth val="0"/>
          <c:extLst>
            <c:ext xmlns:c16="http://schemas.microsoft.com/office/drawing/2014/chart" uri="{C3380CC4-5D6E-409C-BE32-E72D297353CC}">
              <c16:uniqueId val="{00000007-3012-4DE8-9618-927A6ECACCF7}"/>
            </c:ext>
          </c:extLst>
        </c:ser>
        <c:ser>
          <c:idx val="8"/>
          <c:order val="8"/>
          <c:tx>
            <c:strRef>
              <c:f>'Raw Data Totals With Totals'!$AC$81</c:f>
              <c:strCache>
                <c:ptCount val="1"/>
                <c:pt idx="0">
                  <c:v>Toowoomba</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numRef>
              <c:f>'Raw Data Totals With Totals'!$U$82:$U$92</c:f>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cat>
          <c:val>
            <c:numRef>
              <c:f>'Raw Data Totals With Totals'!$AC$82:$AC$92</c:f>
              <c:numCache>
                <c:formatCode>General</c:formatCode>
                <c:ptCount val="11"/>
                <c:pt idx="0">
                  <c:v>308</c:v>
                </c:pt>
                <c:pt idx="1">
                  <c:v>282</c:v>
                </c:pt>
                <c:pt idx="2">
                  <c:v>218</c:v>
                </c:pt>
                <c:pt idx="3">
                  <c:v>192</c:v>
                </c:pt>
                <c:pt idx="4">
                  <c:v>109</c:v>
                </c:pt>
                <c:pt idx="5">
                  <c:v>427</c:v>
                </c:pt>
                <c:pt idx="6">
                  <c:v>603</c:v>
                </c:pt>
                <c:pt idx="7">
                  <c:v>305.57718880662298</c:v>
                </c:pt>
                <c:pt idx="8">
                  <c:v>305.31075217581127</c:v>
                </c:pt>
                <c:pt idx="9">
                  <c:v>308.13724520551983</c:v>
                </c:pt>
                <c:pt idx="10">
                  <c:v>321.47815313151466</c:v>
                </c:pt>
              </c:numCache>
            </c:numRef>
          </c:val>
          <c:smooth val="0"/>
          <c:extLst>
            <c:ext xmlns:c16="http://schemas.microsoft.com/office/drawing/2014/chart" uri="{C3380CC4-5D6E-409C-BE32-E72D297353CC}">
              <c16:uniqueId val="{00000008-3012-4DE8-9618-927A6ECACCF7}"/>
            </c:ext>
          </c:extLst>
        </c:ser>
        <c:ser>
          <c:idx val="9"/>
          <c:order val="9"/>
          <c:tx>
            <c:strRef>
              <c:f>'Raw Data Totals With Totals'!$AD$81</c:f>
              <c:strCache>
                <c:ptCount val="1"/>
                <c:pt idx="0">
                  <c:v>Townsville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f>'Raw Data Totals With Totals'!$U$82:$U$92</c:f>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cat>
          <c:val>
            <c:numRef>
              <c:f>'Raw Data Totals With Totals'!$AD$82:$AD$92</c:f>
              <c:numCache>
                <c:formatCode>General</c:formatCode>
                <c:ptCount val="11"/>
                <c:pt idx="0">
                  <c:v>802</c:v>
                </c:pt>
                <c:pt idx="1">
                  <c:v>674</c:v>
                </c:pt>
                <c:pt idx="2">
                  <c:v>391</c:v>
                </c:pt>
                <c:pt idx="3">
                  <c:v>822</c:v>
                </c:pt>
                <c:pt idx="4">
                  <c:v>761</c:v>
                </c:pt>
                <c:pt idx="5">
                  <c:v>777</c:v>
                </c:pt>
                <c:pt idx="6">
                  <c:v>571</c:v>
                </c:pt>
                <c:pt idx="7">
                  <c:v>685.42761910271383</c:v>
                </c:pt>
                <c:pt idx="8">
                  <c:v>668.76107849566461</c:v>
                </c:pt>
                <c:pt idx="9">
                  <c:v>668.09683391264844</c:v>
                </c:pt>
                <c:pt idx="10">
                  <c:v>707.59545238822693</c:v>
                </c:pt>
              </c:numCache>
            </c:numRef>
          </c:val>
          <c:smooth val="0"/>
          <c:extLst>
            <c:ext xmlns:c16="http://schemas.microsoft.com/office/drawing/2014/chart" uri="{C3380CC4-5D6E-409C-BE32-E72D297353CC}">
              <c16:uniqueId val="{00000009-3012-4DE8-9618-927A6ECACCF7}"/>
            </c:ext>
          </c:extLst>
        </c:ser>
        <c:dLbls>
          <c:showLegendKey val="0"/>
          <c:showVal val="0"/>
          <c:showCatName val="0"/>
          <c:showSerName val="0"/>
          <c:showPercent val="0"/>
          <c:showBubbleSize val="0"/>
        </c:dLbls>
        <c:smooth val="0"/>
        <c:axId val="1217184175"/>
        <c:axId val="1217186095"/>
        <c:extLst>
          <c:ext xmlns:c15="http://schemas.microsoft.com/office/drawing/2012/chart" uri="{02D57815-91ED-43cb-92C2-25804820EDAC}">
            <c15:filteredLineSeries>
              <c15:ser>
                <c:idx val="0"/>
                <c:order val="0"/>
                <c:tx>
                  <c:strRef>
                    <c:extLst>
                      <c:ext uri="{02D57815-91ED-43cb-92C2-25804820EDAC}">
                        <c15:formulaRef>
                          <c15:sqref>'Raw Data Totals With Totals'!$U$81</c15:sqref>
                        </c15:formulaRef>
                      </c:ext>
                    </c:extLst>
                    <c:strCache>
                      <c:ptCount val="1"/>
                      <c:pt idx="0">
                        <c:v>Year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'Raw Data Totals With Totals'!$U$82:$U$92</c15:sqref>
                        </c15:formulaRef>
                      </c:ext>
                    </c:extLst>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cat>
                <c:val>
                  <c:numRef>
                    <c:extLst>
                      <c:ext uri="{02D57815-91ED-43cb-92C2-25804820EDAC}">
                        <c15:formulaRef>
                          <c15:sqref>'Raw Data Totals With Totals'!$U$82:$U$92</c15:sqref>
                        </c15:formulaRef>
                      </c:ext>
                    </c:extLst>
                    <c:numCache>
                      <c:formatCode>General</c:formatCode>
                      <c:ptCount val="11"/>
                      <c:pt idx="0">
                        <c:v>2017</c:v>
                      </c:pt>
                      <c:pt idx="1">
                        <c:v>2018</c:v>
                      </c:pt>
                      <c:pt idx="2">
                        <c:v>2019</c:v>
                      </c:pt>
                      <c:pt idx="3">
                        <c:v>2020</c:v>
                      </c:pt>
                      <c:pt idx="4">
                        <c:v>2021</c:v>
                      </c:pt>
                      <c:pt idx="5">
                        <c:v>2022</c:v>
                      </c:pt>
                      <c:pt idx="6">
                        <c:v>2023</c:v>
                      </c:pt>
                      <c:pt idx="7">
                        <c:v>2024</c:v>
                      </c:pt>
                      <c:pt idx="8">
                        <c:v>2025</c:v>
                      </c:pt>
                      <c:pt idx="9">
                        <c:v>2026</c:v>
                      </c:pt>
                      <c:pt idx="10">
                        <c:v>2027</c:v>
                      </c:pt>
                    </c:numCache>
                  </c:numRef>
                </c:val>
                <c:smooth val="0"/>
                <c:extLst>
                  <c:ext xmlns:c16="http://schemas.microsoft.com/office/drawing/2014/chart" uri="{C3380CC4-5D6E-409C-BE32-E72D297353CC}">
                    <c16:uniqueId val="{00000000-3012-4DE8-9618-927A6ECACCF7}"/>
                  </c:ext>
                </c:extLst>
              </c15:ser>
            </c15:filteredLineSeries>
          </c:ext>
        </c:extLst>
      </c:lineChart>
      <c:catAx>
        <c:axId val="1217184175"/>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17186095"/>
        <c:crosses val="autoZero"/>
        <c:auto val="1"/>
        <c:lblAlgn val="ctr"/>
        <c:lblOffset val="100"/>
        <c:noMultiLvlLbl val="0"/>
      </c:catAx>
      <c:valAx>
        <c:axId val="12171860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17184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macros.xlsm]Pivot Increase!PivotTable10</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Increase'!$B$1</c:f>
              <c:strCache>
                <c:ptCount val="1"/>
                <c:pt idx="0">
                  <c:v>Sum of Brisbane</c:v>
                </c:pt>
              </c:strCache>
            </c:strRef>
          </c:tx>
          <c:spPr>
            <a:ln w="28575" cap="rnd">
              <a:solidFill>
                <a:schemeClr val="accent1"/>
              </a:solidFill>
              <a:round/>
            </a:ln>
            <a:effectLst/>
          </c:spPr>
          <c:marker>
            <c:symbol val="none"/>
          </c:marker>
          <c:cat>
            <c:strRef>
              <c:f>'Pivot Increase'!$A$2:$A$9</c:f>
              <c:strCache>
                <c:ptCount val="7"/>
                <c:pt idx="0">
                  <c:v>2016-2017</c:v>
                </c:pt>
                <c:pt idx="1">
                  <c:v>2017-2018</c:v>
                </c:pt>
                <c:pt idx="2">
                  <c:v>2018-2019</c:v>
                </c:pt>
                <c:pt idx="3">
                  <c:v>2019-2020</c:v>
                </c:pt>
                <c:pt idx="4">
                  <c:v>2020-2021</c:v>
                </c:pt>
                <c:pt idx="5">
                  <c:v>2021-2022</c:v>
                </c:pt>
                <c:pt idx="6">
                  <c:v>2022-2023</c:v>
                </c:pt>
              </c:strCache>
            </c:strRef>
          </c:cat>
          <c:val>
            <c:numRef>
              <c:f>'Pivot Increase'!$B$2:$B$9</c:f>
              <c:numCache>
                <c:formatCode>General</c:formatCode>
                <c:ptCount val="7"/>
                <c:pt idx="1">
                  <c:v>-2.634002180350953</c:v>
                </c:pt>
                <c:pt idx="2">
                  <c:v>2.8034492655579193</c:v>
                </c:pt>
                <c:pt idx="3">
                  <c:v>-0.75975111844432486</c:v>
                </c:pt>
                <c:pt idx="4">
                  <c:v>3.1370215686540699</c:v>
                </c:pt>
                <c:pt idx="5">
                  <c:v>5.3225399043985187</c:v>
                </c:pt>
                <c:pt idx="6">
                  <c:v>1.2285234556915499</c:v>
                </c:pt>
              </c:numCache>
            </c:numRef>
          </c:val>
          <c:smooth val="0"/>
          <c:extLst>
            <c:ext xmlns:c16="http://schemas.microsoft.com/office/drawing/2014/chart" uri="{C3380CC4-5D6E-409C-BE32-E72D297353CC}">
              <c16:uniqueId val="{00000000-7BEF-4E49-B74F-ECC0A62D9767}"/>
            </c:ext>
          </c:extLst>
        </c:ser>
        <c:ser>
          <c:idx val="1"/>
          <c:order val="1"/>
          <c:tx>
            <c:strRef>
              <c:f>'Pivot Increase'!$C$1</c:f>
              <c:strCache>
                <c:ptCount val="1"/>
                <c:pt idx="0">
                  <c:v>Sum of Beenleigh</c:v>
                </c:pt>
              </c:strCache>
            </c:strRef>
          </c:tx>
          <c:spPr>
            <a:ln w="28575" cap="rnd">
              <a:solidFill>
                <a:schemeClr val="accent2"/>
              </a:solidFill>
              <a:round/>
            </a:ln>
            <a:effectLst/>
          </c:spPr>
          <c:marker>
            <c:symbol val="none"/>
          </c:marker>
          <c:cat>
            <c:strRef>
              <c:f>'Pivot Increase'!$A$2:$A$9</c:f>
              <c:strCache>
                <c:ptCount val="7"/>
                <c:pt idx="0">
                  <c:v>2016-2017</c:v>
                </c:pt>
                <c:pt idx="1">
                  <c:v>2017-2018</c:v>
                </c:pt>
                <c:pt idx="2">
                  <c:v>2018-2019</c:v>
                </c:pt>
                <c:pt idx="3">
                  <c:v>2019-2020</c:v>
                </c:pt>
                <c:pt idx="4">
                  <c:v>2020-2021</c:v>
                </c:pt>
                <c:pt idx="5">
                  <c:v>2021-2022</c:v>
                </c:pt>
                <c:pt idx="6">
                  <c:v>2022-2023</c:v>
                </c:pt>
              </c:strCache>
            </c:strRef>
          </c:cat>
          <c:val>
            <c:numRef>
              <c:f>'Pivot Increase'!$C$2:$C$9</c:f>
              <c:numCache>
                <c:formatCode>General</c:formatCode>
                <c:ptCount val="7"/>
                <c:pt idx="1">
                  <c:v>2.4774918607924112</c:v>
                </c:pt>
                <c:pt idx="2">
                  <c:v>5.1040590067802816</c:v>
                </c:pt>
                <c:pt idx="3">
                  <c:v>-0.5433829757199321</c:v>
                </c:pt>
                <c:pt idx="4">
                  <c:v>12.506560251563158</c:v>
                </c:pt>
                <c:pt idx="5">
                  <c:v>9.8814117825946575</c:v>
                </c:pt>
                <c:pt idx="6">
                  <c:v>2.3179012724311141</c:v>
                </c:pt>
              </c:numCache>
            </c:numRef>
          </c:val>
          <c:smooth val="0"/>
          <c:extLst>
            <c:ext xmlns:c16="http://schemas.microsoft.com/office/drawing/2014/chart" uri="{C3380CC4-5D6E-409C-BE32-E72D297353CC}">
              <c16:uniqueId val="{00000002-7BEF-4E49-B74F-ECC0A62D9767}"/>
            </c:ext>
          </c:extLst>
        </c:ser>
        <c:ser>
          <c:idx val="2"/>
          <c:order val="2"/>
          <c:tx>
            <c:strRef>
              <c:f>'Pivot Increase'!$D$1</c:f>
              <c:strCache>
                <c:ptCount val="1"/>
                <c:pt idx="0">
                  <c:v>Sum of Cairns</c:v>
                </c:pt>
              </c:strCache>
            </c:strRef>
          </c:tx>
          <c:spPr>
            <a:ln w="28575" cap="rnd">
              <a:solidFill>
                <a:schemeClr val="accent3"/>
              </a:solidFill>
              <a:round/>
            </a:ln>
            <a:effectLst/>
          </c:spPr>
          <c:marker>
            <c:symbol val="none"/>
          </c:marker>
          <c:cat>
            <c:strRef>
              <c:f>'Pivot Increase'!$A$2:$A$9</c:f>
              <c:strCache>
                <c:ptCount val="7"/>
                <c:pt idx="0">
                  <c:v>2016-2017</c:v>
                </c:pt>
                <c:pt idx="1">
                  <c:v>2017-2018</c:v>
                </c:pt>
                <c:pt idx="2">
                  <c:v>2018-2019</c:v>
                </c:pt>
                <c:pt idx="3">
                  <c:v>2019-2020</c:v>
                </c:pt>
                <c:pt idx="4">
                  <c:v>2020-2021</c:v>
                </c:pt>
                <c:pt idx="5">
                  <c:v>2021-2022</c:v>
                </c:pt>
                <c:pt idx="6">
                  <c:v>2022-2023</c:v>
                </c:pt>
              </c:strCache>
            </c:strRef>
          </c:cat>
          <c:val>
            <c:numRef>
              <c:f>'Pivot Increase'!$D$2:$D$9</c:f>
              <c:numCache>
                <c:formatCode>General</c:formatCode>
                <c:ptCount val="7"/>
                <c:pt idx="1">
                  <c:v>28.685339715963963</c:v>
                </c:pt>
                <c:pt idx="2">
                  <c:v>-1.8990446554711404</c:v>
                </c:pt>
                <c:pt idx="3">
                  <c:v>6.8583194905869327</c:v>
                </c:pt>
                <c:pt idx="4">
                  <c:v>7.1039475816424877</c:v>
                </c:pt>
                <c:pt idx="5">
                  <c:v>5.138334768935823</c:v>
                </c:pt>
                <c:pt idx="6">
                  <c:v>0.6848214794395453</c:v>
                </c:pt>
              </c:numCache>
            </c:numRef>
          </c:val>
          <c:smooth val="0"/>
          <c:extLst>
            <c:ext xmlns:c16="http://schemas.microsoft.com/office/drawing/2014/chart" uri="{C3380CC4-5D6E-409C-BE32-E72D297353CC}">
              <c16:uniqueId val="{00000003-7BEF-4E49-B74F-ECC0A62D9767}"/>
            </c:ext>
          </c:extLst>
        </c:ser>
        <c:ser>
          <c:idx val="3"/>
          <c:order val="3"/>
          <c:tx>
            <c:strRef>
              <c:f>'Pivot Increase'!$E$1</c:f>
              <c:strCache>
                <c:ptCount val="1"/>
                <c:pt idx="0">
                  <c:v>Sum of Ipswich</c:v>
                </c:pt>
              </c:strCache>
            </c:strRef>
          </c:tx>
          <c:spPr>
            <a:ln w="28575" cap="rnd">
              <a:solidFill>
                <a:schemeClr val="accent4"/>
              </a:solidFill>
              <a:round/>
            </a:ln>
            <a:effectLst/>
          </c:spPr>
          <c:marker>
            <c:symbol val="none"/>
          </c:marker>
          <c:cat>
            <c:strRef>
              <c:f>'Pivot Increase'!$A$2:$A$9</c:f>
              <c:strCache>
                <c:ptCount val="7"/>
                <c:pt idx="0">
                  <c:v>2016-2017</c:v>
                </c:pt>
                <c:pt idx="1">
                  <c:v>2017-2018</c:v>
                </c:pt>
                <c:pt idx="2">
                  <c:v>2018-2019</c:v>
                </c:pt>
                <c:pt idx="3">
                  <c:v>2019-2020</c:v>
                </c:pt>
                <c:pt idx="4">
                  <c:v>2020-2021</c:v>
                </c:pt>
                <c:pt idx="5">
                  <c:v>2021-2022</c:v>
                </c:pt>
                <c:pt idx="6">
                  <c:v>2022-2023</c:v>
                </c:pt>
              </c:strCache>
            </c:strRef>
          </c:cat>
          <c:val>
            <c:numRef>
              <c:f>'Pivot Increase'!$E$2:$E$9</c:f>
              <c:numCache>
                <c:formatCode>General</c:formatCode>
                <c:ptCount val="7"/>
                <c:pt idx="1">
                  <c:v>-1.3113479133097368</c:v>
                </c:pt>
                <c:pt idx="2">
                  <c:v>1.5593813544304176</c:v>
                </c:pt>
                <c:pt idx="3">
                  <c:v>7.2574725278036407</c:v>
                </c:pt>
                <c:pt idx="4">
                  <c:v>3.2373397376457347</c:v>
                </c:pt>
                <c:pt idx="5">
                  <c:v>4.3086339327465112E-2</c:v>
                </c:pt>
                <c:pt idx="6">
                  <c:v>3.3307667816083955</c:v>
                </c:pt>
              </c:numCache>
            </c:numRef>
          </c:val>
          <c:smooth val="0"/>
          <c:extLst>
            <c:ext xmlns:c16="http://schemas.microsoft.com/office/drawing/2014/chart" uri="{C3380CC4-5D6E-409C-BE32-E72D297353CC}">
              <c16:uniqueId val="{00000004-7BEF-4E49-B74F-ECC0A62D9767}"/>
            </c:ext>
          </c:extLst>
        </c:ser>
        <c:ser>
          <c:idx val="4"/>
          <c:order val="4"/>
          <c:tx>
            <c:strRef>
              <c:f>'Pivot Increase'!$F$1</c:f>
              <c:strCache>
                <c:ptCount val="1"/>
                <c:pt idx="0">
                  <c:v>Sum of Maroochy</c:v>
                </c:pt>
              </c:strCache>
            </c:strRef>
          </c:tx>
          <c:spPr>
            <a:ln w="28575" cap="rnd">
              <a:solidFill>
                <a:schemeClr val="accent5"/>
              </a:solidFill>
              <a:round/>
            </a:ln>
            <a:effectLst/>
          </c:spPr>
          <c:marker>
            <c:symbol val="none"/>
          </c:marker>
          <c:cat>
            <c:strRef>
              <c:f>'Pivot Increase'!$A$2:$A$9</c:f>
              <c:strCache>
                <c:ptCount val="7"/>
                <c:pt idx="0">
                  <c:v>2016-2017</c:v>
                </c:pt>
                <c:pt idx="1">
                  <c:v>2017-2018</c:v>
                </c:pt>
                <c:pt idx="2">
                  <c:v>2018-2019</c:v>
                </c:pt>
                <c:pt idx="3">
                  <c:v>2019-2020</c:v>
                </c:pt>
                <c:pt idx="4">
                  <c:v>2020-2021</c:v>
                </c:pt>
                <c:pt idx="5">
                  <c:v>2021-2022</c:v>
                </c:pt>
                <c:pt idx="6">
                  <c:v>2022-2023</c:v>
                </c:pt>
              </c:strCache>
            </c:strRef>
          </c:cat>
          <c:val>
            <c:numRef>
              <c:f>'Pivot Increase'!$F$2:$F$9</c:f>
              <c:numCache>
                <c:formatCode>General</c:formatCode>
                <c:ptCount val="7"/>
                <c:pt idx="1">
                  <c:v>3.6210565254945273</c:v>
                </c:pt>
                <c:pt idx="2">
                  <c:v>2.8688220587815585</c:v>
                </c:pt>
                <c:pt idx="3">
                  <c:v>0.8108391840312088</c:v>
                </c:pt>
                <c:pt idx="4">
                  <c:v>5.6190256981210212</c:v>
                </c:pt>
                <c:pt idx="5">
                  <c:v>3.5094283933569654</c:v>
                </c:pt>
                <c:pt idx="6">
                  <c:v>2.4560755245408825</c:v>
                </c:pt>
              </c:numCache>
            </c:numRef>
          </c:val>
          <c:smooth val="0"/>
          <c:extLst>
            <c:ext xmlns:c16="http://schemas.microsoft.com/office/drawing/2014/chart" uri="{C3380CC4-5D6E-409C-BE32-E72D297353CC}">
              <c16:uniqueId val="{00000005-7BEF-4E49-B74F-ECC0A62D9767}"/>
            </c:ext>
          </c:extLst>
        </c:ser>
        <c:ser>
          <c:idx val="5"/>
          <c:order val="5"/>
          <c:tx>
            <c:strRef>
              <c:f>'Pivot Increase'!$G$1</c:f>
              <c:strCache>
                <c:ptCount val="1"/>
                <c:pt idx="0">
                  <c:v>Sum of Rockhampton</c:v>
                </c:pt>
              </c:strCache>
            </c:strRef>
          </c:tx>
          <c:spPr>
            <a:ln w="28575" cap="rnd">
              <a:solidFill>
                <a:schemeClr val="accent6"/>
              </a:solidFill>
              <a:round/>
            </a:ln>
            <a:effectLst/>
          </c:spPr>
          <c:marker>
            <c:symbol val="none"/>
          </c:marker>
          <c:cat>
            <c:strRef>
              <c:f>'Pivot Increase'!$A$2:$A$9</c:f>
              <c:strCache>
                <c:ptCount val="7"/>
                <c:pt idx="0">
                  <c:v>2016-2017</c:v>
                </c:pt>
                <c:pt idx="1">
                  <c:v>2017-2018</c:v>
                </c:pt>
                <c:pt idx="2">
                  <c:v>2018-2019</c:v>
                </c:pt>
                <c:pt idx="3">
                  <c:v>2019-2020</c:v>
                </c:pt>
                <c:pt idx="4">
                  <c:v>2020-2021</c:v>
                </c:pt>
                <c:pt idx="5">
                  <c:v>2021-2022</c:v>
                </c:pt>
                <c:pt idx="6">
                  <c:v>2022-2023</c:v>
                </c:pt>
              </c:strCache>
            </c:strRef>
          </c:cat>
          <c:val>
            <c:numRef>
              <c:f>'Pivot Increase'!$G$2:$G$9</c:f>
              <c:numCache>
                <c:formatCode>General</c:formatCode>
                <c:ptCount val="7"/>
                <c:pt idx="1">
                  <c:v>8.7474881187702405</c:v>
                </c:pt>
                <c:pt idx="2">
                  <c:v>0.75821562763591721</c:v>
                </c:pt>
                <c:pt idx="3">
                  <c:v>1.0055552621275539</c:v>
                </c:pt>
                <c:pt idx="4">
                  <c:v>0.67429656742235788</c:v>
                </c:pt>
                <c:pt idx="5">
                  <c:v>5.4410642592838094</c:v>
                </c:pt>
                <c:pt idx="6">
                  <c:v>0.55290312040317802</c:v>
                </c:pt>
              </c:numCache>
            </c:numRef>
          </c:val>
          <c:smooth val="0"/>
          <c:extLst>
            <c:ext xmlns:c16="http://schemas.microsoft.com/office/drawing/2014/chart" uri="{C3380CC4-5D6E-409C-BE32-E72D297353CC}">
              <c16:uniqueId val="{00000006-7BEF-4E49-B74F-ECC0A62D9767}"/>
            </c:ext>
          </c:extLst>
        </c:ser>
        <c:ser>
          <c:idx val="6"/>
          <c:order val="6"/>
          <c:tx>
            <c:strRef>
              <c:f>'Pivot Increase'!$H$1</c:f>
              <c:strCache>
                <c:ptCount val="1"/>
                <c:pt idx="0">
                  <c:v>Sum of Southport</c:v>
                </c:pt>
              </c:strCache>
            </c:strRef>
          </c:tx>
          <c:spPr>
            <a:ln w="28575" cap="rnd">
              <a:solidFill>
                <a:schemeClr val="accent1">
                  <a:lumMod val="60000"/>
                </a:schemeClr>
              </a:solidFill>
              <a:round/>
            </a:ln>
            <a:effectLst/>
          </c:spPr>
          <c:marker>
            <c:symbol val="none"/>
          </c:marker>
          <c:cat>
            <c:strRef>
              <c:f>'Pivot Increase'!$A$2:$A$9</c:f>
              <c:strCache>
                <c:ptCount val="7"/>
                <c:pt idx="0">
                  <c:v>2016-2017</c:v>
                </c:pt>
                <c:pt idx="1">
                  <c:v>2017-2018</c:v>
                </c:pt>
                <c:pt idx="2">
                  <c:v>2018-2019</c:v>
                </c:pt>
                <c:pt idx="3">
                  <c:v>2019-2020</c:v>
                </c:pt>
                <c:pt idx="4">
                  <c:v>2020-2021</c:v>
                </c:pt>
                <c:pt idx="5">
                  <c:v>2021-2022</c:v>
                </c:pt>
                <c:pt idx="6">
                  <c:v>2022-2023</c:v>
                </c:pt>
              </c:strCache>
            </c:strRef>
          </c:cat>
          <c:val>
            <c:numRef>
              <c:f>'Pivot Increase'!$H$2:$H$9</c:f>
              <c:numCache>
                <c:formatCode>General</c:formatCode>
                <c:ptCount val="7"/>
                <c:pt idx="1">
                  <c:v>7.9050924405679321</c:v>
                </c:pt>
                <c:pt idx="2">
                  <c:v>-0.54350447814134961</c:v>
                </c:pt>
                <c:pt idx="3">
                  <c:v>26.706881230031957</c:v>
                </c:pt>
                <c:pt idx="4">
                  <c:v>2.347935450222562</c:v>
                </c:pt>
                <c:pt idx="5">
                  <c:v>4.0249258854735528</c:v>
                </c:pt>
                <c:pt idx="6">
                  <c:v>2.6813472282222284</c:v>
                </c:pt>
              </c:numCache>
            </c:numRef>
          </c:val>
          <c:smooth val="0"/>
          <c:extLst>
            <c:ext xmlns:c16="http://schemas.microsoft.com/office/drawing/2014/chart" uri="{C3380CC4-5D6E-409C-BE32-E72D297353CC}">
              <c16:uniqueId val="{00000007-7BEF-4E49-B74F-ECC0A62D9767}"/>
            </c:ext>
          </c:extLst>
        </c:ser>
        <c:ser>
          <c:idx val="7"/>
          <c:order val="7"/>
          <c:tx>
            <c:strRef>
              <c:f>'Pivot Increase'!$I$1</c:f>
              <c:strCache>
                <c:ptCount val="1"/>
                <c:pt idx="0">
                  <c:v>Sum of Toowoomba</c:v>
                </c:pt>
              </c:strCache>
            </c:strRef>
          </c:tx>
          <c:spPr>
            <a:ln w="28575" cap="rnd">
              <a:solidFill>
                <a:schemeClr val="accent2">
                  <a:lumMod val="60000"/>
                </a:schemeClr>
              </a:solidFill>
              <a:round/>
            </a:ln>
            <a:effectLst/>
          </c:spPr>
          <c:marker>
            <c:symbol val="none"/>
          </c:marker>
          <c:cat>
            <c:strRef>
              <c:f>'Pivot Increase'!$A$2:$A$9</c:f>
              <c:strCache>
                <c:ptCount val="7"/>
                <c:pt idx="0">
                  <c:v>2016-2017</c:v>
                </c:pt>
                <c:pt idx="1">
                  <c:v>2017-2018</c:v>
                </c:pt>
                <c:pt idx="2">
                  <c:v>2018-2019</c:v>
                </c:pt>
                <c:pt idx="3">
                  <c:v>2019-2020</c:v>
                </c:pt>
                <c:pt idx="4">
                  <c:v>2020-2021</c:v>
                </c:pt>
                <c:pt idx="5">
                  <c:v>2021-2022</c:v>
                </c:pt>
                <c:pt idx="6">
                  <c:v>2022-2023</c:v>
                </c:pt>
              </c:strCache>
            </c:strRef>
          </c:cat>
          <c:val>
            <c:numRef>
              <c:f>'Pivot Increase'!$I$2:$I$9</c:f>
              <c:numCache>
                <c:formatCode>General</c:formatCode>
                <c:ptCount val="7"/>
                <c:pt idx="1">
                  <c:v>2.9784042478707304</c:v>
                </c:pt>
                <c:pt idx="2">
                  <c:v>0.99064564564564583</c:v>
                </c:pt>
                <c:pt idx="3">
                  <c:v>-2.6446241930112899</c:v>
                </c:pt>
                <c:pt idx="4">
                  <c:v>3.5771909827760893</c:v>
                </c:pt>
                <c:pt idx="5">
                  <c:v>18.171848290598295</c:v>
                </c:pt>
                <c:pt idx="6">
                  <c:v>19.032823162125716</c:v>
                </c:pt>
              </c:numCache>
            </c:numRef>
          </c:val>
          <c:smooth val="0"/>
          <c:extLst>
            <c:ext xmlns:c16="http://schemas.microsoft.com/office/drawing/2014/chart" uri="{C3380CC4-5D6E-409C-BE32-E72D297353CC}">
              <c16:uniqueId val="{00000008-7BEF-4E49-B74F-ECC0A62D9767}"/>
            </c:ext>
          </c:extLst>
        </c:ser>
        <c:ser>
          <c:idx val="8"/>
          <c:order val="8"/>
          <c:tx>
            <c:strRef>
              <c:f>'Pivot Increase'!$J$1</c:f>
              <c:strCache>
                <c:ptCount val="1"/>
                <c:pt idx="0">
                  <c:v>Sum of Townsville</c:v>
                </c:pt>
              </c:strCache>
            </c:strRef>
          </c:tx>
          <c:spPr>
            <a:ln w="28575" cap="rnd">
              <a:solidFill>
                <a:schemeClr val="accent3">
                  <a:lumMod val="60000"/>
                </a:schemeClr>
              </a:solidFill>
              <a:round/>
            </a:ln>
            <a:effectLst/>
          </c:spPr>
          <c:marker>
            <c:symbol val="none"/>
          </c:marker>
          <c:cat>
            <c:strRef>
              <c:f>'Pivot Increase'!$A$2:$A$9</c:f>
              <c:strCache>
                <c:ptCount val="7"/>
                <c:pt idx="0">
                  <c:v>2016-2017</c:v>
                </c:pt>
                <c:pt idx="1">
                  <c:v>2017-2018</c:v>
                </c:pt>
                <c:pt idx="2">
                  <c:v>2018-2019</c:v>
                </c:pt>
                <c:pt idx="3">
                  <c:v>2019-2020</c:v>
                </c:pt>
                <c:pt idx="4">
                  <c:v>2020-2021</c:v>
                </c:pt>
                <c:pt idx="5">
                  <c:v>2021-2022</c:v>
                </c:pt>
                <c:pt idx="6">
                  <c:v>2022-2023</c:v>
                </c:pt>
              </c:strCache>
            </c:strRef>
          </c:cat>
          <c:val>
            <c:numRef>
              <c:f>'Pivot Increase'!$J$2:$J$9</c:f>
              <c:numCache>
                <c:formatCode>General</c:formatCode>
                <c:ptCount val="7"/>
                <c:pt idx="1">
                  <c:v>7.5719517447672784</c:v>
                </c:pt>
                <c:pt idx="2">
                  <c:v>-4.5185776167749605</c:v>
                </c:pt>
                <c:pt idx="3">
                  <c:v>16.178413229282796</c:v>
                </c:pt>
                <c:pt idx="4">
                  <c:v>1.2156200013395957</c:v>
                </c:pt>
                <c:pt idx="5">
                  <c:v>2.3173928193856925</c:v>
                </c:pt>
                <c:pt idx="6">
                  <c:v>3.8577216269767085</c:v>
                </c:pt>
              </c:numCache>
            </c:numRef>
          </c:val>
          <c:smooth val="0"/>
          <c:extLst>
            <c:ext xmlns:c16="http://schemas.microsoft.com/office/drawing/2014/chart" uri="{C3380CC4-5D6E-409C-BE32-E72D297353CC}">
              <c16:uniqueId val="{00000009-7BEF-4E49-B74F-ECC0A62D9767}"/>
            </c:ext>
          </c:extLst>
        </c:ser>
        <c:ser>
          <c:idx val="9"/>
          <c:order val="9"/>
          <c:tx>
            <c:strRef>
              <c:f>'Pivot Increase'!$K$1</c:f>
              <c:strCache>
                <c:ptCount val="1"/>
                <c:pt idx="0">
                  <c:v>Sum of Zero</c:v>
                </c:pt>
              </c:strCache>
            </c:strRef>
          </c:tx>
          <c:spPr>
            <a:ln w="28575" cap="rnd">
              <a:solidFill>
                <a:schemeClr val="accent4">
                  <a:lumMod val="60000"/>
                </a:schemeClr>
              </a:solidFill>
              <a:round/>
            </a:ln>
            <a:effectLst/>
          </c:spPr>
          <c:marker>
            <c:symbol val="none"/>
          </c:marker>
          <c:cat>
            <c:strRef>
              <c:f>'Pivot Increase'!$A$2:$A$9</c:f>
              <c:strCache>
                <c:ptCount val="7"/>
                <c:pt idx="0">
                  <c:v>2016-2017</c:v>
                </c:pt>
                <c:pt idx="1">
                  <c:v>2017-2018</c:v>
                </c:pt>
                <c:pt idx="2">
                  <c:v>2018-2019</c:v>
                </c:pt>
                <c:pt idx="3">
                  <c:v>2019-2020</c:v>
                </c:pt>
                <c:pt idx="4">
                  <c:v>2020-2021</c:v>
                </c:pt>
                <c:pt idx="5">
                  <c:v>2021-2022</c:v>
                </c:pt>
                <c:pt idx="6">
                  <c:v>2022-2023</c:v>
                </c:pt>
              </c:strCache>
            </c:strRef>
          </c:cat>
          <c:val>
            <c:numRef>
              <c:f>'Pivot Increase'!$K$2:$K$9</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A-7BEF-4E49-B74F-ECC0A62D9767}"/>
            </c:ext>
          </c:extLst>
        </c:ser>
        <c:dLbls>
          <c:showLegendKey val="0"/>
          <c:showVal val="0"/>
          <c:showCatName val="0"/>
          <c:showSerName val="0"/>
          <c:showPercent val="0"/>
          <c:showBubbleSize val="0"/>
        </c:dLbls>
        <c:smooth val="0"/>
        <c:axId val="252202720"/>
        <c:axId val="252220960"/>
      </c:lineChart>
      <c:catAx>
        <c:axId val="25220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20960"/>
        <c:crosses val="autoZero"/>
        <c:auto val="1"/>
        <c:lblAlgn val="ctr"/>
        <c:lblOffset val="100"/>
        <c:noMultiLvlLbl val="0"/>
      </c:catAx>
      <c:valAx>
        <c:axId val="252220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202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21</xdr:col>
      <xdr:colOff>15874</xdr:colOff>
      <xdr:row>11</xdr:row>
      <xdr:rowOff>3174</xdr:rowOff>
    </xdr:from>
    <xdr:to>
      <xdr:col>30</xdr:col>
      <xdr:colOff>419099</xdr:colOff>
      <xdr:row>33</xdr:row>
      <xdr:rowOff>139699</xdr:rowOff>
    </xdr:to>
    <xdr:graphicFrame macro="">
      <xdr:nvGraphicFramePr>
        <xdr:cNvPr id="2" name="Chart 1">
          <a:extLst>
            <a:ext uri="{FF2B5EF4-FFF2-40B4-BE49-F238E27FC236}">
              <a16:creationId xmlns:a16="http://schemas.microsoft.com/office/drawing/2014/main" id="{45ED35AD-E1CB-6AE1-BEEA-EFD628C4B8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279400</xdr:colOff>
      <xdr:row>0</xdr:row>
      <xdr:rowOff>184150</xdr:rowOff>
    </xdr:from>
    <xdr:to>
      <xdr:col>18</xdr:col>
      <xdr:colOff>2114550</xdr:colOff>
      <xdr:row>6</xdr:row>
      <xdr:rowOff>76200</xdr:rowOff>
    </xdr:to>
    <xdr:sp macro="" textlink="$F$64">
      <xdr:nvSpPr>
        <xdr:cNvPr id="12" name="Rectangle: Rounded Corners 11">
          <a:extLst>
            <a:ext uri="{FF2B5EF4-FFF2-40B4-BE49-F238E27FC236}">
              <a16:creationId xmlns:a16="http://schemas.microsoft.com/office/drawing/2014/main" id="{CFADC9F6-17C1-621D-70F9-414C63278AA2}"/>
            </a:ext>
          </a:extLst>
        </xdr:cNvPr>
        <xdr:cNvSpPr/>
      </xdr:nvSpPr>
      <xdr:spPr>
        <a:xfrm>
          <a:off x="12693650" y="184150"/>
          <a:ext cx="4273550" cy="100965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indent="0" algn="ctr"/>
          <a:fld id="{D69F5D3D-B464-42E8-AD17-CDCCD409E22B}" type="TxLink">
            <a:rPr lang="en-US" sz="2400" b="0" i="0" u="none" strike="noStrike">
              <a:solidFill>
                <a:srgbClr val="000000"/>
              </a:solidFill>
              <a:latin typeface="Calibri"/>
              <a:ea typeface="Calibri"/>
              <a:cs typeface="Calibri"/>
            </a:rPr>
            <a:t>Murder</a:t>
          </a:fld>
          <a:endParaRPr lang="en-AU" sz="4800" b="0" i="0" u="none" strike="noStrike">
            <a:solidFill>
              <a:srgbClr val="000000"/>
            </a:solidFill>
            <a:latin typeface="Calibri"/>
            <a:ea typeface="Calibri"/>
            <a:cs typeface="Calibri"/>
          </a:endParaRPr>
        </a:p>
      </xdr:txBody>
    </xdr:sp>
    <xdr:clientData/>
  </xdr:twoCellAnchor>
  <xdr:twoCellAnchor>
    <xdr:from>
      <xdr:col>0</xdr:col>
      <xdr:colOff>88900</xdr:colOff>
      <xdr:row>17</xdr:row>
      <xdr:rowOff>107950</xdr:rowOff>
    </xdr:from>
    <xdr:to>
      <xdr:col>10</xdr:col>
      <xdr:colOff>444500</xdr:colOff>
      <xdr:row>44</xdr:row>
      <xdr:rowOff>69850</xdr:rowOff>
    </xdr:to>
    <xdr:graphicFrame macro="">
      <xdr:nvGraphicFramePr>
        <xdr:cNvPr id="2" name="Chart 1">
          <a:extLst>
            <a:ext uri="{FF2B5EF4-FFF2-40B4-BE49-F238E27FC236}">
              <a16:creationId xmlns:a16="http://schemas.microsoft.com/office/drawing/2014/main" id="{13C1B3FB-E4E0-222E-4168-B90E5C6939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76200</xdr:colOff>
      <xdr:row>0</xdr:row>
      <xdr:rowOff>0</xdr:rowOff>
    </xdr:from>
    <xdr:to>
      <xdr:col>6</xdr:col>
      <xdr:colOff>76200</xdr:colOff>
      <xdr:row>14</xdr:row>
      <xdr:rowOff>222250</xdr:rowOff>
    </xdr:to>
    <mc:AlternateContent xmlns:mc="http://schemas.openxmlformats.org/markup-compatibility/2006">
      <mc:Choice xmlns:a14="http://schemas.microsoft.com/office/drawing/2010/main" Requires="a14">
        <xdr:graphicFrame macro="">
          <xdr:nvGraphicFramePr>
            <xdr:cNvPr id="3" name="Locale">
              <a:extLst>
                <a:ext uri="{FF2B5EF4-FFF2-40B4-BE49-F238E27FC236}">
                  <a16:creationId xmlns:a16="http://schemas.microsoft.com/office/drawing/2014/main" id="{E18A51CD-B58F-54EB-2146-208C003B1271}"/>
                </a:ext>
              </a:extLst>
            </xdr:cNvPr>
            <xdr:cNvGraphicFramePr/>
          </xdr:nvGraphicFramePr>
          <xdr:xfrm>
            <a:off x="0" y="0"/>
            <a:ext cx="0" cy="0"/>
          </xdr:xfrm>
          <a:graphic>
            <a:graphicData uri="http://schemas.microsoft.com/office/drawing/2010/slicer">
              <sle:slicer xmlns:sle="http://schemas.microsoft.com/office/drawing/2010/slicer" name="Locale"/>
            </a:graphicData>
          </a:graphic>
        </xdr:graphicFrame>
      </mc:Choice>
      <mc:Fallback>
        <xdr:sp macro="" textlink="">
          <xdr:nvSpPr>
            <xdr:cNvPr id="0" name=""/>
            <xdr:cNvSpPr>
              <a:spLocks noTextEdit="1"/>
            </xdr:cNvSpPr>
          </xdr:nvSpPr>
          <xdr:spPr>
            <a:xfrm>
              <a:off x="3854450" y="0"/>
              <a:ext cx="1828800" cy="30289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0</xdr:row>
      <xdr:rowOff>44449</xdr:rowOff>
    </xdr:from>
    <xdr:to>
      <xdr:col>1</xdr:col>
      <xdr:colOff>215900</xdr:colOff>
      <xdr:row>6</xdr:row>
      <xdr:rowOff>118236</xdr:rowOff>
    </xdr:to>
    <mc:AlternateContent xmlns:mc="http://schemas.openxmlformats.org/markup-compatibility/2006">
      <mc:Choice xmlns:a14="http://schemas.microsoft.com/office/drawing/2010/main" Requires="a14">
        <xdr:graphicFrame macro="">
          <xdr:nvGraphicFramePr>
            <xdr:cNvPr id="4" name="Category">
              <a:extLst>
                <a:ext uri="{FF2B5EF4-FFF2-40B4-BE49-F238E27FC236}">
                  <a16:creationId xmlns:a16="http://schemas.microsoft.com/office/drawing/2014/main" id="{D063A6C5-5706-5D2D-470B-656D766DBBD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4300" y="44449"/>
              <a:ext cx="1924050" cy="1191387"/>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215900</xdr:colOff>
      <xdr:row>0</xdr:row>
      <xdr:rowOff>38100</xdr:rowOff>
    </xdr:from>
    <xdr:to>
      <xdr:col>3</xdr:col>
      <xdr:colOff>88900</xdr:colOff>
      <xdr:row>12</xdr:row>
      <xdr:rowOff>225425</xdr:rowOff>
    </xdr:to>
    <mc:AlternateContent xmlns:mc="http://schemas.openxmlformats.org/markup-compatibility/2006">
      <mc:Choice xmlns:a14="http://schemas.microsoft.com/office/drawing/2010/main" Requires="a14">
        <xdr:graphicFrame macro="">
          <xdr:nvGraphicFramePr>
            <xdr:cNvPr id="5" name="Year">
              <a:extLst>
                <a:ext uri="{FF2B5EF4-FFF2-40B4-BE49-F238E27FC236}">
                  <a16:creationId xmlns:a16="http://schemas.microsoft.com/office/drawing/2014/main" id="{2A873E70-3A69-169E-82A8-FD08C129BC8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038350" y="38100"/>
              <a:ext cx="1828800" cy="252412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50800</xdr:colOff>
      <xdr:row>17</xdr:row>
      <xdr:rowOff>120650</xdr:rowOff>
    </xdr:from>
    <xdr:to>
      <xdr:col>18</xdr:col>
      <xdr:colOff>2076450</xdr:colOff>
      <xdr:row>44</xdr:row>
      <xdr:rowOff>120650</xdr:rowOff>
    </xdr:to>
    <xdr:graphicFrame macro="">
      <xdr:nvGraphicFramePr>
        <xdr:cNvPr id="9" name="Chart 8">
          <a:extLst>
            <a:ext uri="{FF2B5EF4-FFF2-40B4-BE49-F238E27FC236}">
              <a16:creationId xmlns:a16="http://schemas.microsoft.com/office/drawing/2014/main" id="{00CBA1EF-CE1A-4F5C-BA90-3CE51AB9C6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228600</xdr:colOff>
      <xdr:row>0</xdr:row>
      <xdr:rowOff>114300</xdr:rowOff>
    </xdr:from>
    <xdr:to>
      <xdr:col>11</xdr:col>
      <xdr:colOff>311150</xdr:colOff>
      <xdr:row>6</xdr:row>
      <xdr:rowOff>44450</xdr:rowOff>
    </xdr:to>
    <xdr:sp macro="" textlink="B70">
      <xdr:nvSpPr>
        <xdr:cNvPr id="10" name="Rectangle: Rounded Corners 9">
          <a:extLst>
            <a:ext uri="{FF2B5EF4-FFF2-40B4-BE49-F238E27FC236}">
              <a16:creationId xmlns:a16="http://schemas.microsoft.com/office/drawing/2014/main" id="{BBB1C805-9929-F520-27D5-1AE4F5596136}"/>
            </a:ext>
          </a:extLst>
        </xdr:cNvPr>
        <xdr:cNvSpPr/>
      </xdr:nvSpPr>
      <xdr:spPr>
        <a:xfrm>
          <a:off x="5835650" y="114300"/>
          <a:ext cx="3130550" cy="1035050"/>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79D360C-4D4C-4FAB-9D67-AF4251B86C69}" type="TxLink">
            <a:rPr lang="en-US" sz="2400" b="0" i="0" u="none" strike="noStrike">
              <a:solidFill>
                <a:srgbClr val="000000"/>
              </a:solidFill>
              <a:latin typeface="Calibri"/>
              <a:ea typeface="Calibri"/>
              <a:cs typeface="Calibri"/>
            </a:rPr>
            <a:pPr algn="ctr"/>
            <a:t>241</a:t>
          </a:fld>
          <a:endParaRPr lang="en-AU" sz="2400"/>
        </a:p>
      </xdr:txBody>
    </xdr:sp>
    <xdr:clientData/>
  </xdr:twoCellAnchor>
  <xdr:twoCellAnchor>
    <xdr:from>
      <xdr:col>6</xdr:col>
      <xdr:colOff>533400</xdr:colOff>
      <xdr:row>1</xdr:row>
      <xdr:rowOff>38100</xdr:rowOff>
    </xdr:from>
    <xdr:to>
      <xdr:col>10</xdr:col>
      <xdr:colOff>508000</xdr:colOff>
      <xdr:row>3</xdr:row>
      <xdr:rowOff>101600</xdr:rowOff>
    </xdr:to>
    <xdr:sp macro="" textlink="">
      <xdr:nvSpPr>
        <xdr:cNvPr id="11" name="TextBox 10">
          <a:extLst>
            <a:ext uri="{FF2B5EF4-FFF2-40B4-BE49-F238E27FC236}">
              <a16:creationId xmlns:a16="http://schemas.microsoft.com/office/drawing/2014/main" id="{3504C154-312A-1EE9-49F9-B898FBE04CD7}"/>
            </a:ext>
          </a:extLst>
        </xdr:cNvPr>
        <xdr:cNvSpPr txBox="1"/>
      </xdr:nvSpPr>
      <xdr:spPr>
        <a:xfrm>
          <a:off x="6140450" y="222250"/>
          <a:ext cx="241300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2400"/>
            <a:t>Total Charges:</a:t>
          </a:r>
        </a:p>
      </xdr:txBody>
    </xdr:sp>
    <xdr:clientData/>
  </xdr:twoCellAnchor>
  <xdr:twoCellAnchor>
    <xdr:from>
      <xdr:col>15</xdr:col>
      <xdr:colOff>101600</xdr:colOff>
      <xdr:row>1</xdr:row>
      <xdr:rowOff>63500</xdr:rowOff>
    </xdr:from>
    <xdr:to>
      <xdr:col>18</xdr:col>
      <xdr:colOff>1765300</xdr:colOff>
      <xdr:row>3</xdr:row>
      <xdr:rowOff>120650</xdr:rowOff>
    </xdr:to>
    <xdr:sp macro="" textlink="">
      <xdr:nvSpPr>
        <xdr:cNvPr id="16" name="TextBox 15">
          <a:extLst>
            <a:ext uri="{FF2B5EF4-FFF2-40B4-BE49-F238E27FC236}">
              <a16:creationId xmlns:a16="http://schemas.microsoft.com/office/drawing/2014/main" id="{B3884C92-A27A-C0F9-4D83-ACBD303F2C4F}"/>
            </a:ext>
          </a:extLst>
        </xdr:cNvPr>
        <xdr:cNvSpPr txBox="1"/>
      </xdr:nvSpPr>
      <xdr:spPr>
        <a:xfrm>
          <a:off x="13125450" y="254000"/>
          <a:ext cx="349250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2400"/>
            <a:t>Most</a:t>
          </a:r>
          <a:r>
            <a:rPr lang="en-AU" sz="2400" baseline="0"/>
            <a:t> Numerous Charge:</a:t>
          </a:r>
          <a:endParaRPr lang="en-AU" sz="24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15</xdr:row>
      <xdr:rowOff>165100</xdr:rowOff>
    </xdr:to>
    <xdr:graphicFrame macro="">
      <xdr:nvGraphicFramePr>
        <xdr:cNvPr id="2" name="Chart 1">
          <a:extLst>
            <a:ext uri="{FF2B5EF4-FFF2-40B4-BE49-F238E27FC236}">
              <a16:creationId xmlns:a16="http://schemas.microsoft.com/office/drawing/2014/main" id="{90D46C23-2AE1-30F4-CD02-8295D67171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536575</xdr:colOff>
      <xdr:row>21</xdr:row>
      <xdr:rowOff>12700</xdr:rowOff>
    </xdr:from>
    <xdr:to>
      <xdr:col>23</xdr:col>
      <xdr:colOff>231775</xdr:colOff>
      <xdr:row>35</xdr:row>
      <xdr:rowOff>177800</xdr:rowOff>
    </xdr:to>
    <xdr:graphicFrame macro="">
      <xdr:nvGraphicFramePr>
        <xdr:cNvPr id="2" name="Chart 1">
          <a:extLst>
            <a:ext uri="{FF2B5EF4-FFF2-40B4-BE49-F238E27FC236}">
              <a16:creationId xmlns:a16="http://schemas.microsoft.com/office/drawing/2014/main" id="{6A71B785-5BD4-6C9F-D46A-85A123DC7C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508000</xdr:colOff>
      <xdr:row>1</xdr:row>
      <xdr:rowOff>120650</xdr:rowOff>
    </xdr:from>
    <xdr:to>
      <xdr:col>19</xdr:col>
      <xdr:colOff>501650</xdr:colOff>
      <xdr:row>35</xdr:row>
      <xdr:rowOff>88900</xdr:rowOff>
    </xdr:to>
    <xdr:graphicFrame macro="">
      <xdr:nvGraphicFramePr>
        <xdr:cNvPr id="2" name="Chart 1">
          <a:extLst>
            <a:ext uri="{FF2B5EF4-FFF2-40B4-BE49-F238E27FC236}">
              <a16:creationId xmlns:a16="http://schemas.microsoft.com/office/drawing/2014/main" id="{11FD0DE8-3036-DE8A-DEE8-32D59DA04C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38</xdr:col>
      <xdr:colOff>174625</xdr:colOff>
      <xdr:row>19</xdr:row>
      <xdr:rowOff>107950</xdr:rowOff>
    </xdr:from>
    <xdr:to>
      <xdr:col>44</xdr:col>
      <xdr:colOff>428625</xdr:colOff>
      <xdr:row>34</xdr:row>
      <xdr:rowOff>57150</xdr:rowOff>
    </xdr:to>
    <xdr:graphicFrame macro="">
      <xdr:nvGraphicFramePr>
        <xdr:cNvPr id="4" name="Chart 3">
          <a:extLst>
            <a:ext uri="{FF2B5EF4-FFF2-40B4-BE49-F238E27FC236}">
              <a16:creationId xmlns:a16="http://schemas.microsoft.com/office/drawing/2014/main" id="{47D01F29-9837-110D-2F82-B3016A212A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44</xdr:col>
      <xdr:colOff>561975</xdr:colOff>
      <xdr:row>19</xdr:row>
      <xdr:rowOff>120650</xdr:rowOff>
    </xdr:from>
    <xdr:to>
      <xdr:col>52</xdr:col>
      <xdr:colOff>257175</xdr:colOff>
      <xdr:row>34</xdr:row>
      <xdr:rowOff>38100</xdr:rowOff>
    </xdr:to>
    <xdr:graphicFrame macro="">
      <xdr:nvGraphicFramePr>
        <xdr:cNvPr id="5" name="Chart 4">
          <a:extLst>
            <a:ext uri="{FF2B5EF4-FFF2-40B4-BE49-F238E27FC236}">
              <a16:creationId xmlns:a16="http://schemas.microsoft.com/office/drawing/2014/main" id="{FBCC3AB1-F2EB-FA87-BD42-AA632A02B2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17</xdr:row>
      <xdr:rowOff>114300</xdr:rowOff>
    </xdr:from>
    <xdr:to>
      <xdr:col>9</xdr:col>
      <xdr:colOff>438150</xdr:colOff>
      <xdr:row>42</xdr:row>
      <xdr:rowOff>82550</xdr:rowOff>
    </xdr:to>
    <xdr:graphicFrame macro="">
      <xdr:nvGraphicFramePr>
        <xdr:cNvPr id="2" name="Chart 1">
          <a:extLst>
            <a:ext uri="{FF2B5EF4-FFF2-40B4-BE49-F238E27FC236}">
              <a16:creationId xmlns:a16="http://schemas.microsoft.com/office/drawing/2014/main" id="{13ED40A6-892D-C98F-0759-34E6429735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412750</xdr:colOff>
      <xdr:row>13</xdr:row>
      <xdr:rowOff>0</xdr:rowOff>
    </xdr:from>
    <xdr:to>
      <xdr:col>28</xdr:col>
      <xdr:colOff>25400</xdr:colOff>
      <xdr:row>45</xdr:row>
      <xdr:rowOff>57150</xdr:rowOff>
    </xdr:to>
    <xdr:graphicFrame macro="">
      <xdr:nvGraphicFramePr>
        <xdr:cNvPr id="3" name="Chart 2">
          <a:extLst>
            <a:ext uri="{FF2B5EF4-FFF2-40B4-BE49-F238E27FC236}">
              <a16:creationId xmlns:a16="http://schemas.microsoft.com/office/drawing/2014/main" id="{152DE060-7E4D-4C62-A1C6-34306EC012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0.24919</cdr:x>
      <cdr:y>0.03932</cdr:y>
    </cdr:from>
    <cdr:to>
      <cdr:x>0.7165</cdr:x>
      <cdr:y>0.10202</cdr:y>
    </cdr:to>
    <cdr:sp macro="" textlink="">
      <cdr:nvSpPr>
        <cdr:cNvPr id="2" name="TextBox 1">
          <a:extLst xmlns:a="http://schemas.openxmlformats.org/drawingml/2006/main">
            <a:ext uri="{FF2B5EF4-FFF2-40B4-BE49-F238E27FC236}">
              <a16:creationId xmlns:a16="http://schemas.microsoft.com/office/drawing/2014/main" id="{F5A42AB0-0B40-3B24-C996-9DBDEC78DE89}"/>
            </a:ext>
          </a:extLst>
        </cdr:cNvPr>
        <cdr:cNvSpPr txBox="1"/>
      </cdr:nvSpPr>
      <cdr:spPr>
        <a:xfrm xmlns:a="http://schemas.openxmlformats.org/drawingml/2006/main">
          <a:off x="2444750" y="234950"/>
          <a:ext cx="4584700" cy="37465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AU" sz="1800">
              <a:solidFill>
                <a:schemeClr val="tx2">
                  <a:lumMod val="20000"/>
                  <a:lumOff val="80000"/>
                </a:schemeClr>
              </a:solidFill>
            </a:rPr>
            <a:t>Sexual Offence</a:t>
          </a:r>
          <a:r>
            <a:rPr lang="en-AU" sz="1800" baseline="0">
              <a:solidFill>
                <a:schemeClr val="tx2">
                  <a:lumMod val="20000"/>
                  <a:lumOff val="80000"/>
                </a:schemeClr>
              </a:solidFill>
            </a:rPr>
            <a:t> Rate by Locality</a:t>
          </a:r>
          <a:endParaRPr lang="en-AU" sz="1800">
            <a:solidFill>
              <a:schemeClr val="tx2">
                <a:lumMod val="20000"/>
                <a:lumOff val="80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30</xdr:col>
      <xdr:colOff>600074</xdr:colOff>
      <xdr:row>63</xdr:row>
      <xdr:rowOff>184150</xdr:rowOff>
    </xdr:from>
    <xdr:to>
      <xdr:col>43</xdr:col>
      <xdr:colOff>107950</xdr:colOff>
      <xdr:row>86</xdr:row>
      <xdr:rowOff>12700</xdr:rowOff>
    </xdr:to>
    <xdr:graphicFrame macro="">
      <xdr:nvGraphicFramePr>
        <xdr:cNvPr id="5" name="Chart 4">
          <a:extLst>
            <a:ext uri="{FF2B5EF4-FFF2-40B4-BE49-F238E27FC236}">
              <a16:creationId xmlns:a16="http://schemas.microsoft.com/office/drawing/2014/main" id="{B0728730-6C2B-46C6-1715-29F42115D6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1</xdr:row>
      <xdr:rowOff>0</xdr:rowOff>
    </xdr:from>
    <xdr:to>
      <xdr:col>14</xdr:col>
      <xdr:colOff>412750</xdr:colOff>
      <xdr:row>36</xdr:row>
      <xdr:rowOff>177800</xdr:rowOff>
    </xdr:to>
    <xdr:graphicFrame macro="">
      <xdr:nvGraphicFramePr>
        <xdr:cNvPr id="2" name="Chart 1">
          <a:extLst>
            <a:ext uri="{FF2B5EF4-FFF2-40B4-BE49-F238E27FC236}">
              <a16:creationId xmlns:a16="http://schemas.microsoft.com/office/drawing/2014/main" id="{18710BEA-4730-323B-6781-95817501B7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ignall" refreshedDate="45435.903352199071" createdVersion="8" refreshedVersion="8" minRefreshableVersion="3" recordCount="91" xr:uid="{FB6DE945-1457-43DC-A30B-F7135C3754F0}">
  <cacheSource type="worksheet">
    <worksheetSource ref="C1:P92" sheet="Raw Data Totals"/>
  </cacheSource>
  <cacheFields count="14">
    <cacheField name="Values" numFmtId="0">
      <sharedItems/>
    </cacheField>
    <cacheField name="Brisbane" numFmtId="0">
      <sharedItems containsString="0" containsBlank="1" containsNumber="1" containsInteger="1" minValue="2" maxValue="1833"/>
    </cacheField>
    <cacheField name="Beenleigh" numFmtId="0">
      <sharedItems containsString="0" containsBlank="1" containsNumber="1" containsInteger="1" minValue="1" maxValue="336"/>
    </cacheField>
    <cacheField name="Cairns" numFmtId="0">
      <sharedItems containsString="0" containsBlank="1" containsNumber="1" containsInteger="1" minValue="1" maxValue="258"/>
    </cacheField>
    <cacheField name="Ipswich" numFmtId="0">
      <sharedItems containsString="0" containsBlank="1" containsNumber="1" containsInteger="1" minValue="1" maxValue="331"/>
    </cacheField>
    <cacheField name="Maroochy" numFmtId="0">
      <sharedItems containsString="0" containsBlank="1" containsNumber="1" containsInteger="1" minValue="1" maxValue="298"/>
    </cacheField>
    <cacheField name="Rockhampton" numFmtId="0">
      <sharedItems containsString="0" containsBlank="1" containsNumber="1" containsInteger="1" minValue="1" maxValue="445"/>
    </cacheField>
    <cacheField name="Southport" numFmtId="0">
      <sharedItems containsString="0" containsBlank="1" containsNumber="1" containsInteger="1" minValue="1" maxValue="258"/>
    </cacheField>
    <cacheField name="Toowoomba" numFmtId="0">
      <sharedItems containsString="0" containsBlank="1" containsNumber="1" containsInteger="1" minValue="1" maxValue="229"/>
    </cacheField>
    <cacheField name="Townsville" numFmtId="0">
      <sharedItems containsString="0" containsBlank="1" containsNumber="1" containsInteger="1" minValue="1" maxValue="379"/>
    </cacheField>
    <cacheField name="Directorate" numFmtId="0">
      <sharedItems containsString="0" containsBlank="1" containsNumber="1" containsInteger="1" minValue="1" maxValue="376"/>
    </cacheField>
    <cacheField name="Total" numFmtId="0">
      <sharedItems containsSemiMixedTypes="0" containsString="0" containsNumber="1" containsInteger="1" minValue="2" maxValue="3737"/>
    </cacheField>
    <cacheField name="Year" numFmtId="0">
      <sharedItems count="7">
        <s v="2022-2023"/>
        <s v="2021-2022"/>
        <s v="2020-2021"/>
        <s v="2019-2020"/>
        <s v="2018-2019"/>
        <s v="2017-2018"/>
        <s v="2016-2017"/>
      </sharedItems>
    </cacheField>
    <cacheField name="Category" numFmtId="0">
      <sharedItems count="2">
        <s v="Homicide"/>
        <s v="Sexual Offenc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ignall" refreshedDate="45436.083600578706" createdVersion="8" refreshedVersion="8" minRefreshableVersion="3" recordCount="91" xr:uid="{FA482ED4-116F-4F26-98F1-7B05D1AA5A14}">
  <cacheSource type="worksheet">
    <worksheetSource ref="C1:O92" sheet="Raw Data Rates"/>
  </cacheSource>
  <cacheFields count="13">
    <cacheField name="Values" numFmtId="0">
      <sharedItems count="13">
        <s v="Murder"/>
        <s v="Attempted murder"/>
        <s v="Manslaughter"/>
        <s v="Dangerous op. causing death"/>
        <s v="Striking causing death"/>
        <s v="Other Chapter 28 (ss.307-314)"/>
        <s v="Rape"/>
        <s v="Sexual assault"/>
        <s v="Unlawful carnal knowledge"/>
        <s v="Unlawful sodomy"/>
        <s v="Indecent treatment"/>
        <s v="CEM (incl. Cth Code)"/>
        <s v="Other Chapter 22 (ss.211-229B)"/>
      </sharedItems>
    </cacheField>
    <cacheField name="Brisbane" numFmtId="2">
      <sharedItems containsSemiMixedTypes="0" containsString="0" containsNumber="1" minValue="0" maxValue="79.667318318963083" count="70">
        <n v="4.3897431261403552"/>
        <n v="4.3462803229112428"/>
        <n v="0.73886765489491135"/>
        <n v="0.65194204843668646"/>
        <n v="0.13038840968733728"/>
        <n v="0.52155363874934912"/>
        <n v="72.322104573243081"/>
        <n v="16.255088407688049"/>
        <n v="3.8247266841618939"/>
        <n v="0.21731401614556214"/>
        <n v="79.667318318963083"/>
        <n v="20.079815091849941"/>
        <n v="17.472046898103198"/>
        <n v="3.7812638809327814"/>
        <n v="2.4339169808302961"/>
        <n v="0.91271886781136102"/>
        <n v="0.69540485166579891"/>
        <n v="0.17385121291644973"/>
        <n v="0.78233045812402369"/>
        <n v="41.246200264427699"/>
        <n v="15.298906736647575"/>
        <n v="2.2166029646847338"/>
        <n v="56.197404575242373"/>
        <n v="23.426450940491598"/>
        <n v="18.037063340081659"/>
        <n v="3.6074126680163316"/>
        <n v="2.0427517517682841"/>
        <n v="0.30423962260378701"/>
        <n v="36.726068728600005"/>
        <n v="12.951915362275503"/>
        <n v="3.4335614550998819"/>
        <n v="61.108701340132079"/>
        <n v="17.34165848841586"/>
        <n v="16.64625363675006"/>
        <n v="1.6950493259353847"/>
        <n v="0.47809083552023673"/>
        <n v="8.6925606458224863E-2"/>
        <n v="33.770598109020355"/>
        <n v="9.1706514813427233"/>
        <n v="56.37125578815882"/>
        <n v="19.34094743695503"/>
        <n v="22.513732072680238"/>
        <n v="3.737801077703669"/>
        <n v="1.8689005388518345"/>
        <n v="1.0431072774986982"/>
        <n v="0"/>
        <n v="42.33277034515551"/>
        <n v="13.647320213941303"/>
        <n v="3.1727846357252072"/>
        <n v="0.60847924520757402"/>
        <n v="72.539418589388646"/>
        <n v="18.949782207893019"/>
        <n v="14.64696468821089"/>
        <n v="1.9558261453100594"/>
        <n v="3.3031730454125445"/>
        <n v="26.990400805278821"/>
        <n v="8.9968002684262736"/>
        <n v="1.6081237194771598"/>
        <n v="55.284685707431009"/>
        <n v="19.297484633725919"/>
        <n v="7.9102301876984624"/>
        <n v="3.346635848641657"/>
        <n v="1.1300328839569231"/>
        <n v="23.122211317887814"/>
        <n v="8.7794862522807104"/>
        <n v="5.0851479778061544"/>
        <n v="2.1296773582265089"/>
        <n v="70.670518050536813"/>
        <n v="41.506977083802369"/>
        <n v="11.083014823423669"/>
      </sharedItems>
    </cacheField>
    <cacheField name="Beenleigh" numFmtId="2">
      <sharedItems containsSemiMixedTypes="0" containsString="0" containsNumber="1" minValue="0" maxValue="3807.3654390934848"/>
    </cacheField>
    <cacheField name="Cairns" numFmtId="2">
      <sharedItems containsSemiMixedTypes="0" containsString="0" containsNumber="1" minValue="0" maxValue="97.224211089589474"/>
    </cacheField>
    <cacheField name="Ipswich" numFmtId="2">
      <sharedItems containsSemiMixedTypes="0" containsString="0" containsNumber="1" minValue="0" maxValue="83.307535682555496"/>
    </cacheField>
    <cacheField name="Maroochy" numFmtId="2">
      <sharedItems containsSemiMixedTypes="0" containsString="0" containsNumber="1" minValue="0" maxValue="446.30822225550401"/>
    </cacheField>
    <cacheField name="Rockhampton" numFmtId="2">
      <sharedItems containsSemiMixedTypes="0" containsString="0" containsNumber="1" minValue="0" maxValue="351.99291268202779"/>
    </cacheField>
    <cacheField name="Southport" numFmtId="2">
      <sharedItems containsSemiMixedTypes="0" containsString="0" containsNumber="1" minValue="0" maxValue="380.8061873625482"/>
    </cacheField>
    <cacheField name="Toowoomba" numFmtId="2">
      <sharedItems containsSemiMixedTypes="0" containsString="0" containsNumber="1" minValue="0" maxValue="134.08122160288536"/>
    </cacheField>
    <cacheField name="Townsville" numFmtId="2">
      <sharedItems containsSemiMixedTypes="0" containsString="0" containsNumber="1" minValue="0" maxValue="155.45656650177605"/>
    </cacheField>
    <cacheField name="Average" numFmtId="2">
      <sharedItems containsSemiMixedTypes="0" containsString="0" containsNumber="1" minValue="1.4487601076370808E-2" maxValue="564.5570880425347" count="91">
        <n v="2.953939708693289"/>
        <n v="1.5246264709700363"/>
        <n v="0.55815516831962309"/>
        <n v="6.4457873883902082"/>
        <n v="1.4487601076370808E-2"/>
        <n v="4.1085872680616298"/>
        <n v="247.82534196841391"/>
        <n v="89.56296706136169"/>
        <n v="16.660976732399504"/>
        <n v="12.059572223023086"/>
        <n v="513.41998980012659"/>
        <n v="66.062579077814775"/>
        <n v="74.406061032891614"/>
        <n v="5.3864609452442931"/>
        <n v="0.73384842330572597"/>
        <n v="0.51014017741889883"/>
        <n v="8.5142300971806826"/>
        <n v="1.9316801435161082E-2"/>
        <n v="1.512383757278184"/>
        <n v="243.15775013941254"/>
        <n v="67.225748363106291"/>
        <n v="33.804960355868644"/>
        <n v="6.7258377283044908"/>
        <n v="564.5570880425347"/>
        <n v="150.16514580389858"/>
        <n v="56.454510317163482"/>
        <n v="1.6488883297111294"/>
        <n v="0.54938675510374158"/>
        <n v="0.44395364009070598"/>
        <n v="4.7882305853928715"/>
        <n v="5.635849301848514E-2"/>
        <n v="1.3579102110807908"/>
        <n v="160.37347727739763"/>
        <n v="43.296262005157523"/>
        <n v="25.710541748348497"/>
        <n v="2.3286471837143461"/>
        <n v="501.07559364990112"/>
        <n v="112.78576742360742"/>
        <n v="256.05417542330048"/>
        <n v="2.8940834897322976"/>
        <n v="1.0117376481690954"/>
        <n v="0.14427134554843796"/>
        <n v="0.81046444838715626"/>
        <n v="2.6917564554605851"/>
        <n v="6.1769335604031222E-2"/>
        <n v="179.38945546776418"/>
        <n v="29.8986120744506"/>
        <n v="28.967520902023107"/>
        <n v="3.6336686889944656"/>
        <n v="417.15387388667875"/>
        <n v="104.65276027266685"/>
        <n v="50.533294974620389"/>
        <n v="1.4904902868203438"/>
        <n v="0.75871570875551453"/>
        <n v="0.20378917632183483"/>
        <n v="16.321828340228542"/>
        <n v="1.4230486370533602"/>
        <n v="8.6925606458224849E-2"/>
        <n v="166.25190700287621"/>
        <n v="47.044423762064717"/>
        <n v="16.886869348321724"/>
        <n v="4.2654628920634945"/>
        <n v="403.44303164512718"/>
        <n v="100.89648270944942"/>
        <n v="62.048930164627826"/>
        <n v="1.3269680320307915"/>
        <n v="2.5246838737481574"/>
        <n v="0.45625432184710019"/>
        <n v="5.1209483517105703"/>
        <n v="0.10563774267811578"/>
        <n v="1.3266582227127082"/>
        <n v="195.9441898885716"/>
        <n v="66.820830914763093"/>
        <n v="39.724193298076059"/>
        <n v="2.7117502957374051"/>
        <n v="476.65275797082478"/>
        <n v="192.3229644757233"/>
        <n v="47.588244111995948"/>
        <n v="1.6914256285639668"/>
        <n v="0.65055887743694596"/>
        <n v="0.46419309375701118"/>
        <n v="7.9556786698838948"/>
        <n v="8.9152626469774746E-2"/>
        <n v="0.14169218818971188"/>
        <n v="195.02794821887957"/>
        <n v="33.880721250205802"/>
        <n v="31.339304233524995"/>
        <n v="8.30412794994138"/>
        <n v="340.31205972469945"/>
        <n v="136.46240995319579"/>
        <n v="53.562244405938749"/>
      </sharedItems>
    </cacheField>
    <cacheField name="Year" numFmtId="0">
      <sharedItems count="7">
        <s v="2022-2023"/>
        <s v="2021-2022"/>
        <s v="2020-2021"/>
        <s v="2019-2020"/>
        <s v="2018-2019"/>
        <s v="2017-2018"/>
        <s v="2016-2017"/>
      </sharedItems>
    </cacheField>
    <cacheField name="Category" numFmtId="0">
      <sharedItems count="2">
        <s v="Homicide"/>
        <s v="Sexual Offences"/>
      </sharedItems>
    </cacheField>
  </cacheFields>
  <extLst>
    <ext xmlns:x14="http://schemas.microsoft.com/office/spreadsheetml/2009/9/main" uri="{725AE2AE-9491-48be-B2B4-4EB974FC3084}">
      <x14:pivotCacheDefinition pivotCacheId="151575808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ignall" refreshedDate="45436.164162384259" createdVersion="8" refreshedVersion="8" minRefreshableVersion="3" recordCount="91" xr:uid="{65BE9506-09A4-4F5B-B7EA-E170B855CA93}">
  <cacheSource type="worksheet">
    <worksheetSource ref="C1:O92" sheet="Raw Data Increase factor"/>
  </cacheSource>
  <cacheFields count="13">
    <cacheField name="Values" numFmtId="0">
      <sharedItems containsBlank="1"/>
    </cacheField>
    <cacheField name="Brisbane" numFmtId="0">
      <sharedItems containsString="0" containsBlank="1" containsNumber="1" minValue="-1" maxValue="2.75"/>
    </cacheField>
    <cacheField name="Beenleigh" numFmtId="0">
      <sharedItems containsString="0" containsBlank="1" containsNumber="1" minValue="-1" maxValue="8.473684210526315"/>
    </cacheField>
    <cacheField name="Cairns" numFmtId="0">
      <sharedItems containsString="0" containsBlank="1" containsNumber="1" minValue="-1" maxValue="29"/>
    </cacheField>
    <cacheField name="Ipswich" numFmtId="0">
      <sharedItems containsString="0" containsBlank="1" containsNumber="1" minValue="-1" maxValue="3.5"/>
    </cacheField>
    <cacheField name="Maroochy" numFmtId="0">
      <sharedItems containsString="0" containsBlank="1" containsNumber="1" minValue="-1" maxValue="5"/>
    </cacheField>
    <cacheField name="Rockhampton" numFmtId="0">
      <sharedItems containsString="0" containsBlank="1" containsNumber="1" minValue="-1" maxValue="6"/>
    </cacheField>
    <cacheField name="Southport" numFmtId="0">
      <sharedItems containsString="0" containsBlank="1" containsNumber="1" minValue="-1" maxValue="19"/>
    </cacheField>
    <cacheField name="Toowoomba" numFmtId="0">
      <sharedItems containsString="0" containsBlank="1" containsNumber="1" minValue="-1" maxValue="12.75"/>
    </cacheField>
    <cacheField name="Townsville" numFmtId="0">
      <sharedItems containsString="0" containsBlank="1" containsNumber="1" minValue="-1" maxValue="4"/>
    </cacheField>
    <cacheField name="Zero" numFmtId="0">
      <sharedItems containsSemiMixedTypes="0" containsString="0" containsNumber="1" containsInteger="1" minValue="0" maxValue="0"/>
    </cacheField>
    <cacheField name="Year" numFmtId="0">
      <sharedItems count="7">
        <s v="2022-2023"/>
        <s v="2021-2022"/>
        <s v="2020-2021"/>
        <s v="2019-2020"/>
        <s v="2018-2019"/>
        <s v="2017-2018"/>
        <s v="2016-2017"/>
      </sharedItems>
    </cacheField>
    <cacheField name="Category"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ignall" refreshedDate="45436.442212152775" createdVersion="8" refreshedVersion="8" minRefreshableVersion="3" recordCount="819" xr:uid="{EB269ADD-1C89-4289-B1A4-7A8BB09E416C}">
  <cacheSource type="worksheet">
    <worksheetSource ref="A1:G820" sheet="Unpivoted"/>
  </cacheSource>
  <cacheFields count="7">
    <cacheField name="Number" numFmtId="0">
      <sharedItems containsSemiMixedTypes="0" containsString="0" containsNumber="1" containsInteger="1" minValue="0" maxValue="1833"/>
    </cacheField>
    <cacheField name="Locale" numFmtId="0">
      <sharedItems count="9">
        <s v="Brisbane"/>
        <s v="Beenleigh"/>
        <s v="Cairns"/>
        <s v="Ipswich"/>
        <s v="Maroochy"/>
        <s v="Rockhampton"/>
        <s v="Southport"/>
        <s v="Toowoomba"/>
        <s v="Townsville"/>
      </sharedItems>
    </cacheField>
    <cacheField name="Value" numFmtId="0">
      <sharedItems count="13">
        <s v="Murder"/>
        <s v="Attempted murder"/>
        <s v="Manslaughter"/>
        <s v="Dangerous op. causing death"/>
        <s v="Striking causing death"/>
        <s v="Other Chapter 28 (ss.307-314)"/>
        <s v="Rape"/>
        <s v="Sexual assault"/>
        <s v="Unlawful carnal knowledge"/>
        <s v="Unlawful sodomy"/>
        <s v="Indecent treatment"/>
        <s v="CEM (incl. Cth Code)"/>
        <s v="Other Chapter 22 (ss.211-229B)"/>
      </sharedItems>
    </cacheField>
    <cacheField name="Year" numFmtId="0">
      <sharedItems count="7">
        <s v="2022-2023"/>
        <s v="2021-2022"/>
        <s v="2020-2021"/>
        <s v="2019-2020"/>
        <s v="2018-2019"/>
        <s v="2017-2018"/>
        <s v="2016-2017"/>
      </sharedItems>
    </cacheField>
    <cacheField name="Category" numFmtId="0">
      <sharedItems count="2">
        <s v="Homicide"/>
        <s v="Sexual Offences"/>
      </sharedItems>
    </cacheField>
    <cacheField name="% Increase from Previous Year" numFmtId="0">
      <sharedItems containsSemiMixedTypes="0" containsString="0" containsNumber="1" minValue="-100" maxValue="2900"/>
    </cacheField>
    <cacheField name="Year2" numFmtId="0">
      <sharedItems containsSemiMixedTypes="0" containsString="0" containsNumber="1" containsInteger="1" minValue="2017" maxValue="2023"/>
    </cacheField>
  </cacheFields>
  <extLst>
    <ext xmlns:x14="http://schemas.microsoft.com/office/spreadsheetml/2009/9/main" uri="{725AE2AE-9491-48be-B2B4-4EB974FC3084}">
      <x14:pivotCacheDefinition pivotCacheId="156684842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ignall" refreshedDate="45436.461614930558" backgroundQuery="1" createdVersion="8" refreshedVersion="8" minRefreshableVersion="3" recordCount="0" supportSubquery="1" supportAdvancedDrill="1" xr:uid="{3BEDC738-4342-4FC0-A78D-0DCD378558EB}">
  <cacheSource type="external" connectionId="2">
    <extLst>
      <ext xmlns:x14="http://schemas.microsoft.com/office/spreadsheetml/2009/9/main" uri="{F057638F-6D5F-4e77-A914-E7F072B9BCA8}">
        <x14:sourceConnection name="ThisWorkbookDataModel"/>
      </ext>
    </extLst>
  </cacheSource>
  <cacheFields count="2">
    <cacheField name="[Measures].[Sum of Number]" caption="Sum of Number" numFmtId="0" hierarchy="9" level="32767"/>
    <cacheField name="[Range].[Locale].[Locale]" caption="Locale" numFmtId="0" hierarchy="1" level="1">
      <sharedItems count="9">
        <s v="Beenleigh"/>
        <s v="Brisbane"/>
        <s v="Cairns"/>
        <s v="Ipswich"/>
        <s v="Maroochy"/>
        <s v="Rockhampton"/>
        <s v="Southport"/>
        <s v="Toowoomba"/>
        <s v="Townsville"/>
      </sharedItems>
    </cacheField>
  </cacheFields>
  <cacheHierarchies count="11">
    <cacheHierarchy uniqueName="[Range].[Number]" caption="Number" attribute="1" defaultMemberUniqueName="[Range].[Number].[All]" allUniqueName="[Range].[Number].[All]" dimensionUniqueName="[Range]" displayFolder="" count="0" memberValueDatatype="20" unbalanced="0"/>
    <cacheHierarchy uniqueName="[Range].[Locale]" caption="Locale" attribute="1" defaultMemberUniqueName="[Range].[Locale].[All]" allUniqueName="[Range].[Locale].[All]" dimensionUniqueName="[Range]" displayFolder="" count="2" memberValueDatatype="130" unbalanced="0">
      <fieldsUsage count="2">
        <fieldUsage x="-1"/>
        <fieldUsage x="1"/>
      </fieldsUsage>
    </cacheHierarchy>
    <cacheHierarchy uniqueName="[Range].[Value]" caption="Value" attribute="1" defaultMemberUniqueName="[Range].[Value].[All]" allUniqueName="[Range].[Value].[All]" dimensionUniqueName="[Range]" displayFolder="" count="0" memberValueDatatype="130" unbalanced="0"/>
    <cacheHierarchy uniqueName="[Range].[Year]" caption="Year" attribute="1" defaultMemberUniqueName="[Range].[Year].[All]" allUniqueName="[Range].[Year].[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 Increase from Previous Year]" caption="% Increase from Previous Year" attribute="1" defaultMemberUniqueName="[Range].[% Increase from Previous Year].[All]" allUniqueName="[Range].[% Increase from Previous Year].[All]" dimensionUniqueName="[Range]" displayFolder="" count="0" memberValueDatatype="5" unbalanced="0"/>
    <cacheHierarchy uniqueName="[Range].[Year2]" caption="Year2" attribute="1" time="1" defaultMemberUniqueName="[Range].[Year2].[All]" allUniqueName="[Range].[Year2].[All]" dimensionUniqueName="[Range]" displayFolder="" count="0" memberValueDatatype="7"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Number]" caption="Sum of Number" measure="1" displayFolder="" measureGroup="Range"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Value]" caption="Count of Value" measure="1" displayFolder="" measureGroup="Rang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pivotCacheId="14986960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
  <r>
    <s v="Murder"/>
    <n v="101"/>
    <n v="1"/>
    <n v="4"/>
    <n v="9"/>
    <n v="1"/>
    <n v="1"/>
    <m/>
    <n v="4"/>
    <n v="6"/>
    <n v="49"/>
    <n v="127"/>
    <x v="0"/>
    <x v="0"/>
  </r>
  <r>
    <s v="Attempted murder"/>
    <n v="100"/>
    <m/>
    <m/>
    <n v="10"/>
    <n v="1"/>
    <n v="5"/>
    <m/>
    <n v="1"/>
    <n v="2"/>
    <n v="22"/>
    <n v="119"/>
    <x v="0"/>
    <x v="0"/>
  </r>
  <r>
    <s v="Manslaughter"/>
    <n v="17"/>
    <m/>
    <n v="1"/>
    <m/>
    <m/>
    <n v="1"/>
    <n v="1"/>
    <m/>
    <n v="4"/>
    <n v="14"/>
    <n v="24"/>
    <x v="0"/>
    <x v="0"/>
  </r>
  <r>
    <s v="Dangerous op. causing death"/>
    <n v="15"/>
    <n v="3"/>
    <n v="3"/>
    <n v="3"/>
    <n v="7"/>
    <n v="9"/>
    <n v="1"/>
    <n v="2"/>
    <n v="3"/>
    <n v="3"/>
    <n v="46"/>
    <x v="0"/>
    <x v="0"/>
  </r>
  <r>
    <s v="Striking causing death"/>
    <n v="3"/>
    <m/>
    <m/>
    <m/>
    <m/>
    <m/>
    <m/>
    <m/>
    <m/>
    <n v="1"/>
    <n v="3"/>
    <x v="0"/>
    <x v="0"/>
  </r>
  <r>
    <s v="Other Chapter 28 (ss.307-314)"/>
    <n v="12"/>
    <n v="3"/>
    <n v="1"/>
    <n v="2"/>
    <m/>
    <m/>
    <m/>
    <n v="2"/>
    <n v="1"/>
    <n v="4"/>
    <n v="21"/>
    <x v="0"/>
    <x v="0"/>
  </r>
  <r>
    <s v="Rape"/>
    <n v="1664"/>
    <n v="124"/>
    <n v="94"/>
    <n v="178"/>
    <n v="120"/>
    <n v="103"/>
    <n v="153"/>
    <n v="229"/>
    <n v="126"/>
    <n v="366"/>
    <n v="2791"/>
    <x v="0"/>
    <x v="1"/>
  </r>
  <r>
    <s v="Sexual assault"/>
    <n v="374"/>
    <n v="53"/>
    <n v="74"/>
    <n v="37"/>
    <n v="17"/>
    <n v="25"/>
    <n v="53"/>
    <n v="25"/>
    <n v="34"/>
    <n v="107"/>
    <n v="692"/>
    <x v="0"/>
    <x v="1"/>
  </r>
  <r>
    <s v="Unlawful carnal knowledge"/>
    <n v="88"/>
    <n v="6"/>
    <n v="4"/>
    <n v="12"/>
    <n v="15"/>
    <n v="9"/>
    <n v="23"/>
    <n v="6"/>
    <n v="16"/>
    <n v="9"/>
    <n v="179"/>
    <x v="0"/>
    <x v="1"/>
  </r>
  <r>
    <s v="Unlawful sodomy"/>
    <n v="5"/>
    <n v="9"/>
    <m/>
    <m/>
    <n v="1"/>
    <m/>
    <n v="3"/>
    <m/>
    <n v="1"/>
    <n v="4"/>
    <n v="19"/>
    <x v="0"/>
    <x v="1"/>
  </r>
  <r>
    <s v="Indecent treatment"/>
    <n v="1833"/>
    <n v="288"/>
    <n v="205"/>
    <n v="258"/>
    <n v="258"/>
    <n v="187"/>
    <n v="258"/>
    <n v="204"/>
    <n v="246"/>
    <n v="376"/>
    <n v="3737"/>
    <x v="0"/>
    <x v="1"/>
  </r>
  <r>
    <s v="CEM (incl. Cth Code)"/>
    <n v="462"/>
    <n v="20"/>
    <n v="139"/>
    <n v="44"/>
    <n v="65"/>
    <n v="62"/>
    <n v="55"/>
    <n v="20"/>
    <n v="110"/>
    <n v="53"/>
    <n v="977"/>
    <x v="0"/>
    <x v="1"/>
  </r>
  <r>
    <s v="Other Chapter 22 (ss.211-229B)"/>
    <n v="402"/>
    <n v="38"/>
    <n v="54"/>
    <n v="45"/>
    <n v="8"/>
    <n v="78"/>
    <n v="29"/>
    <n v="110"/>
    <n v="22"/>
    <n v="147"/>
    <n v="786"/>
    <x v="0"/>
    <x v="1"/>
  </r>
  <r>
    <s v="Murder"/>
    <n v="87"/>
    <n v="2"/>
    <n v="3"/>
    <n v="7"/>
    <n v="4"/>
    <n v="5"/>
    <n v="5"/>
    <n v="1"/>
    <n v="3"/>
    <m/>
    <n v="117"/>
    <x v="1"/>
    <x v="0"/>
  </r>
  <r>
    <s v="Attempted murder"/>
    <n v="56"/>
    <m/>
    <m/>
    <n v="4"/>
    <m/>
    <n v="4"/>
    <m/>
    <m/>
    <m/>
    <m/>
    <n v="64"/>
    <x v="1"/>
    <x v="0"/>
  </r>
  <r>
    <s v="Manslaughter"/>
    <n v="21"/>
    <m/>
    <n v="3"/>
    <n v="1"/>
    <m/>
    <m/>
    <n v="1"/>
    <m/>
    <n v="2"/>
    <m/>
    <n v="28"/>
    <x v="1"/>
    <x v="0"/>
  </r>
  <r>
    <s v="Dangerous op. causing death"/>
    <n v="16"/>
    <n v="5"/>
    <n v="3"/>
    <n v="3"/>
    <n v="2"/>
    <n v="11"/>
    <n v="1"/>
    <n v="3"/>
    <n v="6"/>
    <m/>
    <n v="50"/>
    <x v="1"/>
    <x v="0"/>
  </r>
  <r>
    <s v="Striking causing death"/>
    <n v="4"/>
    <m/>
    <m/>
    <m/>
    <m/>
    <m/>
    <m/>
    <m/>
    <m/>
    <m/>
    <n v="4"/>
    <x v="1"/>
    <x v="0"/>
  </r>
  <r>
    <s v="Other Chapter 28 (ss.307-314)"/>
    <n v="18"/>
    <n v="1"/>
    <m/>
    <m/>
    <n v="1"/>
    <m/>
    <m/>
    <m/>
    <m/>
    <m/>
    <n v="20"/>
    <x v="1"/>
    <x v="0"/>
  </r>
  <r>
    <s v="Rape"/>
    <n v="949"/>
    <n v="137"/>
    <n v="133"/>
    <n v="173"/>
    <n v="92"/>
    <n v="109"/>
    <n v="119"/>
    <n v="71"/>
    <n v="146"/>
    <m/>
    <n v="1929"/>
    <x v="1"/>
    <x v="1"/>
  </r>
  <r>
    <s v="Sexual assault"/>
    <n v="352"/>
    <n v="34"/>
    <n v="34"/>
    <n v="48"/>
    <n v="19"/>
    <n v="32"/>
    <n v="64"/>
    <n v="22"/>
    <n v="45"/>
    <m/>
    <n v="650"/>
    <x v="1"/>
    <x v="1"/>
  </r>
  <r>
    <s v="Unlawful carnal knowledge"/>
    <n v="51"/>
    <n v="21"/>
    <n v="10"/>
    <n v="7"/>
    <n v="9"/>
    <n v="18"/>
    <n v="11"/>
    <n v="13"/>
    <n v="17"/>
    <m/>
    <n v="157"/>
    <x v="1"/>
    <x v="1"/>
  </r>
  <r>
    <s v="Unlawful sodomy"/>
    <n v="15"/>
    <n v="5"/>
    <n v="7"/>
    <m/>
    <m/>
    <m/>
    <m/>
    <n v="1"/>
    <m/>
    <m/>
    <n v="28"/>
    <x v="1"/>
    <x v="1"/>
  </r>
  <r>
    <s v="Indecent treatment"/>
    <n v="1293"/>
    <n v="336"/>
    <n v="205"/>
    <n v="265"/>
    <n v="239"/>
    <n v="199"/>
    <n v="234"/>
    <n v="121"/>
    <n v="346"/>
    <m/>
    <n v="3238"/>
    <x v="1"/>
    <x v="1"/>
  </r>
  <r>
    <s v="CEM (incl. Cth Code)"/>
    <n v="539"/>
    <n v="72"/>
    <n v="81"/>
    <n v="40"/>
    <n v="98"/>
    <n v="91"/>
    <n v="56"/>
    <n v="187"/>
    <n v="148"/>
    <m/>
    <n v="1312"/>
    <x v="1"/>
    <x v="1"/>
  </r>
  <r>
    <s v="Other Chapter 22 (ss.211-229B)"/>
    <n v="415"/>
    <n v="15"/>
    <n v="53"/>
    <n v="47"/>
    <n v="82"/>
    <n v="32"/>
    <n v="74"/>
    <n v="8"/>
    <n v="64"/>
    <m/>
    <n v="790"/>
    <x v="1"/>
    <x v="1"/>
  </r>
  <r>
    <s v="Murder"/>
    <n v="83"/>
    <m/>
    <n v="8"/>
    <n v="4"/>
    <m/>
    <n v="3"/>
    <n v="3"/>
    <m/>
    <n v="1"/>
    <m/>
    <n v="102"/>
    <x v="2"/>
    <x v="0"/>
  </r>
  <r>
    <s v="Attempted murder"/>
    <n v="47"/>
    <m/>
    <n v="1"/>
    <n v="2"/>
    <m/>
    <n v="1"/>
    <m/>
    <m/>
    <n v="3"/>
    <m/>
    <n v="54"/>
    <x v="2"/>
    <x v="0"/>
  </r>
  <r>
    <s v="Manslaughter"/>
    <n v="17"/>
    <m/>
    <n v="4"/>
    <n v="1"/>
    <n v="1"/>
    <m/>
    <m/>
    <m/>
    <m/>
    <m/>
    <n v="23"/>
    <x v="2"/>
    <x v="0"/>
  </r>
  <r>
    <s v="Dangerous op. causing death"/>
    <n v="18"/>
    <n v="2"/>
    <n v="4"/>
    <n v="2"/>
    <n v="6"/>
    <n v="3"/>
    <n v="1"/>
    <n v="4"/>
    <n v="6"/>
    <m/>
    <n v="46"/>
    <x v="2"/>
    <x v="0"/>
  </r>
  <r>
    <s v="Striking causing death"/>
    <n v="3"/>
    <m/>
    <n v="1"/>
    <m/>
    <m/>
    <m/>
    <m/>
    <m/>
    <m/>
    <m/>
    <n v="4"/>
    <x v="2"/>
    <x v="0"/>
  </r>
  <r>
    <s v="Other Chapter 28 (ss.307-314)"/>
    <n v="7"/>
    <n v="1"/>
    <m/>
    <m/>
    <m/>
    <m/>
    <m/>
    <n v="1"/>
    <m/>
    <m/>
    <n v="9"/>
    <x v="2"/>
    <x v="0"/>
  </r>
  <r>
    <s v="Rape"/>
    <n v="845"/>
    <n v="74"/>
    <n v="85"/>
    <n v="205"/>
    <n v="98"/>
    <n v="123"/>
    <n v="117"/>
    <n v="26"/>
    <n v="128"/>
    <m/>
    <n v="1701"/>
    <x v="2"/>
    <x v="1"/>
  </r>
  <r>
    <s v="Sexual assault"/>
    <n v="298"/>
    <n v="19"/>
    <n v="16"/>
    <n v="78"/>
    <n v="16"/>
    <n v="49"/>
    <n v="34"/>
    <n v="4"/>
    <n v="50"/>
    <m/>
    <n v="564"/>
    <x v="2"/>
    <x v="1"/>
  </r>
  <r>
    <s v="Unlawful carnal knowledge"/>
    <n v="79"/>
    <n v="9"/>
    <n v="18"/>
    <n v="16"/>
    <n v="9"/>
    <n v="26"/>
    <n v="45"/>
    <n v="9"/>
    <n v="23"/>
    <m/>
    <n v="234"/>
    <x v="2"/>
    <x v="1"/>
  </r>
  <r>
    <s v="Unlawful sodomy"/>
    <n v="4"/>
    <n v="1"/>
    <m/>
    <m/>
    <n v="1"/>
    <m/>
    <n v="4"/>
    <m/>
    <n v="5"/>
    <m/>
    <n v="15"/>
    <x v="2"/>
    <x v="1"/>
  </r>
  <r>
    <s v="Indecent treatment"/>
    <n v="1406"/>
    <n v="289"/>
    <n v="164"/>
    <n v="331"/>
    <n v="259"/>
    <n v="226"/>
    <n v="195"/>
    <n v="32"/>
    <n v="379"/>
    <m/>
    <n v="3281"/>
    <x v="2"/>
    <x v="1"/>
  </r>
  <r>
    <s v="CEM (incl. Cth Code)"/>
    <n v="399"/>
    <n v="62"/>
    <n v="118"/>
    <n v="123"/>
    <n v="52"/>
    <n v="70"/>
    <n v="29"/>
    <n v="20"/>
    <n v="78"/>
    <m/>
    <n v="951"/>
    <x v="2"/>
    <x v="1"/>
  </r>
  <r>
    <s v="Other Chapter 22 (ss.211-229B)"/>
    <n v="383"/>
    <n v="180"/>
    <n v="49"/>
    <n v="61"/>
    <n v="66"/>
    <n v="46"/>
    <n v="24"/>
    <n v="13"/>
    <n v="88"/>
    <m/>
    <n v="910"/>
    <x v="2"/>
    <x v="1"/>
  </r>
  <r>
    <s v="Murder"/>
    <n v="79"/>
    <m/>
    <n v="8"/>
    <n v="9"/>
    <n v="3"/>
    <n v="4"/>
    <n v="6"/>
    <m/>
    <n v="2"/>
    <m/>
    <n v="111"/>
    <x v="3"/>
    <x v="0"/>
  </r>
  <r>
    <s v="Attempted murder"/>
    <n v="39"/>
    <m/>
    <n v="6"/>
    <n v="3"/>
    <m/>
    <n v="4"/>
    <m/>
    <m/>
    <n v="3"/>
    <m/>
    <n v="55"/>
    <x v="3"/>
    <x v="0"/>
  </r>
  <r>
    <s v="Manslaughter"/>
    <n v="11"/>
    <m/>
    <m/>
    <m/>
    <m/>
    <m/>
    <m/>
    <m/>
    <n v="2"/>
    <m/>
    <n v="13"/>
    <x v="3"/>
    <x v="0"/>
  </r>
  <r>
    <s v="Dangerous op. causing death"/>
    <n v="7"/>
    <m/>
    <n v="2"/>
    <n v="3"/>
    <n v="1"/>
    <n v="2"/>
    <m/>
    <n v="2"/>
    <n v="3"/>
    <m/>
    <n v="20"/>
    <x v="3"/>
    <x v="0"/>
  </r>
  <r>
    <s v="Striking causing death"/>
    <n v="2"/>
    <n v="2"/>
    <m/>
    <m/>
    <m/>
    <m/>
    <n v="1"/>
    <m/>
    <m/>
    <m/>
    <n v="5"/>
    <x v="3"/>
    <x v="0"/>
  </r>
  <r>
    <s v="Other Chapter 28 (ss.307-314)"/>
    <n v="7"/>
    <m/>
    <m/>
    <n v="1"/>
    <m/>
    <m/>
    <m/>
    <m/>
    <m/>
    <m/>
    <n v="8"/>
    <x v="3"/>
    <x v="0"/>
  </r>
  <r>
    <s v="Rape"/>
    <n v="777"/>
    <n v="79"/>
    <n v="121"/>
    <n v="129"/>
    <n v="103"/>
    <n v="206"/>
    <n v="117"/>
    <n v="32"/>
    <n v="241"/>
    <m/>
    <n v="1805"/>
    <x v="3"/>
    <x v="1"/>
  </r>
  <r>
    <s v="Sexual assault"/>
    <n v="211"/>
    <n v="10"/>
    <n v="22"/>
    <n v="19"/>
    <n v="19"/>
    <n v="11"/>
    <n v="46"/>
    <n v="1"/>
    <n v="68"/>
    <m/>
    <n v="407"/>
    <x v="3"/>
    <x v="1"/>
  </r>
  <r>
    <s v="Unlawful carnal knowledge"/>
    <n v="47"/>
    <n v="16"/>
    <n v="19"/>
    <n v="9"/>
    <n v="8"/>
    <n v="41"/>
    <n v="8"/>
    <n v="6"/>
    <n v="20"/>
    <m/>
    <n v="174"/>
    <x v="3"/>
    <x v="1"/>
  </r>
  <r>
    <s v="Unlawful sodomy"/>
    <n v="11"/>
    <m/>
    <m/>
    <n v="1"/>
    <n v="1"/>
    <n v="1"/>
    <n v="19"/>
    <m/>
    <n v="4"/>
    <m/>
    <n v="37"/>
    <x v="3"/>
    <x v="1"/>
  </r>
  <r>
    <s v="Indecent treatment"/>
    <n v="1297"/>
    <n v="236"/>
    <n v="170"/>
    <n v="288"/>
    <n v="173"/>
    <n v="252"/>
    <n v="188"/>
    <n v="56"/>
    <n v="289"/>
    <m/>
    <n v="2949"/>
    <x v="3"/>
    <x v="1"/>
  </r>
  <r>
    <s v="CEM (incl. Cth Code)"/>
    <n v="445"/>
    <n v="44"/>
    <n v="55"/>
    <n v="132"/>
    <n v="53"/>
    <n v="141"/>
    <n v="57"/>
    <n v="48"/>
    <n v="163"/>
    <m/>
    <n v="1138"/>
    <x v="3"/>
    <x v="1"/>
  </r>
  <r>
    <s v="Other Chapter 22 (ss.211-229B)"/>
    <n v="518"/>
    <n v="19"/>
    <n v="20"/>
    <n v="32"/>
    <n v="54"/>
    <n v="42"/>
    <n v="33"/>
    <n v="47"/>
    <n v="27"/>
    <m/>
    <n v="792"/>
    <x v="3"/>
    <x v="1"/>
  </r>
  <r>
    <s v="Murder"/>
    <n v="86"/>
    <m/>
    <n v="8"/>
    <n v="2"/>
    <n v="2"/>
    <n v="2"/>
    <m/>
    <n v="2"/>
    <n v="1"/>
    <m/>
    <n v="103"/>
    <x v="4"/>
    <x v="0"/>
  </r>
  <r>
    <s v="Attempted murder"/>
    <n v="43"/>
    <m/>
    <m/>
    <n v="2"/>
    <n v="1"/>
    <n v="3"/>
    <m/>
    <n v="1"/>
    <m/>
    <m/>
    <n v="50"/>
    <x v="4"/>
    <x v="0"/>
  </r>
  <r>
    <s v="Manslaughter"/>
    <n v="24"/>
    <m/>
    <m/>
    <m/>
    <m/>
    <n v="1"/>
    <m/>
    <m/>
    <m/>
    <m/>
    <n v="25"/>
    <x v="4"/>
    <x v="0"/>
  </r>
  <r>
    <s v="Dangerous op. causing death"/>
    <n v="21"/>
    <n v="11"/>
    <n v="4"/>
    <n v="2"/>
    <n v="8"/>
    <n v="2"/>
    <n v="2"/>
    <n v="2"/>
    <n v="4"/>
    <m/>
    <n v="56"/>
    <x v="4"/>
    <x v="0"/>
  </r>
  <r>
    <s v="Striking causing death"/>
    <m/>
    <n v="1"/>
    <m/>
    <m/>
    <m/>
    <m/>
    <n v="1"/>
    <m/>
    <m/>
    <m/>
    <n v="2"/>
    <x v="4"/>
    <x v="0"/>
  </r>
  <r>
    <s v="Other Chapter 28 (ss.307-314)"/>
    <n v="18"/>
    <m/>
    <m/>
    <m/>
    <m/>
    <m/>
    <m/>
    <m/>
    <m/>
    <m/>
    <n v="18"/>
    <x v="4"/>
    <x v="0"/>
  </r>
  <r>
    <s v="Rape"/>
    <n v="974"/>
    <n v="96"/>
    <n v="112"/>
    <n v="89"/>
    <n v="45"/>
    <n v="104"/>
    <n v="62"/>
    <n v="33"/>
    <n v="100"/>
    <m/>
    <n v="1615"/>
    <x v="4"/>
    <x v="1"/>
  </r>
  <r>
    <s v="Sexual assault"/>
    <n v="314"/>
    <n v="23"/>
    <n v="28"/>
    <n v="15"/>
    <n v="18"/>
    <n v="19"/>
    <n v="48"/>
    <n v="13"/>
    <n v="35"/>
    <m/>
    <n v="513"/>
    <x v="4"/>
    <x v="1"/>
  </r>
  <r>
    <s v="Unlawful carnal knowledge"/>
    <n v="73"/>
    <n v="6"/>
    <n v="6"/>
    <n v="11"/>
    <n v="17"/>
    <n v="29"/>
    <n v="8"/>
    <n v="7"/>
    <n v="28"/>
    <m/>
    <n v="185"/>
    <x v="4"/>
    <x v="1"/>
  </r>
  <r>
    <s v="Unlawful sodomy"/>
    <n v="14"/>
    <n v="3"/>
    <m/>
    <m/>
    <n v="2"/>
    <n v="1"/>
    <m/>
    <m/>
    <m/>
    <m/>
    <n v="20"/>
    <x v="4"/>
    <x v="1"/>
  </r>
  <r>
    <s v="Indecent treatment"/>
    <n v="1669"/>
    <n v="220"/>
    <n v="258"/>
    <n v="200"/>
    <n v="192"/>
    <n v="445"/>
    <n v="107"/>
    <n v="93"/>
    <n v="161"/>
    <m/>
    <n v="3345"/>
    <x v="4"/>
    <x v="1"/>
  </r>
  <r>
    <s v="CEM (incl. Cth Code)"/>
    <n v="436"/>
    <n v="48"/>
    <n v="77"/>
    <n v="88"/>
    <n v="47"/>
    <n v="146"/>
    <n v="49"/>
    <n v="36"/>
    <n v="36"/>
    <m/>
    <n v="963"/>
    <x v="4"/>
    <x v="1"/>
  </r>
  <r>
    <s v="Other Chapter 22 (ss.211-229B)"/>
    <n v="337"/>
    <n v="35"/>
    <n v="21"/>
    <n v="113"/>
    <n v="19"/>
    <n v="36"/>
    <n v="17"/>
    <n v="31"/>
    <n v="26"/>
    <m/>
    <n v="635"/>
    <x v="4"/>
    <x v="1"/>
  </r>
  <r>
    <s v="Murder"/>
    <n v="45"/>
    <m/>
    <n v="8"/>
    <m/>
    <m/>
    <n v="6"/>
    <m/>
    <n v="1"/>
    <n v="4"/>
    <m/>
    <n v="64"/>
    <x v="5"/>
    <x v="0"/>
  </r>
  <r>
    <s v="Attempted murder"/>
    <n v="76"/>
    <m/>
    <n v="30"/>
    <m/>
    <m/>
    <n v="7"/>
    <m/>
    <n v="3"/>
    <n v="2"/>
    <m/>
    <n v="118"/>
    <x v="5"/>
    <x v="0"/>
  </r>
  <r>
    <s v="Manslaughter"/>
    <n v="16"/>
    <m/>
    <n v="1"/>
    <n v="1"/>
    <m/>
    <n v="1"/>
    <m/>
    <n v="2"/>
    <n v="2"/>
    <m/>
    <n v="23"/>
    <x v="5"/>
    <x v="0"/>
  </r>
  <r>
    <s v="Dangerous op. causing death"/>
    <n v="14"/>
    <n v="2"/>
    <n v="3"/>
    <n v="3"/>
    <n v="9"/>
    <n v="6"/>
    <n v="1"/>
    <m/>
    <n v="3"/>
    <m/>
    <n v="41"/>
    <x v="5"/>
    <x v="0"/>
  </r>
  <r>
    <s v="Striking causing death"/>
    <n v="3"/>
    <m/>
    <m/>
    <m/>
    <m/>
    <m/>
    <m/>
    <m/>
    <n v="2"/>
    <m/>
    <n v="5"/>
    <x v="5"/>
    <x v="0"/>
  </r>
  <r>
    <s v="Other Chapter 28 (ss.307-314)"/>
    <n v="14"/>
    <n v="1"/>
    <m/>
    <m/>
    <m/>
    <m/>
    <m/>
    <m/>
    <m/>
    <m/>
    <n v="15"/>
    <x v="5"/>
    <x v="0"/>
  </r>
  <r>
    <s v="Rape"/>
    <n v="621"/>
    <n v="107"/>
    <n v="79"/>
    <n v="132"/>
    <n v="145"/>
    <n v="81"/>
    <n v="63"/>
    <n v="25"/>
    <n v="176"/>
    <m/>
    <n v="1429"/>
    <x v="5"/>
    <x v="1"/>
  </r>
  <r>
    <s v="Sexual assault"/>
    <n v="207"/>
    <n v="40"/>
    <n v="21"/>
    <n v="36"/>
    <n v="28"/>
    <n v="25"/>
    <n v="30"/>
    <n v="8"/>
    <n v="28"/>
    <m/>
    <n v="423"/>
    <x v="5"/>
    <x v="1"/>
  </r>
  <r>
    <s v="Unlawful carnal knowledge"/>
    <n v="51"/>
    <n v="20"/>
    <n v="37"/>
    <n v="36"/>
    <n v="12"/>
    <n v="50"/>
    <n v="20"/>
    <n v="15"/>
    <n v="24"/>
    <m/>
    <n v="265"/>
    <x v="5"/>
    <x v="1"/>
  </r>
  <r>
    <s v="Unlawful sodomy"/>
    <n v="37"/>
    <n v="1"/>
    <m/>
    <m/>
    <m/>
    <n v="1"/>
    <n v="1"/>
    <n v="1"/>
    <n v="21"/>
    <m/>
    <n v="62"/>
    <x v="5"/>
    <x v="1"/>
  </r>
  <r>
    <s v="Indecent treatment"/>
    <n v="1272"/>
    <n v="272"/>
    <n v="169"/>
    <n v="304"/>
    <n v="298"/>
    <n v="168"/>
    <n v="179"/>
    <n v="74"/>
    <n v="306"/>
    <m/>
    <n v="3042"/>
    <x v="5"/>
    <x v="1"/>
  </r>
  <r>
    <s v="CEM (incl. Cth Code)"/>
    <n v="444"/>
    <n v="85"/>
    <n v="140"/>
    <n v="118"/>
    <n v="200"/>
    <n v="80"/>
    <n v="126"/>
    <n v="135"/>
    <n v="93"/>
    <m/>
    <n v="1421"/>
    <x v="5"/>
    <x v="1"/>
  </r>
  <r>
    <s v="Other Chapter 22 (ss.211-229B)"/>
    <n v="182"/>
    <n v="24"/>
    <n v="27"/>
    <n v="54"/>
    <n v="26"/>
    <n v="23"/>
    <n v="35"/>
    <n v="18"/>
    <n v="13"/>
    <m/>
    <n v="402"/>
    <x v="5"/>
    <x v="1"/>
  </r>
  <r>
    <s v="Murder"/>
    <n v="79"/>
    <m/>
    <n v="3"/>
    <n v="1"/>
    <n v="2"/>
    <n v="5"/>
    <m/>
    <n v="1"/>
    <n v="7"/>
    <m/>
    <n v="98"/>
    <x v="6"/>
    <x v="0"/>
  </r>
  <r>
    <s v="Attempted murder"/>
    <n v="77"/>
    <m/>
    <n v="1"/>
    <n v="3"/>
    <m/>
    <n v="1"/>
    <m/>
    <n v="1"/>
    <m/>
    <m/>
    <n v="83"/>
    <x v="6"/>
    <x v="0"/>
  </r>
  <r>
    <s v="Manslaughter"/>
    <n v="26"/>
    <m/>
    <n v="1"/>
    <n v="2"/>
    <m/>
    <n v="2"/>
    <m/>
    <n v="1"/>
    <m/>
    <m/>
    <n v="32"/>
    <x v="6"/>
    <x v="0"/>
  </r>
  <r>
    <s v="Dangerous op. causing death"/>
    <n v="15"/>
    <n v="4"/>
    <n v="3"/>
    <n v="5"/>
    <n v="9"/>
    <n v="9"/>
    <m/>
    <n v="1"/>
    <n v="5"/>
    <m/>
    <n v="51"/>
    <x v="6"/>
    <x v="0"/>
  </r>
  <r>
    <s v="Striking causing death"/>
    <n v="4"/>
    <m/>
    <n v="1"/>
    <n v="1"/>
    <m/>
    <m/>
    <m/>
    <m/>
    <m/>
    <m/>
    <n v="6"/>
    <x v="6"/>
    <x v="0"/>
  </r>
  <r>
    <s v="Other Chapter 28 (ss.307-314)"/>
    <n v="12"/>
    <m/>
    <n v="2"/>
    <m/>
    <m/>
    <m/>
    <m/>
    <m/>
    <m/>
    <m/>
    <n v="14"/>
    <x v="6"/>
    <x v="0"/>
  </r>
  <r>
    <s v="Rape"/>
    <n v="532"/>
    <n v="123"/>
    <n v="64"/>
    <n v="110"/>
    <n v="59"/>
    <n v="62"/>
    <n v="51"/>
    <n v="26"/>
    <n v="143"/>
    <m/>
    <n v="1170"/>
    <x v="6"/>
    <x v="1"/>
  </r>
  <r>
    <s v="Sexual assault"/>
    <n v="202"/>
    <n v="16"/>
    <n v="32"/>
    <n v="23"/>
    <n v="19"/>
    <n v="26"/>
    <n v="20"/>
    <n v="7"/>
    <n v="35"/>
    <m/>
    <n v="380"/>
    <x v="6"/>
    <x v="1"/>
  </r>
  <r>
    <s v="Unlawful carnal knowledge"/>
    <n v="117"/>
    <n v="13"/>
    <n v="14"/>
    <n v="14"/>
    <n v="24"/>
    <n v="20"/>
    <n v="5"/>
    <n v="97"/>
    <n v="12"/>
    <m/>
    <n v="316"/>
    <x v="6"/>
    <x v="1"/>
  </r>
  <r>
    <s v="Unlawful sodomy"/>
    <n v="49"/>
    <n v="5"/>
    <n v="8"/>
    <n v="6"/>
    <n v="5"/>
    <m/>
    <n v="1"/>
    <m/>
    <n v="6"/>
    <m/>
    <n v="80"/>
    <x v="6"/>
    <x v="1"/>
  </r>
  <r>
    <s v="Indecent treatment"/>
    <n v="1626"/>
    <n v="186"/>
    <n v="167"/>
    <n v="246"/>
    <n v="266"/>
    <n v="118"/>
    <n v="89"/>
    <n v="63"/>
    <n v="243"/>
    <m/>
    <n v="3004"/>
    <x v="6"/>
    <x v="1"/>
  </r>
  <r>
    <s v="CEM (incl. Cth Code)"/>
    <n v="955"/>
    <n v="56"/>
    <n v="109"/>
    <n v="154"/>
    <n v="45"/>
    <n v="65"/>
    <n v="129"/>
    <n v="62"/>
    <n v="309"/>
    <m/>
    <n v="1884"/>
    <x v="6"/>
    <x v="1"/>
  </r>
  <r>
    <s v="Other Chapter 22 (ss.211-229B)"/>
    <n v="255"/>
    <n v="27"/>
    <n v="143"/>
    <n v="24"/>
    <n v="16"/>
    <n v="24"/>
    <n v="11"/>
    <n v="49"/>
    <n v="42"/>
    <m/>
    <n v="591"/>
    <x v="6"/>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
  <r>
    <x v="0"/>
    <x v="0"/>
    <n v="11.3314447592068"/>
    <n v="1.507352109916116"/>
    <n v="2.2651595804924458"/>
    <n v="1.4976785981728322"/>
    <n v="0.79099530939781526"/>
    <n v="0"/>
    <n v="2.34203007166612"/>
    <n v="2.4610538232471142"/>
    <x v="0"/>
    <x v="0"/>
    <x v="0"/>
  </r>
  <r>
    <x v="1"/>
    <x v="1"/>
    <n v="0"/>
    <n v="0"/>
    <n v="2.5168439783249394"/>
    <n v="1.4976785981728322"/>
    <n v="3.9549765469890765"/>
    <n v="0"/>
    <n v="0.58550751791653"/>
    <n v="0.82035127441570477"/>
    <x v="1"/>
    <x v="0"/>
    <x v="0"/>
  </r>
  <r>
    <x v="2"/>
    <x v="2"/>
    <n v="0"/>
    <n v="0.376838027479029"/>
    <n v="0"/>
    <n v="0"/>
    <n v="0.79099530939781526"/>
    <n v="1.4759929742734426"/>
    <n v="0"/>
    <n v="1.6407025488314095"/>
    <x v="2"/>
    <x v="0"/>
    <x v="0"/>
  </r>
  <r>
    <x v="3"/>
    <x v="3"/>
    <n v="33.994334277620396"/>
    <n v="1.130514082437087"/>
    <n v="0.7550531934974819"/>
    <n v="10.483750187209825"/>
    <n v="7.1189577845803376"/>
    <n v="1.4759929742734426"/>
    <n v="1.17101503583306"/>
    <n v="1.2305269116235571"/>
    <x v="3"/>
    <x v="0"/>
    <x v="0"/>
  </r>
  <r>
    <x v="4"/>
    <x v="4"/>
    <n v="0"/>
    <n v="0"/>
    <n v="0"/>
    <n v="0"/>
    <n v="0"/>
    <n v="0"/>
    <n v="0"/>
    <n v="0"/>
    <x v="4"/>
    <x v="0"/>
    <x v="0"/>
  </r>
  <r>
    <x v="5"/>
    <x v="5"/>
    <n v="33.994334277620396"/>
    <n v="0.376838027479029"/>
    <n v="0.50336879566498793"/>
    <n v="0"/>
    <n v="0"/>
    <n v="0"/>
    <n v="1.17101503583306"/>
    <n v="0.41017563720785238"/>
    <x v="5"/>
    <x v="0"/>
    <x v="0"/>
  </r>
  <r>
    <x v="6"/>
    <x v="6"/>
    <n v="1405.0991501416431"/>
    <n v="35.422774583028726"/>
    <n v="44.799822814183926"/>
    <n v="179.72143178073986"/>
    <n v="81.472516867974974"/>
    <n v="225.82692506383671"/>
    <n v="134.08122160288536"/>
    <n v="51.682130288189398"/>
    <x v="6"/>
    <x v="0"/>
    <x v="1"/>
  </r>
  <r>
    <x v="7"/>
    <x v="7"/>
    <n v="600.56657223796037"/>
    <n v="27.886014033448145"/>
    <n v="9.3123227198022764"/>
    <n v="25.460536168938148"/>
    <n v="19.774882734945383"/>
    <n v="78.227627636492457"/>
    <n v="14.63768794791325"/>
    <n v="13.945971665066981"/>
    <x v="7"/>
    <x v="0"/>
    <x v="1"/>
  </r>
  <r>
    <x v="8"/>
    <x v="8"/>
    <n v="67.988668555240793"/>
    <n v="1.507352109916116"/>
    <n v="3.0202127739899276"/>
    <n v="22.465178972592483"/>
    <n v="7.1189577845803376"/>
    <n v="33.947838408289179"/>
    <n v="3.5130451074991802"/>
    <n v="6.5628101953256381"/>
    <x v="8"/>
    <x v="0"/>
    <x v="1"/>
  </r>
  <r>
    <x v="9"/>
    <x v="9"/>
    <n v="101.98300283286119"/>
    <n v="0"/>
    <n v="0"/>
    <n v="1.4976785981728322"/>
    <n v="0"/>
    <n v="4.4279789228203281"/>
    <n v="0"/>
    <n v="0.41017563720785238"/>
    <x v="9"/>
    <x v="0"/>
    <x v="1"/>
  </r>
  <r>
    <x v="10"/>
    <x v="10"/>
    <n v="3263.456090651558"/>
    <n v="77.251795633200942"/>
    <n v="64.934574640783438"/>
    <n v="386.4010783285907"/>
    <n v="147.91612285739146"/>
    <n v="380.8061873625482"/>
    <n v="119.44353365497213"/>
    <n v="100.90320675313168"/>
    <x v="10"/>
    <x v="0"/>
    <x v="1"/>
  </r>
  <r>
    <x v="11"/>
    <x v="11"/>
    <n v="226.62889518413598"/>
    <n v="52.380485819585026"/>
    <n v="11.074113504629734"/>
    <n v="97.349108881234088"/>
    <n v="49.041709182664547"/>
    <n v="81.179613585039348"/>
    <n v="11.710150358330599"/>
    <n v="45.119320092863767"/>
    <x v="11"/>
    <x v="0"/>
    <x v="1"/>
  </r>
  <r>
    <x v="12"/>
    <x v="12"/>
    <n v="430.59490084985839"/>
    <n v="20.349253483867564"/>
    <n v="11.325797902462229"/>
    <n v="11.981428785382658"/>
    <n v="61.697634133029595"/>
    <n v="42.803796253929832"/>
    <n v="64.405826970818296"/>
    <n v="9.0238640185727519"/>
    <x v="12"/>
    <x v="0"/>
    <x v="1"/>
  </r>
  <r>
    <x v="0"/>
    <x v="13"/>
    <n v="22.6628895184136"/>
    <n v="1.130514082437087"/>
    <n v="1.7617907848274577"/>
    <n v="5.9907143926913289"/>
    <n v="3.9549765469890765"/>
    <n v="7.3799648713672132"/>
    <n v="0.58550751791653"/>
    <n v="1.2305269116235571"/>
    <x v="13"/>
    <x v="1"/>
    <x v="0"/>
  </r>
  <r>
    <x v="1"/>
    <x v="14"/>
    <n v="0"/>
    <n v="0"/>
    <n v="1.0067375913299759"/>
    <n v="0"/>
    <n v="3.163981237591261"/>
    <n v="0"/>
    <n v="0"/>
    <n v="0"/>
    <x v="14"/>
    <x v="1"/>
    <x v="0"/>
  </r>
  <r>
    <x v="2"/>
    <x v="15"/>
    <n v="0"/>
    <n v="1.130514082437087"/>
    <n v="0.25168439783249397"/>
    <n v="0"/>
    <n v="0"/>
    <n v="1.4759929742734426"/>
    <n v="0"/>
    <n v="0.82035127441570477"/>
    <x v="15"/>
    <x v="1"/>
    <x v="0"/>
  </r>
  <r>
    <x v="3"/>
    <x v="16"/>
    <n v="56.657223796033996"/>
    <n v="1.130514082437087"/>
    <n v="0.7550531934974819"/>
    <n v="2.9953571963456644"/>
    <n v="8.7009484033759676"/>
    <n v="1.4759929742734426"/>
    <n v="1.7565225537495901"/>
    <n v="2.4610538232471142"/>
    <x v="16"/>
    <x v="1"/>
    <x v="0"/>
  </r>
  <r>
    <x v="4"/>
    <x v="17"/>
    <n v="0"/>
    <n v="0"/>
    <n v="0"/>
    <n v="0"/>
    <n v="0"/>
    <n v="0"/>
    <n v="0"/>
    <n v="0"/>
    <x v="17"/>
    <x v="1"/>
    <x v="0"/>
  </r>
  <r>
    <x v="5"/>
    <x v="18"/>
    <n v="11.3314447592068"/>
    <n v="0"/>
    <n v="0"/>
    <n v="1.4976785981728322"/>
    <n v="0"/>
    <n v="0"/>
    <n v="0"/>
    <n v="0"/>
    <x v="18"/>
    <x v="1"/>
    <x v="0"/>
  </r>
  <r>
    <x v="6"/>
    <x v="19"/>
    <n v="1552.4079320113315"/>
    <n v="50.119457654710857"/>
    <n v="43.541400825021455"/>
    <n v="137.78643103190055"/>
    <n v="86.218488724361862"/>
    <n v="175.64316393853966"/>
    <n v="41.571033772073633"/>
    <n v="59.885643032346451"/>
    <x v="19"/>
    <x v="1"/>
    <x v="1"/>
  </r>
  <r>
    <x v="7"/>
    <x v="20"/>
    <n v="385.26912181303118"/>
    <n v="12.812492934286984"/>
    <n v="12.08085109595971"/>
    <n v="28.455893365283814"/>
    <n v="25.311849900730088"/>
    <n v="94.463550353500324"/>
    <n v="12.881165394163661"/>
    <n v="18.457903674353357"/>
    <x v="20"/>
    <x v="1"/>
    <x v="1"/>
  </r>
  <r>
    <x v="8"/>
    <x v="21"/>
    <n v="237.9603399433428"/>
    <n v="3.7683802747902897"/>
    <n v="1.7617907848274577"/>
    <n v="13.47910738355549"/>
    <n v="14.237915569160675"/>
    <n v="16.235922717007867"/>
    <n v="7.6115977329148903"/>
    <n v="6.9729858325334906"/>
    <x v="21"/>
    <x v="1"/>
    <x v="1"/>
  </r>
  <r>
    <x v="9"/>
    <x v="3"/>
    <n v="56.657223796033996"/>
    <n v="2.637866192353203"/>
    <n v="0"/>
    <n v="0"/>
    <n v="0"/>
    <n v="0"/>
    <n v="0.58550751791653"/>
    <n v="0"/>
    <x v="22"/>
    <x v="1"/>
    <x v="1"/>
  </r>
  <r>
    <x v="10"/>
    <x v="22"/>
    <n v="3807.3654390934848"/>
    <n v="77.251795633200942"/>
    <n v="66.696365425610907"/>
    <n v="357.94518496330687"/>
    <n v="157.40806657016523"/>
    <n v="345.38235597998556"/>
    <n v="70.846409667900133"/>
    <n v="141.92077047391692"/>
    <x v="23"/>
    <x v="1"/>
    <x v="1"/>
  </r>
  <r>
    <x v="11"/>
    <x v="23"/>
    <n v="815.86402266288951"/>
    <n v="30.523880225801346"/>
    <n v="10.067375913299758"/>
    <n v="146.77250262093756"/>
    <n v="71.980573155201185"/>
    <n v="82.655606559312787"/>
    <n v="109.48990585039111"/>
    <n v="60.705994306762157"/>
    <x v="24"/>
    <x v="1"/>
    <x v="1"/>
  </r>
  <r>
    <x v="12"/>
    <x v="24"/>
    <n v="169.97167138810198"/>
    <n v="19.972415456388536"/>
    <n v="11.829166698127215"/>
    <n v="122.80964505017224"/>
    <n v="25.311849900730088"/>
    <n v="109.22348009623475"/>
    <n v="4.68406014333224"/>
    <n v="26.251240781302553"/>
    <x v="25"/>
    <x v="1"/>
    <x v="1"/>
  </r>
  <r>
    <x v="0"/>
    <x v="25"/>
    <n v="0"/>
    <n v="3.014704219832232"/>
    <n v="1.0067375913299759"/>
    <n v="0"/>
    <n v="2.372985928193446"/>
    <n v="4.4279789228203281"/>
    <n v="0"/>
    <n v="0.41017563720785238"/>
    <x v="26"/>
    <x v="2"/>
    <x v="0"/>
  </r>
  <r>
    <x v="1"/>
    <x v="26"/>
    <n v="0"/>
    <n v="0.376838027479029"/>
    <n v="0.50336879566498793"/>
    <n v="0"/>
    <n v="0.79099530939781526"/>
    <n v="0"/>
    <n v="0"/>
    <n v="1.2305269116235571"/>
    <x v="27"/>
    <x v="2"/>
    <x v="0"/>
  </r>
  <r>
    <x v="2"/>
    <x v="2"/>
    <n v="0"/>
    <n v="1.507352109916116"/>
    <n v="0.25168439783249397"/>
    <n v="1.4976785981728322"/>
    <n v="0"/>
    <n v="0"/>
    <n v="0"/>
    <n v="0"/>
    <x v="28"/>
    <x v="2"/>
    <x v="0"/>
  </r>
  <r>
    <x v="3"/>
    <x v="18"/>
    <n v="22.6628895184136"/>
    <n v="1.507352109916116"/>
    <n v="0.50336879566498793"/>
    <n v="8.9860715890369924"/>
    <n v="2.372985928193446"/>
    <n v="1.4759929742734426"/>
    <n v="2.34203007166612"/>
    <n v="2.4610538232471142"/>
    <x v="29"/>
    <x v="2"/>
    <x v="0"/>
  </r>
  <r>
    <x v="4"/>
    <x v="4"/>
    <n v="0"/>
    <n v="0.376838027479029"/>
    <n v="0"/>
    <n v="0"/>
    <n v="0"/>
    <n v="0"/>
    <n v="0"/>
    <n v="0"/>
    <x v="30"/>
    <x v="2"/>
    <x v="0"/>
  </r>
  <r>
    <x v="5"/>
    <x v="27"/>
    <n v="11.3314447592068"/>
    <n v="0"/>
    <n v="0"/>
    <n v="0"/>
    <n v="0"/>
    <n v="0"/>
    <n v="0.58550751791653"/>
    <n v="0"/>
    <x v="31"/>
    <x v="2"/>
    <x v="0"/>
  </r>
  <r>
    <x v="6"/>
    <x v="28"/>
    <n v="838.52691218130315"/>
    <n v="32.031232335717462"/>
    <n v="51.595301555661266"/>
    <n v="146.77250262093756"/>
    <n v="97.29242305593128"/>
    <n v="172.69117798999278"/>
    <n v="15.223195465829781"/>
    <n v="52.502481562605105"/>
    <x v="32"/>
    <x v="2"/>
    <x v="1"/>
  </r>
  <r>
    <x v="7"/>
    <x v="29"/>
    <n v="215.2974504249292"/>
    <n v="6.029408439664464"/>
    <n v="19.631383030934529"/>
    <n v="23.962857570765316"/>
    <n v="38.758770160492951"/>
    <n v="50.183761125297046"/>
    <n v="2.34203007166612"/>
    <n v="20.50878186039262"/>
    <x v="33"/>
    <x v="2"/>
    <x v="1"/>
  </r>
  <r>
    <x v="8"/>
    <x v="30"/>
    <n v="101.98300283286119"/>
    <n v="6.7830844946225213"/>
    <n v="4.0269503653199035"/>
    <n v="13.47910738355549"/>
    <n v="20.565878044343197"/>
    <n v="66.41968384230492"/>
    <n v="5.2695676612487699"/>
    <n v="9.4340396557806052"/>
    <x v="34"/>
    <x v="2"/>
    <x v="1"/>
  </r>
  <r>
    <x v="9"/>
    <x v="17"/>
    <n v="11.3314447592068"/>
    <n v="0"/>
    <n v="0"/>
    <n v="1.4976785981728322"/>
    <n v="0"/>
    <n v="5.9039718970937702"/>
    <n v="0"/>
    <n v="2.0508781860392622"/>
    <x v="35"/>
    <x v="2"/>
    <x v="1"/>
  </r>
  <r>
    <x v="10"/>
    <x v="31"/>
    <n v="3274.787535410765"/>
    <n v="61.801436506560755"/>
    <n v="83.307535682555496"/>
    <n v="387.89875692676355"/>
    <n v="178.76493992390627"/>
    <n v="287.81862998332133"/>
    <n v="18.73624057332896"/>
    <n v="155.45656650177605"/>
    <x v="36"/>
    <x v="2"/>
    <x v="1"/>
  </r>
  <r>
    <x v="11"/>
    <x v="32"/>
    <n v="702.54957507082156"/>
    <n v="44.466887242525416"/>
    <n v="30.957180933396756"/>
    <n v="77.87928710498727"/>
    <n v="55.369671657847071"/>
    <n v="42.803796253929832"/>
    <n v="11.710150358330599"/>
    <n v="31.993699702212488"/>
    <x v="37"/>
    <x v="2"/>
    <x v="1"/>
  </r>
  <r>
    <x v="12"/>
    <x v="33"/>
    <n v="2039.660056657224"/>
    <n v="18.465063346472419"/>
    <n v="15.352748267782133"/>
    <n v="98.846787479406927"/>
    <n v="36.385784232299507"/>
    <n v="35.423831382562625"/>
    <n v="7.6115977329148903"/>
    <n v="36.095456074291008"/>
    <x v="38"/>
    <x v="2"/>
    <x v="1"/>
  </r>
  <r>
    <x v="0"/>
    <x v="30"/>
    <n v="0"/>
    <n v="3.014704219832232"/>
    <n v="2.2651595804924458"/>
    <n v="4.4930357945184962"/>
    <n v="3.163981237591261"/>
    <n v="8.8559578456406562"/>
    <n v="0"/>
    <n v="0.82035127441570477"/>
    <x v="39"/>
    <x v="3"/>
    <x v="0"/>
  </r>
  <r>
    <x v="1"/>
    <x v="34"/>
    <n v="0"/>
    <n v="2.2610281648741739"/>
    <n v="0.7550531934974819"/>
    <n v="0"/>
    <n v="3.163981237591261"/>
    <n v="0"/>
    <n v="0"/>
    <n v="1.2305269116235571"/>
    <x v="40"/>
    <x v="3"/>
    <x v="0"/>
  </r>
  <r>
    <x v="2"/>
    <x v="35"/>
    <n v="0"/>
    <n v="0"/>
    <n v="0"/>
    <n v="0"/>
    <n v="0"/>
    <n v="0"/>
    <n v="0"/>
    <n v="0.82035127441570477"/>
    <x v="41"/>
    <x v="3"/>
    <x v="0"/>
  </r>
  <r>
    <x v="3"/>
    <x v="27"/>
    <n v="0"/>
    <n v="0.75367605495805801"/>
    <n v="0.7550531934974819"/>
    <n v="1.4976785981728322"/>
    <n v="1.5819906187956305"/>
    <n v="0"/>
    <n v="1.17101503583306"/>
    <n v="1.2305269116235571"/>
    <x v="42"/>
    <x v="3"/>
    <x v="0"/>
  </r>
  <r>
    <x v="4"/>
    <x v="36"/>
    <n v="22.6628895184136"/>
    <n v="0"/>
    <n v="0"/>
    <n v="0"/>
    <n v="0"/>
    <n v="1.4759929742734426"/>
    <n v="0"/>
    <n v="0"/>
    <x v="43"/>
    <x v="3"/>
    <x v="0"/>
  </r>
  <r>
    <x v="5"/>
    <x v="27"/>
    <n v="0"/>
    <n v="0"/>
    <n v="0.25168439783249397"/>
    <n v="0"/>
    <n v="0"/>
    <n v="0"/>
    <n v="0"/>
    <n v="0"/>
    <x v="44"/>
    <x v="3"/>
    <x v="0"/>
  </r>
  <r>
    <x v="6"/>
    <x v="37"/>
    <n v="895.18413597733718"/>
    <n v="45.597401324962505"/>
    <n v="32.467287320391719"/>
    <n v="154.26089561180171"/>
    <n v="162.94503373594995"/>
    <n v="172.69117798999278"/>
    <n v="18.73624057332896"/>
    <n v="98.852328567092428"/>
    <x v="45"/>
    <x v="3"/>
    <x v="1"/>
  </r>
  <r>
    <x v="7"/>
    <x v="38"/>
    <n v="113.31444759206799"/>
    <n v="8.2904366045386375"/>
    <n v="4.7820035588173857"/>
    <n v="28.455893365283814"/>
    <n v="8.7009484033759676"/>
    <n v="67.895676816578359"/>
    <n v="0.58550751791653"/>
    <n v="27.891943330133962"/>
    <x v="46"/>
    <x v="3"/>
    <x v="1"/>
  </r>
  <r>
    <x v="8"/>
    <x v="26"/>
    <n v="181.3031161473088"/>
    <n v="7.1599225221015503"/>
    <n v="2.2651595804924458"/>
    <n v="11.981428785382658"/>
    <n v="32.430807685310427"/>
    <n v="11.80794379418754"/>
    <n v="3.5130451074991802"/>
    <n v="8.2035127441570488"/>
    <x v="47"/>
    <x v="3"/>
    <x v="1"/>
  </r>
  <r>
    <x v="9"/>
    <x v="35"/>
    <n v="0"/>
    <n v="0"/>
    <n v="0.25168439783249397"/>
    <n v="1.4976785981728322"/>
    <n v="0.79099530939781526"/>
    <n v="28.043866511195407"/>
    <n v="0"/>
    <n v="1.6407025488314095"/>
    <x v="48"/>
    <x v="3"/>
    <x v="1"/>
  </r>
  <r>
    <x v="10"/>
    <x v="39"/>
    <n v="2674.2209631728047"/>
    <n v="64.062464671434924"/>
    <n v="72.485106575758266"/>
    <n v="259.09839748389999"/>
    <n v="199.33081796824945"/>
    <n v="277.48667916340719"/>
    <n v="32.788421003325681"/>
    <n v="118.54075915306935"/>
    <x v="49"/>
    <x v="3"/>
    <x v="1"/>
  </r>
  <r>
    <x v="11"/>
    <x v="40"/>
    <n v="498.58356940509918"/>
    <n v="20.726091511346592"/>
    <n v="33.222340513889201"/>
    <n v="79.37696570316011"/>
    <n v="111.53033862509196"/>
    <n v="84.131599533586225"/>
    <n v="28.104360859993442"/>
    <n v="66.858628864879947"/>
    <x v="50"/>
    <x v="3"/>
    <x v="1"/>
  </r>
  <r>
    <x v="12"/>
    <x v="41"/>
    <n v="215.2974504249292"/>
    <n v="7.5367605495805794"/>
    <n v="8.0539007306398069"/>
    <n v="80.874644301332935"/>
    <n v="33.221802994708241"/>
    <n v="48.707768151023608"/>
    <n v="27.518853342076909"/>
    <n v="11.074742204612015"/>
    <x v="51"/>
    <x v="3"/>
    <x v="1"/>
  </r>
  <r>
    <x v="0"/>
    <x v="42"/>
    <n v="0"/>
    <n v="3.014704219832232"/>
    <n v="0.50336879566498793"/>
    <n v="2.9953571963456644"/>
    <n v="1.5819906187956305"/>
    <n v="0"/>
    <n v="1.17101503583306"/>
    <n v="0.41017563720785238"/>
    <x v="52"/>
    <x v="4"/>
    <x v="0"/>
  </r>
  <r>
    <x v="1"/>
    <x v="43"/>
    <n v="0"/>
    <n v="0"/>
    <n v="0.50336879566498793"/>
    <n v="1.4976785981728322"/>
    <n v="2.372985928193446"/>
    <n v="0"/>
    <n v="0.58550751791653"/>
    <n v="0"/>
    <x v="53"/>
    <x v="4"/>
    <x v="0"/>
  </r>
  <r>
    <x v="2"/>
    <x v="44"/>
    <n v="0"/>
    <n v="0"/>
    <n v="0"/>
    <n v="0"/>
    <n v="0.79099530939781526"/>
    <n v="0"/>
    <n v="0"/>
    <n v="0"/>
    <x v="54"/>
    <x v="4"/>
    <x v="0"/>
  </r>
  <r>
    <x v="3"/>
    <x v="15"/>
    <n v="124.6458923512748"/>
    <n v="1.507352109916116"/>
    <n v="0.50336879566498793"/>
    <n v="11.981428785382658"/>
    <n v="1.5819906187956305"/>
    <n v="2.9519859485468851"/>
    <n v="1.17101503583306"/>
    <n v="1.6407025488314095"/>
    <x v="55"/>
    <x v="4"/>
    <x v="0"/>
  </r>
  <r>
    <x v="4"/>
    <x v="45"/>
    <n v="11.3314447592068"/>
    <n v="0"/>
    <n v="0"/>
    <n v="0"/>
    <n v="0"/>
    <n v="1.4759929742734426"/>
    <n v="0"/>
    <n v="0"/>
    <x v="56"/>
    <x v="4"/>
    <x v="0"/>
  </r>
  <r>
    <x v="5"/>
    <x v="18"/>
    <n v="0"/>
    <n v="0"/>
    <n v="0"/>
    <n v="0"/>
    <n v="0"/>
    <n v="0"/>
    <n v="0"/>
    <n v="0"/>
    <x v="57"/>
    <x v="4"/>
    <x v="0"/>
  </r>
  <r>
    <x v="6"/>
    <x v="46"/>
    <n v="1087.8186968838527"/>
    <n v="42.205859077651247"/>
    <n v="22.399911407091963"/>
    <n v="67.395536917777449"/>
    <n v="82.263512177372789"/>
    <n v="91.511564404953447"/>
    <n v="19.321748091245489"/>
    <n v="41.01756372078524"/>
    <x v="58"/>
    <x v="4"/>
    <x v="1"/>
  </r>
  <r>
    <x v="7"/>
    <x v="47"/>
    <n v="260.62322946175641"/>
    <n v="10.551464769412812"/>
    <n v="3.7752659674874094"/>
    <n v="26.958214767110981"/>
    <n v="15.02891087855849"/>
    <n v="70.84766276512525"/>
    <n v="7.6115977329148903"/>
    <n v="14.356147302274834"/>
    <x v="59"/>
    <x v="4"/>
    <x v="1"/>
  </r>
  <r>
    <x v="8"/>
    <x v="48"/>
    <n v="67.988668555240793"/>
    <n v="2.2610281648741739"/>
    <n v="2.7685283761574335"/>
    <n v="25.460536168938148"/>
    <n v="22.938863972536645"/>
    <n v="11.80794379418754"/>
    <n v="4.0985526254157101"/>
    <n v="11.484917841819867"/>
    <x v="60"/>
    <x v="4"/>
    <x v="1"/>
  </r>
  <r>
    <x v="9"/>
    <x v="49"/>
    <n v="33.994334277620396"/>
    <n v="0"/>
    <n v="0"/>
    <n v="2.9953571963456644"/>
    <n v="0.79099530939781526"/>
    <n v="0"/>
    <n v="0"/>
    <n v="0"/>
    <x v="61"/>
    <x v="4"/>
    <x v="1"/>
  </r>
  <r>
    <x v="10"/>
    <x v="50"/>
    <n v="2492.917847025496"/>
    <n v="97.224211089589474"/>
    <n v="50.336879566498794"/>
    <n v="287.55429084918376"/>
    <n v="351.99291268202779"/>
    <n v="157.93124824725837"/>
    <n v="54.452199166237293"/>
    <n v="66.038277590464233"/>
    <x v="62"/>
    <x v="4"/>
    <x v="1"/>
  </r>
  <r>
    <x v="11"/>
    <x v="51"/>
    <n v="543.90934844192634"/>
    <n v="29.01652811588523"/>
    <n v="22.148227009259468"/>
    <n v="70.390894114123114"/>
    <n v="115.48531517208103"/>
    <n v="72.323655739398689"/>
    <n v="21.078270644995079"/>
    <n v="14.766322939482686"/>
    <x v="63"/>
    <x v="4"/>
    <x v="1"/>
  </r>
  <r>
    <x v="12"/>
    <x v="52"/>
    <n v="396.60056657223799"/>
    <n v="7.9135985770596085"/>
    <n v="28.440336955071817"/>
    <n v="28.455893365283814"/>
    <n v="28.47583113832135"/>
    <n v="25.091880562648523"/>
    <n v="18.150733055412431"/>
    <n v="10.664566567404162"/>
    <x v="64"/>
    <x v="4"/>
    <x v="1"/>
  </r>
  <r>
    <x v="0"/>
    <x v="53"/>
    <n v="0"/>
    <n v="3.014704219832232"/>
    <n v="0"/>
    <n v="0"/>
    <n v="4.745971856386892"/>
    <n v="0"/>
    <n v="0.58550751791653"/>
    <n v="1.6407025488314095"/>
    <x v="65"/>
    <x v="5"/>
    <x v="0"/>
  </r>
  <r>
    <x v="1"/>
    <x v="54"/>
    <n v="0"/>
    <n v="11.30514082437087"/>
    <n v="0"/>
    <n v="0"/>
    <n v="5.5369671657847075"/>
    <n v="0"/>
    <n v="1.7565225537495901"/>
    <n v="0.82035127441570477"/>
    <x v="66"/>
    <x v="5"/>
    <x v="0"/>
  </r>
  <r>
    <x v="2"/>
    <x v="16"/>
    <n v="0"/>
    <n v="0.376838027479029"/>
    <n v="0.25168439783249397"/>
    <n v="0"/>
    <n v="0.79099530939781526"/>
    <n v="0"/>
    <n v="1.17101503583306"/>
    <n v="0.82035127441570477"/>
    <x v="67"/>
    <x v="5"/>
    <x v="0"/>
  </r>
  <r>
    <x v="3"/>
    <x v="49"/>
    <n v="22.6628895184136"/>
    <n v="1.130514082437087"/>
    <n v="0.7550531934974819"/>
    <n v="13.47910738355549"/>
    <n v="4.745971856386892"/>
    <n v="1.4759929742734426"/>
    <n v="0"/>
    <n v="1.2305269116235571"/>
    <x v="68"/>
    <x v="5"/>
    <x v="0"/>
  </r>
  <r>
    <x v="4"/>
    <x v="4"/>
    <n v="0"/>
    <n v="0"/>
    <n v="0"/>
    <n v="0"/>
    <n v="0"/>
    <n v="0"/>
    <n v="0"/>
    <n v="0.82035127441570477"/>
    <x v="69"/>
    <x v="5"/>
    <x v="0"/>
  </r>
  <r>
    <x v="5"/>
    <x v="49"/>
    <n v="11.3314447592068"/>
    <n v="0"/>
    <n v="0"/>
    <n v="0"/>
    <n v="0"/>
    <n v="0"/>
    <n v="0"/>
    <n v="0"/>
    <x v="70"/>
    <x v="5"/>
    <x v="0"/>
  </r>
  <r>
    <x v="6"/>
    <x v="55"/>
    <n v="1212.4645892351275"/>
    <n v="29.770204170843289"/>
    <n v="33.222340513889201"/>
    <n v="217.16339673506067"/>
    <n v="64.070620061223039"/>
    <n v="92.987557379226885"/>
    <n v="14.63768794791325"/>
    <n v="72.190912148582015"/>
    <x v="71"/>
    <x v="5"/>
    <x v="1"/>
  </r>
  <r>
    <x v="7"/>
    <x v="56"/>
    <n v="453.25779036827197"/>
    <n v="7.9135985770596085"/>
    <n v="9.0606383219697832"/>
    <n v="41.9350007488393"/>
    <n v="19.774882734945383"/>
    <n v="44.279789228203278"/>
    <n v="4.68406014333224"/>
    <n v="11.484917841819867"/>
    <x v="72"/>
    <x v="5"/>
    <x v="1"/>
  </r>
  <r>
    <x v="8"/>
    <x v="21"/>
    <n v="226.62889518413598"/>
    <n v="13.943007016724072"/>
    <n v="9.0606383219697832"/>
    <n v="17.972143178073985"/>
    <n v="39.549765469890765"/>
    <n v="29.519859485468853"/>
    <n v="8.7826127687479509"/>
    <n v="9.8442152929884568"/>
    <x v="73"/>
    <x v="5"/>
    <x v="1"/>
  </r>
  <r>
    <x v="9"/>
    <x v="57"/>
    <n v="11.3314447592068"/>
    <n v="0"/>
    <n v="0"/>
    <n v="0"/>
    <n v="0.79099530939781526"/>
    <n v="1.4759929742734426"/>
    <n v="0.58550751791653"/>
    <n v="8.6136883813649003"/>
    <x v="74"/>
    <x v="5"/>
    <x v="1"/>
  </r>
  <r>
    <x v="10"/>
    <x v="58"/>
    <n v="3082.1529745042494"/>
    <n v="63.685626643955899"/>
    <n v="76.512056941078171"/>
    <n v="446.30822225550401"/>
    <n v="132.88721197883297"/>
    <n v="264.2027423949462"/>
    <n v="43.327556325823224"/>
    <n v="125.51374498560283"/>
    <x v="75"/>
    <x v="5"/>
    <x v="1"/>
  </r>
  <r>
    <x v="11"/>
    <x v="59"/>
    <n v="963.17280453257797"/>
    <n v="52.757323847064058"/>
    <n v="29.698758944234289"/>
    <n v="299.53571963456642"/>
    <n v="63.279624751825224"/>
    <n v="185.97511475845377"/>
    <n v="79.043514918731546"/>
    <n v="38.146334260330271"/>
    <x v="76"/>
    <x v="5"/>
    <x v="1"/>
  </r>
  <r>
    <x v="12"/>
    <x v="60"/>
    <n v="271.95467422096317"/>
    <n v="10.174626741933782"/>
    <n v="13.590957482954675"/>
    <n v="38.939643552493635"/>
    <n v="18.192892116149753"/>
    <n v="51.659754099570492"/>
    <n v="10.53913532249754"/>
    <n v="5.3322832837020808"/>
    <x v="77"/>
    <x v="5"/>
    <x v="1"/>
  </r>
  <r>
    <x v="0"/>
    <x v="30"/>
    <n v="0"/>
    <n v="1.130514082437087"/>
    <n v="0.25168439783249397"/>
    <n v="2.9953571963456644"/>
    <n v="3.9549765469890765"/>
    <n v="0"/>
    <n v="0.58550751791653"/>
    <n v="2.8712294604549666"/>
    <x v="78"/>
    <x v="6"/>
    <x v="0"/>
  </r>
  <r>
    <x v="1"/>
    <x v="61"/>
    <n v="0"/>
    <n v="0.376838027479029"/>
    <n v="0.7550531934974819"/>
    <n v="0"/>
    <n v="0.79099530939781526"/>
    <n v="0"/>
    <n v="0.58550751791653"/>
    <n v="0"/>
    <x v="79"/>
    <x v="6"/>
    <x v="0"/>
  </r>
  <r>
    <x v="2"/>
    <x v="62"/>
    <n v="0"/>
    <n v="0.376838027479029"/>
    <n v="0.50336879566498793"/>
    <n v="0"/>
    <n v="1.5819906187956305"/>
    <n v="0"/>
    <n v="0.58550751791653"/>
    <n v="0"/>
    <x v="80"/>
    <x v="6"/>
    <x v="0"/>
  </r>
  <r>
    <x v="3"/>
    <x v="3"/>
    <n v="45.3257790368272"/>
    <n v="1.130514082437087"/>
    <n v="1.2584219891624697"/>
    <n v="13.47910738355549"/>
    <n v="7.1189577845803376"/>
    <n v="0"/>
    <n v="0.58550751791653"/>
    <n v="2.0508781860392622"/>
    <x v="81"/>
    <x v="6"/>
    <x v="0"/>
  </r>
  <r>
    <x v="4"/>
    <x v="17"/>
    <n v="0"/>
    <n v="0.376838027479029"/>
    <n v="0.25168439783249397"/>
    <n v="0"/>
    <n v="0"/>
    <n v="0"/>
    <n v="0"/>
    <n v="0"/>
    <x v="82"/>
    <x v="6"/>
    <x v="0"/>
  </r>
  <r>
    <x v="5"/>
    <x v="5"/>
    <n v="0"/>
    <n v="0.75367605495805801"/>
    <n v="0"/>
    <n v="0"/>
    <n v="0"/>
    <n v="0"/>
    <n v="0"/>
    <n v="0"/>
    <x v="83"/>
    <x v="6"/>
    <x v="0"/>
  </r>
  <r>
    <x v="6"/>
    <x v="63"/>
    <n v="1393.7677053824364"/>
    <n v="24.117633758657856"/>
    <n v="27.685283761574336"/>
    <n v="88.363037292197106"/>
    <n v="49.041709182664547"/>
    <n v="75.275641687945566"/>
    <n v="15.223195465829781"/>
    <n v="58.655116120722894"/>
    <x v="84"/>
    <x v="6"/>
    <x v="1"/>
  </r>
  <r>
    <x v="7"/>
    <x v="64"/>
    <n v="181.3031161473088"/>
    <n v="12.058816879328928"/>
    <n v="5.7887411501473611"/>
    <n v="28.455893365283814"/>
    <n v="20.565878044343197"/>
    <n v="29.519859485468853"/>
    <n v="4.0985526254157101"/>
    <n v="14.356147302274834"/>
    <x v="85"/>
    <x v="6"/>
    <x v="1"/>
  </r>
  <r>
    <x v="8"/>
    <x v="65"/>
    <n v="147.3087818696884"/>
    <n v="5.2757323847064059"/>
    <n v="3.5235815696549153"/>
    <n v="35.94428635614797"/>
    <n v="15.819906187956306"/>
    <n v="7.3799648713672132"/>
    <n v="56.794229237903409"/>
    <n v="4.9221076464942284"/>
    <x v="86"/>
    <x v="6"/>
    <x v="1"/>
  </r>
  <r>
    <x v="9"/>
    <x v="66"/>
    <n v="56.657223796033996"/>
    <n v="3.014704219832232"/>
    <n v="1.5101063869949638"/>
    <n v="7.4883929908641607"/>
    <n v="0"/>
    <n v="1.4759929742734426"/>
    <n v="0"/>
    <n v="2.4610538232471142"/>
    <x v="87"/>
    <x v="6"/>
    <x v="1"/>
  </r>
  <r>
    <x v="10"/>
    <x v="67"/>
    <n v="2107.6487252124648"/>
    <n v="62.931950588997836"/>
    <n v="61.914361866793513"/>
    <n v="398.38250711397336"/>
    <n v="93.337446508942207"/>
    <n v="131.36337471033639"/>
    <n v="36.886973628741394"/>
    <n v="99.672679841508128"/>
    <x v="88"/>
    <x v="6"/>
    <x v="1"/>
  </r>
  <r>
    <x v="11"/>
    <x v="68"/>
    <n v="634.56090651558077"/>
    <n v="41.075344995214159"/>
    <n v="38.759397266204068"/>
    <n v="67.395536917777449"/>
    <n v="51.414695110857991"/>
    <n v="190.4030936812741"/>
    <n v="36.301466110824862"/>
    <n v="126.7442718972264"/>
    <x v="89"/>
    <x v="6"/>
    <x v="1"/>
  </r>
  <r>
    <x v="12"/>
    <x v="69"/>
    <n v="305.94900849858357"/>
    <n v="53.887837929501146"/>
    <n v="6.0404255479798552"/>
    <n v="23.962857570765316"/>
    <n v="18.983887425547568"/>
    <n v="16.235922717007867"/>
    <n v="28.689868377909971"/>
    <n v="17.227376762729801"/>
    <x v="90"/>
    <x v="6"/>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
  <r>
    <s v="Murder"/>
    <n v="0.16091954022988506"/>
    <n v="-0.5"/>
    <n v="0.33333333333333331"/>
    <n v="0.2857142857142857"/>
    <n v="-0.75"/>
    <n v="-0.8"/>
    <n v="-1"/>
    <n v="3"/>
    <n v="1"/>
    <n v="0"/>
    <x v="0"/>
    <s v="Homicide"/>
  </r>
  <r>
    <s v="Attempted murder"/>
    <n v="0.7857142857142857"/>
    <n v="0"/>
    <n v="0"/>
    <n v="1.5"/>
    <n v="1"/>
    <n v="0.25"/>
    <n v="0"/>
    <n v="1"/>
    <n v="2"/>
    <n v="0"/>
    <x v="0"/>
    <s v="Homicide"/>
  </r>
  <r>
    <s v="Manslaughter"/>
    <n v="-0.19047619047619047"/>
    <n v="0"/>
    <n v="-0.66666666666666663"/>
    <n v="-1"/>
    <n v="0"/>
    <n v="1"/>
    <n v="0"/>
    <n v="0"/>
    <n v="1"/>
    <n v="0"/>
    <x v="0"/>
    <s v="Homicide"/>
  </r>
  <r>
    <s v="Dangerous op. causing death"/>
    <n v="-6.25E-2"/>
    <n v="-0.4"/>
    <n v="0"/>
    <n v="0"/>
    <n v="2.5"/>
    <n v="-0.18181818181818182"/>
    <n v="0"/>
    <n v="-0.33333333333333331"/>
    <n v="-0.5"/>
    <n v="0"/>
    <x v="0"/>
    <s v="Homicide"/>
  </r>
  <r>
    <s v="Striking causing death"/>
    <n v="-0.25"/>
    <n v="0"/>
    <n v="0"/>
    <n v="0"/>
    <n v="0"/>
    <n v="0"/>
    <n v="0"/>
    <n v="0"/>
    <n v="0"/>
    <n v="0"/>
    <x v="0"/>
    <s v="Homicide"/>
  </r>
  <r>
    <s v="Other Chapter 28 (ss.307-314)"/>
    <n v="-0.33333333333333331"/>
    <n v="2"/>
    <n v="1"/>
    <n v="2"/>
    <n v="-1"/>
    <n v="0"/>
    <n v="0"/>
    <n v="2"/>
    <n v="1"/>
    <n v="0"/>
    <x v="0"/>
    <s v="Homicide"/>
  </r>
  <r>
    <s v="Rape"/>
    <n v="0.75342465753424659"/>
    <n v="-9.4890510948905105E-2"/>
    <n v="-0.2932330827067669"/>
    <n v="2.8901734104046242E-2"/>
    <n v="0.30434782608695654"/>
    <n v="-5.5045871559633031E-2"/>
    <n v="0.2857142857142857"/>
    <n v="2.2253521126760565"/>
    <n v="-0.13698630136986301"/>
    <n v="0"/>
    <x v="0"/>
    <s v="Sexual Offences"/>
  </r>
  <r>
    <s v="Sexual assault"/>
    <n v="6.25E-2"/>
    <n v="0.55882352941176472"/>
    <n v="1.1764705882352942"/>
    <n v="-0.22916666666666666"/>
    <n v="-0.10526315789473684"/>
    <n v="-0.21875"/>
    <n v="-0.171875"/>
    <n v="0.13636363636363635"/>
    <n v="-0.24444444444444444"/>
    <n v="0"/>
    <x v="0"/>
    <s v="Sexual Offences"/>
  </r>
  <r>
    <s v="Unlawful carnal knowledge"/>
    <n v="0.72549019607843135"/>
    <n v="-0.7142857142857143"/>
    <n v="-0.6"/>
    <n v="0.7142857142857143"/>
    <n v="0.66666666666666663"/>
    <n v="-0.5"/>
    <n v="1.0909090909090908"/>
    <n v="-0.53846153846153844"/>
    <n v="-5.8823529411764705E-2"/>
    <n v="0"/>
    <x v="0"/>
    <s v="Sexual Offences"/>
  </r>
  <r>
    <s v="Unlawful sodomy"/>
    <n v="-0.66666666666666663"/>
    <n v="0.8"/>
    <n v="-1"/>
    <n v="0"/>
    <n v="1"/>
    <n v="0"/>
    <n v="3"/>
    <n v="-1"/>
    <n v="1"/>
    <n v="0"/>
    <x v="0"/>
    <s v="Sexual Offences"/>
  </r>
  <r>
    <s v="Indecent treatment"/>
    <n v="0.41763341067285381"/>
    <n v="-0.14285714285714285"/>
    <n v="0"/>
    <n v="-2.6415094339622643E-2"/>
    <n v="7.9497907949790794E-2"/>
    <n v="-6.030150753768844E-2"/>
    <n v="0.10256410256410256"/>
    <n v="0.68595041322314054"/>
    <n v="-0.28901734104046245"/>
    <n v="0"/>
    <x v="0"/>
    <s v="Sexual Offences"/>
  </r>
  <r>
    <s v="CEM (incl. Cth Code)"/>
    <n v="-0.14285714285714285"/>
    <n v="-0.72222222222222221"/>
    <n v="0.71604938271604934"/>
    <n v="0.1"/>
    <n v="-0.33673469387755101"/>
    <n v="-0.31868131868131866"/>
    <n v="-1.7857142857142856E-2"/>
    <n v="-0.89304812834224601"/>
    <n v="-0.25675675675675674"/>
    <n v="0"/>
    <x v="0"/>
    <s v="Sexual Offences"/>
  </r>
  <r>
    <s v="Other Chapter 22 (ss.211-229B)"/>
    <n v="-3.1325301204819279E-2"/>
    <n v="1.5333333333333334"/>
    <n v="1.8867924528301886E-2"/>
    <n v="-4.2553191489361701E-2"/>
    <n v="-0.90243902439024393"/>
    <n v="1.4375"/>
    <n v="-0.60810810810810811"/>
    <n v="12.75"/>
    <n v="-0.65625"/>
    <n v="0"/>
    <x v="0"/>
    <s v="Sexual Offences"/>
  </r>
  <r>
    <s v="Murder"/>
    <n v="4.8192771084337352E-2"/>
    <n v="2"/>
    <n v="-0.625"/>
    <n v="0.75"/>
    <n v="4"/>
    <n v="0.66666666666666663"/>
    <n v="0.66666666666666663"/>
    <n v="1"/>
    <n v="2"/>
    <n v="0"/>
    <x v="1"/>
    <s v="Homicide"/>
  </r>
  <r>
    <s v="Attempted murder"/>
    <n v="0.19148936170212766"/>
    <n v="0"/>
    <n v="-1"/>
    <n v="1"/>
    <n v="0"/>
    <n v="3"/>
    <n v="0"/>
    <n v="0"/>
    <n v="-1"/>
    <n v="0"/>
    <x v="1"/>
    <s v="Homicide"/>
  </r>
  <r>
    <s v="Manslaughter"/>
    <n v="0.23529411764705882"/>
    <n v="0"/>
    <n v="-0.25"/>
    <n v="0"/>
    <n v="-1"/>
    <n v="0"/>
    <n v="1"/>
    <n v="0"/>
    <n v="2"/>
    <n v="0"/>
    <x v="1"/>
    <s v="Homicide"/>
  </r>
  <r>
    <s v="Dangerous op. causing death"/>
    <n v="-0.1111111111111111"/>
    <n v="1.5"/>
    <n v="-0.25"/>
    <n v="0.5"/>
    <n v="-0.66666666666666663"/>
    <n v="2.6666666666666665"/>
    <n v="0"/>
    <n v="-0.25"/>
    <n v="0"/>
    <n v="0"/>
    <x v="1"/>
    <s v="Homicide"/>
  </r>
  <r>
    <s v="Striking causing death"/>
    <n v="0.33333333333333331"/>
    <n v="0"/>
    <n v="-1"/>
    <n v="0"/>
    <n v="0"/>
    <n v="0"/>
    <n v="0"/>
    <n v="0"/>
    <n v="0"/>
    <n v="0"/>
    <x v="1"/>
    <s v="Homicide"/>
  </r>
  <r>
    <s v="Other Chapter 28 (ss.307-314)"/>
    <n v="1.5714285714285714"/>
    <n v="0"/>
    <n v="0"/>
    <n v="0"/>
    <n v="1"/>
    <n v="0"/>
    <n v="0"/>
    <n v="-1"/>
    <n v="0"/>
    <n v="0"/>
    <x v="1"/>
    <s v="Homicide"/>
  </r>
  <r>
    <s v="Rape"/>
    <n v="0.12307692307692308"/>
    <n v="0.85135135135135132"/>
    <n v="0.56470588235294117"/>
    <n v="-0.15609756097560976"/>
    <n v="-6.1224489795918366E-2"/>
    <n v="-0.11382113821138211"/>
    <n v="1.7094017094017096E-2"/>
    <n v="1.7307692307692308"/>
    <n v="0.140625"/>
    <n v="0"/>
    <x v="1"/>
    <s v="Sexual Offences"/>
  </r>
  <r>
    <s v="Sexual assault"/>
    <n v="0.18120805369127516"/>
    <n v="0.78947368421052633"/>
    <n v="1.125"/>
    <n v="-0.38461538461538464"/>
    <n v="0.1875"/>
    <n v="-0.34693877551020408"/>
    <n v="0.88235294117647056"/>
    <n v="4.5"/>
    <n v="-0.1"/>
    <n v="0"/>
    <x v="1"/>
    <s v="Sexual Offences"/>
  </r>
  <r>
    <s v="Unlawful carnal knowledge"/>
    <n v="-0.35443037974683544"/>
    <n v="1.3333333333333333"/>
    <n v="-0.44444444444444442"/>
    <n v="-0.5625"/>
    <n v="0"/>
    <n v="-0.30769230769230771"/>
    <n v="-0.75555555555555554"/>
    <n v="0.44444444444444442"/>
    <n v="-0.2608695652173913"/>
    <n v="0"/>
    <x v="1"/>
    <s v="Sexual Offences"/>
  </r>
  <r>
    <s v="Unlawful sodomy"/>
    <n v="2.75"/>
    <n v="4"/>
    <n v="7"/>
    <n v="0"/>
    <n v="-1"/>
    <n v="0"/>
    <n v="-1"/>
    <n v="1"/>
    <n v="-1"/>
    <n v="0"/>
    <x v="1"/>
    <s v="Sexual Offences"/>
  </r>
  <r>
    <s v="Indecent treatment"/>
    <n v="-8.0369843527738266E-2"/>
    <n v="0.16262975778546712"/>
    <n v="0.25"/>
    <n v="-0.19939577039274925"/>
    <n v="-7.7220077220077218E-2"/>
    <n v="-0.11946902654867257"/>
    <n v="0.2"/>
    <n v="2.78125"/>
    <n v="-8.7071240105540904E-2"/>
    <n v="0"/>
    <x v="1"/>
    <s v="Sexual Offences"/>
  </r>
  <r>
    <s v="CEM (incl. Cth Code)"/>
    <n v="0.35087719298245612"/>
    <n v="0.16129032258064516"/>
    <n v="-0.3135593220338983"/>
    <n v="-0.67479674796747968"/>
    <n v="0.88461538461538458"/>
    <n v="0.3"/>
    <n v="0.93103448275862066"/>
    <n v="8.35"/>
    <n v="0.89743589743589747"/>
    <n v="0"/>
    <x v="1"/>
    <s v="Sexual Offences"/>
  </r>
  <r>
    <s v="Other Chapter 22 (ss.211-229B)"/>
    <n v="8.3550913838120106E-2"/>
    <n v="-0.91666666666666663"/>
    <n v="8.1632653061224483E-2"/>
    <n v="-0.22950819672131148"/>
    <n v="0.24242424242424243"/>
    <n v="-0.30434782608695654"/>
    <n v="2.0833333333333335"/>
    <n v="-0.38461538461538464"/>
    <n v="-0.27272727272727271"/>
    <n v="0"/>
    <x v="1"/>
    <s v="Sexual Offences"/>
  </r>
  <r>
    <s v="Murder"/>
    <n v="5.0632911392405063E-2"/>
    <n v="0"/>
    <n v="0"/>
    <n v="-0.55555555555555558"/>
    <n v="-1"/>
    <n v="-0.25"/>
    <n v="-0.5"/>
    <n v="0"/>
    <n v="-0.5"/>
    <n v="0"/>
    <x v="2"/>
    <s v="Homicide"/>
  </r>
  <r>
    <s v="Attempted murder"/>
    <n v="0.20512820512820512"/>
    <n v="0"/>
    <n v="-0.83333333333333337"/>
    <n v="-0.33333333333333331"/>
    <n v="0"/>
    <n v="-0.75"/>
    <n v="0"/>
    <n v="0"/>
    <n v="0"/>
    <n v="0"/>
    <x v="2"/>
    <s v="Homicide"/>
  </r>
  <r>
    <s v="Manslaughter"/>
    <n v="0.54545454545454541"/>
    <n v="0"/>
    <n v="4"/>
    <n v="1"/>
    <n v="1"/>
    <n v="0"/>
    <n v="0"/>
    <n v="0"/>
    <n v="-1"/>
    <n v="0"/>
    <x v="2"/>
    <s v="Homicide"/>
  </r>
  <r>
    <s v="Dangerous op. causing death"/>
    <n v="1.5714285714285714"/>
    <n v="2"/>
    <n v="1"/>
    <n v="-0.33333333333333331"/>
    <n v="5"/>
    <n v="0.5"/>
    <n v="1"/>
    <n v="1"/>
    <n v="1"/>
    <n v="0"/>
    <x v="2"/>
    <s v="Homicide"/>
  </r>
  <r>
    <s v="Striking causing death"/>
    <n v="0.5"/>
    <n v="-1"/>
    <n v="1"/>
    <n v="0"/>
    <n v="0"/>
    <n v="0"/>
    <n v="-1"/>
    <n v="0"/>
    <n v="0"/>
    <n v="0"/>
    <x v="2"/>
    <s v="Homicide"/>
  </r>
  <r>
    <s v="Other Chapter 28 (ss.307-314)"/>
    <n v="0"/>
    <n v="1"/>
    <n v="0"/>
    <n v="-1"/>
    <n v="0"/>
    <n v="0"/>
    <n v="0"/>
    <n v="1"/>
    <n v="0"/>
    <n v="0"/>
    <x v="2"/>
    <s v="Homicide"/>
  </r>
  <r>
    <s v="Rape"/>
    <n v="8.7516087516087512E-2"/>
    <n v="-6.3291139240506333E-2"/>
    <n v="-0.2975206611570248"/>
    <n v="0.58914728682170547"/>
    <n v="-4.8543689320388349E-2"/>
    <n v="-0.40291262135922329"/>
    <n v="0"/>
    <n v="-0.1875"/>
    <n v="-0.46887966804979253"/>
    <n v="0"/>
    <x v="2"/>
    <s v="Sexual Offences"/>
  </r>
  <r>
    <s v="Sexual assault"/>
    <n v="0.41232227488151657"/>
    <n v="0.9"/>
    <n v="-0.27272727272727271"/>
    <n v="3.1052631578947367"/>
    <n v="-0.15789473684210525"/>
    <n v="3.4545454545454546"/>
    <n v="-0.2608695652173913"/>
    <n v="3"/>
    <n v="-0.26470588235294118"/>
    <n v="0"/>
    <x v="2"/>
    <s v="Sexual Offences"/>
  </r>
  <r>
    <s v="Unlawful carnal knowledge"/>
    <n v="0.68085106382978722"/>
    <n v="-0.4375"/>
    <n v="-5.2631578947368418E-2"/>
    <n v="0.77777777777777779"/>
    <n v="0.125"/>
    <n v="-0.36585365853658536"/>
    <n v="4.625"/>
    <n v="0.5"/>
    <n v="0.15"/>
    <n v="0"/>
    <x v="2"/>
    <s v="Sexual Offences"/>
  </r>
  <r>
    <s v="Unlawful sodomy"/>
    <n v="-0.63636363636363635"/>
    <n v="1"/>
    <n v="0"/>
    <n v="-1"/>
    <n v="0"/>
    <n v="-1"/>
    <n v="-0.78947368421052633"/>
    <n v="0"/>
    <n v="0.25"/>
    <n v="0"/>
    <x v="2"/>
    <s v="Sexual Offences"/>
  </r>
  <r>
    <s v="Indecent treatment"/>
    <n v="8.4040092521202772E-2"/>
    <n v="0.22457627118644069"/>
    <n v="-3.5294117647058823E-2"/>
    <n v="0.14930555555555555"/>
    <n v="0.49710982658959535"/>
    <n v="-0.10317460317460317"/>
    <n v="3.7234042553191488E-2"/>
    <n v="-0.42857142857142855"/>
    <n v="0.31141868512110726"/>
    <n v="0"/>
    <x v="2"/>
    <s v="Sexual Offences"/>
  </r>
  <r>
    <s v="CEM (incl. Cth Code)"/>
    <n v="-0.10337078651685393"/>
    <n v="0.40909090909090912"/>
    <n v="1.1454545454545455"/>
    <n v="-6.8181818181818177E-2"/>
    <n v="-1.8867924528301886E-2"/>
    <n v="-0.50354609929078009"/>
    <n v="-0.49122807017543857"/>
    <n v="-0.58333333333333337"/>
    <n v="-0.5214723926380368"/>
    <n v="0"/>
    <x v="2"/>
    <s v="Sexual Offences"/>
  </r>
  <r>
    <s v="Other Chapter 22 (ss.211-229B)"/>
    <n v="-0.2606177606177606"/>
    <n v="8.473684210526315"/>
    <n v="1.45"/>
    <n v="0.90625"/>
    <n v="0.22222222222222221"/>
    <n v="9.5238095238095233E-2"/>
    <n v="-0.27272727272727271"/>
    <n v="-0.72340425531914898"/>
    <n v="2.2592592592592591"/>
    <n v="0"/>
    <x v="2"/>
    <s v="Sexual Offences"/>
  </r>
  <r>
    <s v="Murder"/>
    <n v="-8.1395348837209308E-2"/>
    <n v="0"/>
    <n v="0"/>
    <n v="3.5"/>
    <n v="0.5"/>
    <n v="1"/>
    <n v="6"/>
    <n v="-1"/>
    <n v="1"/>
    <n v="0"/>
    <x v="3"/>
    <s v="Homicide"/>
  </r>
  <r>
    <s v="Attempted murder"/>
    <n v="-9.3023255813953487E-2"/>
    <n v="0"/>
    <n v="6"/>
    <n v="0.5"/>
    <n v="-1"/>
    <n v="0.33333333333333331"/>
    <n v="0"/>
    <n v="-1"/>
    <n v="3"/>
    <n v="0"/>
    <x v="3"/>
    <s v="Homicide"/>
  </r>
  <r>
    <s v="Manslaughter"/>
    <n v="-0.54166666666666663"/>
    <n v="0"/>
    <n v="0"/>
    <n v="0"/>
    <n v="0"/>
    <n v="-1"/>
    <n v="0"/>
    <n v="0"/>
    <n v="2"/>
    <n v="0"/>
    <x v="3"/>
    <s v="Homicide"/>
  </r>
  <r>
    <s v="Dangerous op. causing death"/>
    <n v="-0.66666666666666663"/>
    <n v="-1"/>
    <n v="-0.5"/>
    <n v="0.5"/>
    <n v="-0.875"/>
    <n v="0"/>
    <n v="-1"/>
    <n v="0"/>
    <n v="-0.25"/>
    <n v="0"/>
    <x v="3"/>
    <s v="Homicide"/>
  </r>
  <r>
    <s v="Striking causing death"/>
    <n v="2"/>
    <n v="1"/>
    <n v="0"/>
    <n v="0"/>
    <n v="0"/>
    <n v="0"/>
    <n v="0"/>
    <n v="0"/>
    <n v="0"/>
    <n v="0"/>
    <x v="3"/>
    <s v="Homicide"/>
  </r>
  <r>
    <s v="Other Chapter 28 (ss.307-314)"/>
    <n v="-0.61111111111111116"/>
    <n v="0"/>
    <n v="0"/>
    <n v="1"/>
    <n v="0"/>
    <n v="0"/>
    <n v="0"/>
    <n v="0"/>
    <n v="0"/>
    <n v="0"/>
    <x v="3"/>
    <s v="Homicide"/>
  </r>
  <r>
    <s v="Rape"/>
    <n v="-0.20225872689938398"/>
    <n v="-0.17708333333333334"/>
    <n v="8.0357142857142863E-2"/>
    <n v="0.449438202247191"/>
    <n v="1.288888888888889"/>
    <n v="0.98076923076923073"/>
    <n v="0.88709677419354838"/>
    <n v="-3.0303030303030304E-2"/>
    <n v="1.41"/>
    <n v="0"/>
    <x v="3"/>
    <s v="Sexual Offences"/>
  </r>
  <r>
    <s v="Sexual assault"/>
    <n v="-0.32802547770700635"/>
    <n v="-0.56521739130434778"/>
    <n v="-0.21428571428571427"/>
    <n v="0.26666666666666666"/>
    <n v="5.5555555555555552E-2"/>
    <n v="-0.42105263157894735"/>
    <n v="-4.1666666666666664E-2"/>
    <n v="-0.92307692307692313"/>
    <n v="0.94285714285714284"/>
    <n v="0"/>
    <x v="3"/>
    <s v="Sexual Offences"/>
  </r>
  <r>
    <s v="Unlawful carnal knowledge"/>
    <n v="-0.35616438356164382"/>
    <n v="1.6666666666666667"/>
    <n v="2.1666666666666665"/>
    <n v="-0.18181818181818182"/>
    <n v="-0.52941176470588236"/>
    <n v="0.41379310344827586"/>
    <n v="0"/>
    <n v="-0.14285714285714285"/>
    <n v="-0.2857142857142857"/>
    <n v="0"/>
    <x v="3"/>
    <s v="Sexual Offences"/>
  </r>
  <r>
    <s v="Unlawful sodomy"/>
    <n v="-0.21428571428571427"/>
    <n v="-1"/>
    <n v="0"/>
    <n v="1"/>
    <n v="-0.5"/>
    <n v="0"/>
    <n v="19"/>
    <n v="0"/>
    <n v="4"/>
    <n v="0"/>
    <x v="3"/>
    <s v="Sexual Offences"/>
  </r>
  <r>
    <s v="Indecent treatment"/>
    <n v="-0.22288795686039545"/>
    <n v="7.2727272727272724E-2"/>
    <n v="-0.34108527131782945"/>
    <n v="0.44"/>
    <n v="-9.8958333333333329E-2"/>
    <n v="-0.43370786516853932"/>
    <n v="0.7570093457943925"/>
    <n v="-0.39784946236559138"/>
    <n v="0.79503105590062106"/>
    <n v="0"/>
    <x v="3"/>
    <s v="Sexual Offences"/>
  </r>
  <r>
    <s v="CEM (incl. Cth Code)"/>
    <n v="2.0642201834862386E-2"/>
    <n v="-8.3333333333333329E-2"/>
    <n v="-0.2857142857142857"/>
    <n v="0.5"/>
    <n v="0.1276595744680851"/>
    <n v="-3.4246575342465752E-2"/>
    <n v="0.16326530612244897"/>
    <n v="0.33333333333333331"/>
    <n v="3.5277777777777777"/>
    <n v="0"/>
    <x v="3"/>
    <s v="Sexual Offences"/>
  </r>
  <r>
    <s v="Other Chapter 22 (ss.211-229B)"/>
    <n v="0.5370919881305638"/>
    <n v="-0.45714285714285713"/>
    <n v="-4.7619047619047616E-2"/>
    <n v="-0.7168141592920354"/>
    <n v="1.8421052631578947"/>
    <n v="0.16666666666666666"/>
    <n v="0.94117647058823528"/>
    <n v="0.5161290322580645"/>
    <n v="3.8461538461538464E-2"/>
    <n v="0"/>
    <x v="3"/>
    <s v="Sexual Offences"/>
  </r>
  <r>
    <s v="Murder"/>
    <n v="0.91111111111111109"/>
    <n v="0"/>
    <n v="0"/>
    <n v="2"/>
    <n v="2"/>
    <n v="-0.66666666666666663"/>
    <n v="0"/>
    <n v="1"/>
    <n v="-0.75"/>
    <n v="0"/>
    <x v="4"/>
    <s v="Homicide"/>
  </r>
  <r>
    <s v="Attempted murder"/>
    <n v="-0.43421052631578949"/>
    <n v="0"/>
    <n v="-1"/>
    <n v="2"/>
    <n v="1"/>
    <n v="-0.5714285714285714"/>
    <n v="0"/>
    <n v="-0.66666666666666663"/>
    <n v="-1"/>
    <n v="0"/>
    <x v="4"/>
    <s v="Homicide"/>
  </r>
  <r>
    <s v="Manslaughter"/>
    <n v="0.5"/>
    <n v="0"/>
    <n v="-1"/>
    <n v="-1"/>
    <n v="0"/>
    <n v="0"/>
    <n v="0"/>
    <n v="-1"/>
    <n v="-1"/>
    <n v="0"/>
    <x v="4"/>
    <s v="Homicide"/>
  </r>
  <r>
    <s v="Dangerous op. causing death"/>
    <n v="0.5"/>
    <n v="4.5"/>
    <n v="0.33333333333333331"/>
    <n v="-0.33333333333333331"/>
    <n v="-0.1111111111111111"/>
    <n v="-0.66666666666666663"/>
    <n v="1"/>
    <n v="2"/>
    <n v="0.33333333333333331"/>
    <n v="0"/>
    <x v="4"/>
    <s v="Homicide"/>
  </r>
  <r>
    <s v="Striking causing death"/>
    <n v="-1"/>
    <n v="1"/>
    <n v="0"/>
    <n v="0"/>
    <n v="0"/>
    <n v="0"/>
    <n v="1"/>
    <n v="0"/>
    <n v="-1"/>
    <n v="0"/>
    <x v="4"/>
    <s v="Homicide"/>
  </r>
  <r>
    <s v="Other Chapter 28 (ss.307-314)"/>
    <n v="0.2857142857142857"/>
    <n v="-1"/>
    <n v="0"/>
    <n v="0"/>
    <n v="0"/>
    <n v="0"/>
    <n v="0"/>
    <n v="0"/>
    <n v="0"/>
    <n v="0"/>
    <x v="4"/>
    <s v="Homicide"/>
  </r>
  <r>
    <s v="Rape"/>
    <n v="0.56843800322061189"/>
    <n v="-0.10280373831775701"/>
    <n v="0.41772151898734178"/>
    <n v="-0.32575757575757575"/>
    <n v="-0.68965517241379315"/>
    <n v="0.2839506172839506"/>
    <n v="-1.5873015873015872E-2"/>
    <n v="0.32"/>
    <n v="-0.43181818181818182"/>
    <n v="0"/>
    <x v="4"/>
    <s v="Sexual Offences"/>
  </r>
  <r>
    <s v="Sexual assault"/>
    <n v="0.51690821256038644"/>
    <n v="-0.42499999999999999"/>
    <n v="0.33333333333333331"/>
    <n v="-0.58333333333333337"/>
    <n v="-0.35714285714285715"/>
    <n v="-0.24"/>
    <n v="0.6"/>
    <n v="0.625"/>
    <n v="0.25"/>
    <n v="0"/>
    <x v="4"/>
    <s v="Sexual Offences"/>
  </r>
  <r>
    <s v="Unlawful carnal knowledge"/>
    <n v="0.43137254901960786"/>
    <n v="-0.7"/>
    <n v="-0.83783783783783783"/>
    <n v="-0.69444444444444442"/>
    <n v="0.41666666666666669"/>
    <n v="-0.42"/>
    <n v="-0.6"/>
    <n v="-0.53333333333333333"/>
    <n v="0.16666666666666666"/>
    <n v="0"/>
    <x v="4"/>
    <s v="Sexual Offences"/>
  </r>
  <r>
    <s v="Unlawful sodomy"/>
    <n v="-0.6216216216216216"/>
    <n v="2"/>
    <n v="0"/>
    <n v="0"/>
    <n v="2"/>
    <n v="0"/>
    <n v="-1"/>
    <n v="-1"/>
    <n v="-1"/>
    <n v="0"/>
    <x v="4"/>
    <s v="Sexual Offences"/>
  </r>
  <r>
    <s v="Indecent treatment"/>
    <n v="0.31210691823899372"/>
    <n v="-0.19117647058823528"/>
    <n v="0.52662721893491127"/>
    <n v="-0.34210526315789475"/>
    <n v="-0.35570469798657717"/>
    <n v="1.6488095238095237"/>
    <n v="-0.4022346368715084"/>
    <n v="0.25675675675675674"/>
    <n v="-0.47385620915032678"/>
    <n v="0"/>
    <x v="4"/>
    <s v="Sexual Offences"/>
  </r>
  <r>
    <s v="CEM (incl. Cth Code)"/>
    <n v="-1.8018018018018018E-2"/>
    <n v="-0.43529411764705883"/>
    <n v="-0.45"/>
    <n v="-0.25423728813559321"/>
    <n v="-0.76500000000000001"/>
    <n v="0.82499999999999996"/>
    <n v="-0.61111111111111116"/>
    <n v="-0.73333333333333328"/>
    <n v="-0.61290322580645162"/>
    <n v="0"/>
    <x v="4"/>
    <s v="Sexual Offences"/>
  </r>
  <r>
    <s v="Other Chapter 22 (ss.211-229B)"/>
    <n v="0.85164835164835162"/>
    <n v="0.45833333333333331"/>
    <n v="-0.22222222222222221"/>
    <n v="1.0925925925925926"/>
    <n v="-0.26923076923076922"/>
    <n v="0.56521739130434778"/>
    <n v="-0.51428571428571423"/>
    <n v="0.72222222222222221"/>
    <n v="1"/>
    <n v="0"/>
    <x v="4"/>
    <s v="Sexual Offences"/>
  </r>
  <r>
    <s v="Murder"/>
    <n v="-0.43037974683544306"/>
    <n v="0"/>
    <n v="1.6666666666666667"/>
    <n v="-1"/>
    <n v="-1"/>
    <n v="0.2"/>
    <n v="0"/>
    <n v="0"/>
    <n v="-0.42857142857142855"/>
    <n v="0"/>
    <x v="5"/>
    <s v="Homicide"/>
  </r>
  <r>
    <s v="Attempted murder"/>
    <n v="-1.2987012987012988E-2"/>
    <n v="0"/>
    <n v="29"/>
    <n v="-1"/>
    <n v="0"/>
    <n v="6"/>
    <n v="0"/>
    <n v="2"/>
    <n v="2"/>
    <n v="0"/>
    <x v="5"/>
    <s v="Homicide"/>
  </r>
  <r>
    <s v="Manslaughter"/>
    <n v="-0.38461538461538464"/>
    <n v="0"/>
    <n v="0"/>
    <n v="-0.5"/>
    <n v="0"/>
    <n v="-0.5"/>
    <n v="0"/>
    <n v="1"/>
    <n v="2"/>
    <n v="0"/>
    <x v="5"/>
    <s v="Homicide"/>
  </r>
  <r>
    <s v="Dangerous op. causing death"/>
    <n v="-6.6666666666666666E-2"/>
    <n v="-0.5"/>
    <n v="0"/>
    <n v="-0.4"/>
    <n v="0"/>
    <n v="-0.33333333333333331"/>
    <n v="1"/>
    <n v="-1"/>
    <n v="-0.4"/>
    <n v="0"/>
    <x v="5"/>
    <s v="Homicide"/>
  </r>
  <r>
    <s v="Striking causing death"/>
    <n v="-0.25"/>
    <n v="0"/>
    <n v="-1"/>
    <n v="-1"/>
    <n v="0"/>
    <n v="0"/>
    <n v="0"/>
    <n v="0"/>
    <n v="2"/>
    <n v="0"/>
    <x v="5"/>
    <s v="Homicide"/>
  </r>
  <r>
    <s v="Other Chapter 28 (ss.307-314)"/>
    <n v="0.16666666666666666"/>
    <n v="1"/>
    <n v="-1"/>
    <n v="0"/>
    <n v="0"/>
    <n v="0"/>
    <n v="0"/>
    <n v="0"/>
    <n v="0"/>
    <n v="0"/>
    <x v="5"/>
    <s v="Homicide"/>
  </r>
  <r>
    <s v="Rape"/>
    <n v="0.16729323308270677"/>
    <n v="-0.13008130081300814"/>
    <n v="0.234375"/>
    <n v="0.2"/>
    <n v="1.4576271186440677"/>
    <n v="0.30645161290322581"/>
    <n v="0.23529411764705882"/>
    <n v="-3.8461538461538464E-2"/>
    <n v="0.23076923076923078"/>
    <n v="0"/>
    <x v="5"/>
    <s v="Sexual Offences"/>
  </r>
  <r>
    <s v="Sexual assault"/>
    <n v="2.4752475247524754E-2"/>
    <n v="1.5"/>
    <n v="-0.34375"/>
    <n v="0.56521739130434778"/>
    <n v="0.47368421052631576"/>
    <n v="-3.8461538461538464E-2"/>
    <n v="0.5"/>
    <n v="0.14285714285714285"/>
    <n v="-0.2"/>
    <n v="0"/>
    <x v="5"/>
    <s v="Sexual Offences"/>
  </r>
  <r>
    <s v="Unlawful carnal knowledge"/>
    <n v="-0.5641025641025641"/>
    <n v="0.53846153846153844"/>
    <n v="1.6428571428571428"/>
    <n v="1.5714285714285714"/>
    <n v="-0.5"/>
    <n v="1.5"/>
    <n v="3"/>
    <n v="-0.84536082474226804"/>
    <n v="1"/>
    <n v="0"/>
    <x v="5"/>
    <s v="Sexual Offences"/>
  </r>
  <r>
    <s v="Unlawful sodomy"/>
    <n v="-0.24489795918367346"/>
    <n v="-0.8"/>
    <n v="-1"/>
    <n v="-1"/>
    <n v="-1"/>
    <n v="1"/>
    <n v="0"/>
    <n v="1"/>
    <n v="2.5"/>
    <n v="0"/>
    <x v="5"/>
    <s v="Sexual Offences"/>
  </r>
  <r>
    <s v="Indecent treatment"/>
    <n v="-0.21771217712177121"/>
    <n v="0.46236559139784944"/>
    <n v="1.1976047904191617E-2"/>
    <n v="0.23577235772357724"/>
    <n v="0.12030075187969924"/>
    <n v="0.42372881355932202"/>
    <n v="1.0112359550561798"/>
    <n v="0.17460317460317459"/>
    <n v="0.25925925925925924"/>
    <n v="0"/>
    <x v="5"/>
    <s v="Sexual Offences"/>
  </r>
  <r>
    <s v="CEM (incl. Cth Code)"/>
    <n v="-0.53507853403141359"/>
    <n v="0.5178571428571429"/>
    <n v="0.28440366972477066"/>
    <n v="-0.23376623376623376"/>
    <n v="3.4444444444444446"/>
    <n v="0.23076923076923078"/>
    <n v="-2.3255813953488372E-2"/>
    <n v="1.1774193548387097"/>
    <n v="-0.69902912621359226"/>
    <n v="0"/>
    <x v="5"/>
    <s v="Sexual Offences"/>
  </r>
  <r>
    <s v="Other Chapter 22 (ss.211-229B)"/>
    <n v="-0.28627450980392155"/>
    <n v="-0.1111111111111111"/>
    <n v="-0.81118881118881114"/>
    <n v="1.25"/>
    <n v="0.625"/>
    <n v="-4.1666666666666664E-2"/>
    <n v="2.1818181818181817"/>
    <n v="-0.63265306122448983"/>
    <n v="-0.69047619047619047"/>
    <n v="0"/>
    <x v="5"/>
    <s v="Sexual Offences"/>
  </r>
  <r>
    <m/>
    <m/>
    <m/>
    <m/>
    <m/>
    <m/>
    <m/>
    <m/>
    <m/>
    <m/>
    <n v="0"/>
    <x v="6"/>
    <s v="Homicide"/>
  </r>
  <r>
    <m/>
    <m/>
    <m/>
    <m/>
    <m/>
    <m/>
    <m/>
    <m/>
    <m/>
    <m/>
    <n v="0"/>
    <x v="6"/>
    <s v="Homicide"/>
  </r>
  <r>
    <m/>
    <m/>
    <m/>
    <m/>
    <m/>
    <m/>
    <m/>
    <m/>
    <m/>
    <m/>
    <n v="0"/>
    <x v="6"/>
    <s v="Homicide"/>
  </r>
  <r>
    <m/>
    <m/>
    <m/>
    <m/>
    <m/>
    <m/>
    <m/>
    <m/>
    <m/>
    <m/>
    <n v="0"/>
    <x v="6"/>
    <s v="Homicide"/>
  </r>
  <r>
    <m/>
    <m/>
    <m/>
    <m/>
    <m/>
    <m/>
    <m/>
    <m/>
    <m/>
    <m/>
    <n v="0"/>
    <x v="6"/>
    <s v="Homicide"/>
  </r>
  <r>
    <m/>
    <m/>
    <m/>
    <m/>
    <m/>
    <m/>
    <m/>
    <m/>
    <m/>
    <m/>
    <n v="0"/>
    <x v="6"/>
    <s v="Homicide"/>
  </r>
  <r>
    <m/>
    <m/>
    <m/>
    <m/>
    <m/>
    <m/>
    <m/>
    <m/>
    <m/>
    <m/>
    <n v="0"/>
    <x v="6"/>
    <s v="Sexual Offences"/>
  </r>
  <r>
    <m/>
    <m/>
    <m/>
    <m/>
    <m/>
    <m/>
    <m/>
    <m/>
    <m/>
    <m/>
    <n v="0"/>
    <x v="6"/>
    <s v="Sexual Offences"/>
  </r>
  <r>
    <m/>
    <m/>
    <m/>
    <m/>
    <m/>
    <m/>
    <m/>
    <m/>
    <m/>
    <m/>
    <n v="0"/>
    <x v="6"/>
    <s v="Sexual Offences"/>
  </r>
  <r>
    <m/>
    <m/>
    <m/>
    <m/>
    <m/>
    <m/>
    <m/>
    <m/>
    <m/>
    <m/>
    <n v="0"/>
    <x v="6"/>
    <s v="Sexual Offences"/>
  </r>
  <r>
    <m/>
    <m/>
    <m/>
    <m/>
    <m/>
    <m/>
    <m/>
    <m/>
    <m/>
    <m/>
    <n v="0"/>
    <x v="6"/>
    <s v="Sexual Offences"/>
  </r>
  <r>
    <m/>
    <m/>
    <m/>
    <m/>
    <m/>
    <m/>
    <m/>
    <m/>
    <m/>
    <m/>
    <n v="0"/>
    <x v="6"/>
    <s v="Sexual Offences"/>
  </r>
  <r>
    <m/>
    <m/>
    <m/>
    <m/>
    <m/>
    <m/>
    <m/>
    <m/>
    <m/>
    <m/>
    <n v="0"/>
    <x v="6"/>
    <s v="Sexual Offences"/>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9">
  <r>
    <n v="101"/>
    <x v="0"/>
    <x v="0"/>
    <x v="0"/>
    <x v="0"/>
    <n v="16.091954022988507"/>
    <n v="2023"/>
  </r>
  <r>
    <n v="1"/>
    <x v="1"/>
    <x v="0"/>
    <x v="0"/>
    <x v="0"/>
    <n v="-50"/>
    <n v="2023"/>
  </r>
  <r>
    <n v="4"/>
    <x v="2"/>
    <x v="0"/>
    <x v="0"/>
    <x v="0"/>
    <n v="33.333333333333329"/>
    <n v="2023"/>
  </r>
  <r>
    <n v="9"/>
    <x v="3"/>
    <x v="0"/>
    <x v="0"/>
    <x v="0"/>
    <n v="28.571428571428569"/>
    <n v="2023"/>
  </r>
  <r>
    <n v="1"/>
    <x v="4"/>
    <x v="0"/>
    <x v="0"/>
    <x v="0"/>
    <n v="-75"/>
    <n v="2023"/>
  </r>
  <r>
    <n v="1"/>
    <x v="5"/>
    <x v="0"/>
    <x v="0"/>
    <x v="0"/>
    <n v="-80"/>
    <n v="2023"/>
  </r>
  <r>
    <n v="0"/>
    <x v="6"/>
    <x v="0"/>
    <x v="0"/>
    <x v="0"/>
    <n v="-100"/>
    <n v="2023"/>
  </r>
  <r>
    <n v="4"/>
    <x v="7"/>
    <x v="0"/>
    <x v="0"/>
    <x v="0"/>
    <n v="300"/>
    <n v="2023"/>
  </r>
  <r>
    <n v="6"/>
    <x v="8"/>
    <x v="0"/>
    <x v="0"/>
    <x v="0"/>
    <n v="100"/>
    <n v="2023"/>
  </r>
  <r>
    <n v="100"/>
    <x v="0"/>
    <x v="1"/>
    <x v="0"/>
    <x v="0"/>
    <n v="78.571428571428569"/>
    <n v="2023"/>
  </r>
  <r>
    <n v="0"/>
    <x v="1"/>
    <x v="1"/>
    <x v="0"/>
    <x v="0"/>
    <n v="0"/>
    <n v="2023"/>
  </r>
  <r>
    <n v="0"/>
    <x v="2"/>
    <x v="1"/>
    <x v="0"/>
    <x v="0"/>
    <n v="0"/>
    <n v="2023"/>
  </r>
  <r>
    <n v="10"/>
    <x v="3"/>
    <x v="1"/>
    <x v="0"/>
    <x v="0"/>
    <n v="150"/>
    <n v="2023"/>
  </r>
  <r>
    <n v="1"/>
    <x v="4"/>
    <x v="1"/>
    <x v="0"/>
    <x v="0"/>
    <n v="1"/>
    <n v="2023"/>
  </r>
  <r>
    <n v="5"/>
    <x v="5"/>
    <x v="1"/>
    <x v="0"/>
    <x v="0"/>
    <n v="25"/>
    <n v="2023"/>
  </r>
  <r>
    <n v="0"/>
    <x v="6"/>
    <x v="1"/>
    <x v="0"/>
    <x v="0"/>
    <n v="0"/>
    <n v="2023"/>
  </r>
  <r>
    <n v="1"/>
    <x v="7"/>
    <x v="1"/>
    <x v="0"/>
    <x v="0"/>
    <n v="1"/>
    <n v="2023"/>
  </r>
  <r>
    <n v="2"/>
    <x v="8"/>
    <x v="1"/>
    <x v="0"/>
    <x v="0"/>
    <n v="2"/>
    <n v="2023"/>
  </r>
  <r>
    <n v="17"/>
    <x v="0"/>
    <x v="2"/>
    <x v="0"/>
    <x v="0"/>
    <n v="-19.047619047619047"/>
    <n v="2023"/>
  </r>
  <r>
    <n v="0"/>
    <x v="1"/>
    <x v="2"/>
    <x v="0"/>
    <x v="0"/>
    <n v="0"/>
    <n v="2023"/>
  </r>
  <r>
    <n v="1"/>
    <x v="2"/>
    <x v="2"/>
    <x v="0"/>
    <x v="0"/>
    <n v="-66.666666666666657"/>
    <n v="2023"/>
  </r>
  <r>
    <n v="0"/>
    <x v="3"/>
    <x v="2"/>
    <x v="0"/>
    <x v="0"/>
    <n v="-100"/>
    <n v="2023"/>
  </r>
  <r>
    <n v="0"/>
    <x v="4"/>
    <x v="2"/>
    <x v="0"/>
    <x v="0"/>
    <n v="0"/>
    <n v="2023"/>
  </r>
  <r>
    <n v="1"/>
    <x v="5"/>
    <x v="2"/>
    <x v="0"/>
    <x v="0"/>
    <n v="1"/>
    <n v="2023"/>
  </r>
  <r>
    <n v="1"/>
    <x v="6"/>
    <x v="2"/>
    <x v="0"/>
    <x v="0"/>
    <n v="0"/>
    <n v="2023"/>
  </r>
  <r>
    <n v="0"/>
    <x v="7"/>
    <x v="2"/>
    <x v="0"/>
    <x v="0"/>
    <n v="0"/>
    <n v="2023"/>
  </r>
  <r>
    <n v="4"/>
    <x v="8"/>
    <x v="2"/>
    <x v="0"/>
    <x v="0"/>
    <n v="100"/>
    <n v="2023"/>
  </r>
  <r>
    <n v="15"/>
    <x v="0"/>
    <x v="3"/>
    <x v="0"/>
    <x v="0"/>
    <n v="-6.25"/>
    <n v="2023"/>
  </r>
  <r>
    <n v="3"/>
    <x v="1"/>
    <x v="3"/>
    <x v="0"/>
    <x v="0"/>
    <n v="-40"/>
    <n v="2023"/>
  </r>
  <r>
    <n v="3"/>
    <x v="2"/>
    <x v="3"/>
    <x v="0"/>
    <x v="0"/>
    <n v="0"/>
    <n v="2023"/>
  </r>
  <r>
    <n v="3"/>
    <x v="3"/>
    <x v="3"/>
    <x v="0"/>
    <x v="0"/>
    <n v="0"/>
    <n v="2023"/>
  </r>
  <r>
    <n v="7"/>
    <x v="4"/>
    <x v="3"/>
    <x v="0"/>
    <x v="0"/>
    <n v="250"/>
    <n v="2023"/>
  </r>
  <r>
    <n v="9"/>
    <x v="5"/>
    <x v="3"/>
    <x v="0"/>
    <x v="0"/>
    <n v="-18.181818181818183"/>
    <n v="2023"/>
  </r>
  <r>
    <n v="1"/>
    <x v="6"/>
    <x v="3"/>
    <x v="0"/>
    <x v="0"/>
    <n v="0"/>
    <n v="2023"/>
  </r>
  <r>
    <n v="2"/>
    <x v="7"/>
    <x v="3"/>
    <x v="0"/>
    <x v="0"/>
    <n v="-33.333333333333329"/>
    <n v="2023"/>
  </r>
  <r>
    <n v="3"/>
    <x v="8"/>
    <x v="3"/>
    <x v="0"/>
    <x v="0"/>
    <n v="-50"/>
    <n v="2023"/>
  </r>
  <r>
    <n v="3"/>
    <x v="0"/>
    <x v="4"/>
    <x v="0"/>
    <x v="0"/>
    <n v="-25"/>
    <n v="2023"/>
  </r>
  <r>
    <n v="0"/>
    <x v="1"/>
    <x v="4"/>
    <x v="0"/>
    <x v="0"/>
    <n v="0"/>
    <n v="2023"/>
  </r>
  <r>
    <n v="0"/>
    <x v="2"/>
    <x v="4"/>
    <x v="0"/>
    <x v="0"/>
    <n v="0"/>
    <n v="2023"/>
  </r>
  <r>
    <n v="0"/>
    <x v="3"/>
    <x v="4"/>
    <x v="0"/>
    <x v="0"/>
    <n v="0"/>
    <n v="2023"/>
  </r>
  <r>
    <n v="0"/>
    <x v="4"/>
    <x v="4"/>
    <x v="0"/>
    <x v="0"/>
    <n v="0"/>
    <n v="2023"/>
  </r>
  <r>
    <n v="0"/>
    <x v="5"/>
    <x v="4"/>
    <x v="0"/>
    <x v="0"/>
    <n v="0"/>
    <n v="2023"/>
  </r>
  <r>
    <n v="0"/>
    <x v="6"/>
    <x v="4"/>
    <x v="0"/>
    <x v="0"/>
    <n v="0"/>
    <n v="2023"/>
  </r>
  <r>
    <n v="0"/>
    <x v="7"/>
    <x v="4"/>
    <x v="0"/>
    <x v="0"/>
    <n v="0"/>
    <n v="2023"/>
  </r>
  <r>
    <n v="0"/>
    <x v="8"/>
    <x v="4"/>
    <x v="0"/>
    <x v="0"/>
    <n v="0"/>
    <n v="2023"/>
  </r>
  <r>
    <n v="12"/>
    <x v="0"/>
    <x v="5"/>
    <x v="0"/>
    <x v="0"/>
    <n v="-33.333333333333329"/>
    <n v="2023"/>
  </r>
  <r>
    <n v="3"/>
    <x v="1"/>
    <x v="5"/>
    <x v="0"/>
    <x v="0"/>
    <n v="200"/>
    <n v="2023"/>
  </r>
  <r>
    <n v="1"/>
    <x v="2"/>
    <x v="5"/>
    <x v="0"/>
    <x v="0"/>
    <n v="1"/>
    <n v="2023"/>
  </r>
  <r>
    <n v="2"/>
    <x v="3"/>
    <x v="5"/>
    <x v="0"/>
    <x v="0"/>
    <n v="2"/>
    <n v="2023"/>
  </r>
  <r>
    <n v="0"/>
    <x v="4"/>
    <x v="5"/>
    <x v="0"/>
    <x v="0"/>
    <n v="-100"/>
    <n v="2023"/>
  </r>
  <r>
    <n v="0"/>
    <x v="5"/>
    <x v="5"/>
    <x v="0"/>
    <x v="0"/>
    <n v="0"/>
    <n v="2023"/>
  </r>
  <r>
    <n v="0"/>
    <x v="6"/>
    <x v="5"/>
    <x v="0"/>
    <x v="0"/>
    <n v="0"/>
    <n v="2023"/>
  </r>
  <r>
    <n v="2"/>
    <x v="7"/>
    <x v="5"/>
    <x v="0"/>
    <x v="0"/>
    <n v="2"/>
    <n v="2023"/>
  </r>
  <r>
    <n v="1"/>
    <x v="8"/>
    <x v="5"/>
    <x v="0"/>
    <x v="0"/>
    <n v="1"/>
    <n v="2023"/>
  </r>
  <r>
    <n v="1664"/>
    <x v="0"/>
    <x v="6"/>
    <x v="0"/>
    <x v="1"/>
    <n v="75.342465753424662"/>
    <n v="2023"/>
  </r>
  <r>
    <n v="124"/>
    <x v="1"/>
    <x v="6"/>
    <x v="0"/>
    <x v="1"/>
    <n v="-9.4890510948905096"/>
    <n v="2023"/>
  </r>
  <r>
    <n v="94"/>
    <x v="2"/>
    <x v="6"/>
    <x v="0"/>
    <x v="1"/>
    <n v="-29.323308270676691"/>
    <n v="2023"/>
  </r>
  <r>
    <n v="178"/>
    <x v="3"/>
    <x v="6"/>
    <x v="0"/>
    <x v="1"/>
    <n v="2.8901734104046244"/>
    <n v="2023"/>
  </r>
  <r>
    <n v="120"/>
    <x v="4"/>
    <x v="6"/>
    <x v="0"/>
    <x v="1"/>
    <n v="30.434782608695656"/>
    <n v="2023"/>
  </r>
  <r>
    <n v="103"/>
    <x v="5"/>
    <x v="6"/>
    <x v="0"/>
    <x v="1"/>
    <n v="-5.5045871559633035"/>
    <n v="2023"/>
  </r>
  <r>
    <n v="153"/>
    <x v="6"/>
    <x v="6"/>
    <x v="0"/>
    <x v="1"/>
    <n v="28.571428571428569"/>
    <n v="2023"/>
  </r>
  <r>
    <n v="229"/>
    <x v="7"/>
    <x v="6"/>
    <x v="0"/>
    <x v="1"/>
    <n v="222.53521126760566"/>
    <n v="2023"/>
  </r>
  <r>
    <n v="126"/>
    <x v="8"/>
    <x v="6"/>
    <x v="0"/>
    <x v="1"/>
    <n v="-13.698630136986301"/>
    <n v="2023"/>
  </r>
  <r>
    <n v="374"/>
    <x v="0"/>
    <x v="7"/>
    <x v="0"/>
    <x v="1"/>
    <n v="6.25"/>
    <n v="2023"/>
  </r>
  <r>
    <n v="53"/>
    <x v="1"/>
    <x v="7"/>
    <x v="0"/>
    <x v="1"/>
    <n v="55.882352941176471"/>
    <n v="2023"/>
  </r>
  <r>
    <n v="74"/>
    <x v="2"/>
    <x v="7"/>
    <x v="0"/>
    <x v="1"/>
    <n v="117.64705882352942"/>
    <n v="2023"/>
  </r>
  <r>
    <n v="37"/>
    <x v="3"/>
    <x v="7"/>
    <x v="0"/>
    <x v="1"/>
    <n v="-22.916666666666664"/>
    <n v="2023"/>
  </r>
  <r>
    <n v="17"/>
    <x v="4"/>
    <x v="7"/>
    <x v="0"/>
    <x v="1"/>
    <n v="-10.526315789473683"/>
    <n v="2023"/>
  </r>
  <r>
    <n v="25"/>
    <x v="5"/>
    <x v="7"/>
    <x v="0"/>
    <x v="1"/>
    <n v="-21.875"/>
    <n v="2023"/>
  </r>
  <r>
    <n v="53"/>
    <x v="6"/>
    <x v="7"/>
    <x v="0"/>
    <x v="1"/>
    <n v="-17.1875"/>
    <n v="2023"/>
  </r>
  <r>
    <n v="25"/>
    <x v="7"/>
    <x v="7"/>
    <x v="0"/>
    <x v="1"/>
    <n v="13.636363636363635"/>
    <n v="2023"/>
  </r>
  <r>
    <n v="34"/>
    <x v="8"/>
    <x v="7"/>
    <x v="0"/>
    <x v="1"/>
    <n v="-24.444444444444443"/>
    <n v="2023"/>
  </r>
  <r>
    <n v="88"/>
    <x v="0"/>
    <x v="8"/>
    <x v="0"/>
    <x v="1"/>
    <n v="72.549019607843135"/>
    <n v="2023"/>
  </r>
  <r>
    <n v="6"/>
    <x v="1"/>
    <x v="8"/>
    <x v="0"/>
    <x v="1"/>
    <n v="-71.428571428571431"/>
    <n v="2023"/>
  </r>
  <r>
    <n v="4"/>
    <x v="2"/>
    <x v="8"/>
    <x v="0"/>
    <x v="1"/>
    <n v="-60"/>
    <n v="2023"/>
  </r>
  <r>
    <n v="12"/>
    <x v="3"/>
    <x v="8"/>
    <x v="0"/>
    <x v="1"/>
    <n v="71.428571428571431"/>
    <n v="2023"/>
  </r>
  <r>
    <n v="15"/>
    <x v="4"/>
    <x v="8"/>
    <x v="0"/>
    <x v="1"/>
    <n v="66.666666666666657"/>
    <n v="2023"/>
  </r>
  <r>
    <n v="9"/>
    <x v="5"/>
    <x v="8"/>
    <x v="0"/>
    <x v="1"/>
    <n v="-50"/>
    <n v="2023"/>
  </r>
  <r>
    <n v="23"/>
    <x v="6"/>
    <x v="8"/>
    <x v="0"/>
    <x v="1"/>
    <n v="109.09090909090908"/>
    <n v="2023"/>
  </r>
  <r>
    <n v="6"/>
    <x v="7"/>
    <x v="8"/>
    <x v="0"/>
    <x v="1"/>
    <n v="-53.846153846153847"/>
    <n v="2023"/>
  </r>
  <r>
    <n v="16"/>
    <x v="8"/>
    <x v="8"/>
    <x v="0"/>
    <x v="1"/>
    <n v="-5.8823529411764701"/>
    <n v="2023"/>
  </r>
  <r>
    <n v="5"/>
    <x v="0"/>
    <x v="9"/>
    <x v="0"/>
    <x v="1"/>
    <n v="-66.666666666666657"/>
    <n v="2023"/>
  </r>
  <r>
    <n v="9"/>
    <x v="1"/>
    <x v="9"/>
    <x v="0"/>
    <x v="1"/>
    <n v="80"/>
    <n v="2023"/>
  </r>
  <r>
    <n v="0"/>
    <x v="2"/>
    <x v="9"/>
    <x v="0"/>
    <x v="1"/>
    <n v="-100"/>
    <n v="2023"/>
  </r>
  <r>
    <n v="0"/>
    <x v="3"/>
    <x v="9"/>
    <x v="0"/>
    <x v="1"/>
    <n v="0"/>
    <n v="2023"/>
  </r>
  <r>
    <n v="1"/>
    <x v="4"/>
    <x v="9"/>
    <x v="0"/>
    <x v="1"/>
    <n v="1"/>
    <n v="2023"/>
  </r>
  <r>
    <n v="0"/>
    <x v="5"/>
    <x v="9"/>
    <x v="0"/>
    <x v="1"/>
    <n v="0"/>
    <n v="2023"/>
  </r>
  <r>
    <n v="3"/>
    <x v="6"/>
    <x v="9"/>
    <x v="0"/>
    <x v="1"/>
    <n v="3"/>
    <n v="2023"/>
  </r>
  <r>
    <n v="0"/>
    <x v="7"/>
    <x v="9"/>
    <x v="0"/>
    <x v="1"/>
    <n v="-100"/>
    <n v="2023"/>
  </r>
  <r>
    <n v="1"/>
    <x v="8"/>
    <x v="9"/>
    <x v="0"/>
    <x v="1"/>
    <n v="1"/>
    <n v="2023"/>
  </r>
  <r>
    <n v="1833"/>
    <x v="0"/>
    <x v="10"/>
    <x v="0"/>
    <x v="1"/>
    <n v="41.763341067285381"/>
    <n v="2023"/>
  </r>
  <r>
    <n v="288"/>
    <x v="1"/>
    <x v="10"/>
    <x v="0"/>
    <x v="1"/>
    <n v="-14.285714285714285"/>
    <n v="2023"/>
  </r>
  <r>
    <n v="205"/>
    <x v="2"/>
    <x v="10"/>
    <x v="0"/>
    <x v="1"/>
    <n v="0"/>
    <n v="2023"/>
  </r>
  <r>
    <n v="258"/>
    <x v="3"/>
    <x v="10"/>
    <x v="0"/>
    <x v="1"/>
    <n v="-2.6415094339622645"/>
    <n v="2023"/>
  </r>
  <r>
    <n v="258"/>
    <x v="4"/>
    <x v="10"/>
    <x v="0"/>
    <x v="1"/>
    <n v="7.9497907949790791"/>
    <n v="2023"/>
  </r>
  <r>
    <n v="187"/>
    <x v="5"/>
    <x v="10"/>
    <x v="0"/>
    <x v="1"/>
    <n v="-6.0301507537688437"/>
    <n v="2023"/>
  </r>
  <r>
    <n v="258"/>
    <x v="6"/>
    <x v="10"/>
    <x v="0"/>
    <x v="1"/>
    <n v="10.256410256410255"/>
    <n v="2023"/>
  </r>
  <r>
    <n v="204"/>
    <x v="7"/>
    <x v="10"/>
    <x v="0"/>
    <x v="1"/>
    <n v="68.59504132231406"/>
    <n v="2023"/>
  </r>
  <r>
    <n v="246"/>
    <x v="8"/>
    <x v="10"/>
    <x v="0"/>
    <x v="1"/>
    <n v="-28.901734104046245"/>
    <n v="2023"/>
  </r>
  <r>
    <n v="462"/>
    <x v="0"/>
    <x v="11"/>
    <x v="0"/>
    <x v="1"/>
    <n v="-14.285714285714285"/>
    <n v="2023"/>
  </r>
  <r>
    <n v="20"/>
    <x v="1"/>
    <x v="11"/>
    <x v="0"/>
    <x v="1"/>
    <n v="-72.222222222222214"/>
    <n v="2023"/>
  </r>
  <r>
    <n v="139"/>
    <x v="2"/>
    <x v="11"/>
    <x v="0"/>
    <x v="1"/>
    <n v="71.604938271604937"/>
    <n v="2023"/>
  </r>
  <r>
    <n v="44"/>
    <x v="3"/>
    <x v="11"/>
    <x v="0"/>
    <x v="1"/>
    <n v="10"/>
    <n v="2023"/>
  </r>
  <r>
    <n v="65"/>
    <x v="4"/>
    <x v="11"/>
    <x v="0"/>
    <x v="1"/>
    <n v="-33.673469387755098"/>
    <n v="2023"/>
  </r>
  <r>
    <n v="62"/>
    <x v="5"/>
    <x v="11"/>
    <x v="0"/>
    <x v="1"/>
    <n v="-31.868131868131865"/>
    <n v="2023"/>
  </r>
  <r>
    <n v="55"/>
    <x v="6"/>
    <x v="11"/>
    <x v="0"/>
    <x v="1"/>
    <n v="-1.7857142857142856"/>
    <n v="2023"/>
  </r>
  <r>
    <n v="20"/>
    <x v="7"/>
    <x v="11"/>
    <x v="0"/>
    <x v="1"/>
    <n v="-89.304812834224606"/>
    <n v="2023"/>
  </r>
  <r>
    <n v="110"/>
    <x v="8"/>
    <x v="11"/>
    <x v="0"/>
    <x v="1"/>
    <n v="-25.675675675675674"/>
    <n v="2023"/>
  </r>
  <r>
    <n v="402"/>
    <x v="0"/>
    <x v="12"/>
    <x v="0"/>
    <x v="1"/>
    <n v="-3.132530120481928"/>
    <n v="2023"/>
  </r>
  <r>
    <n v="38"/>
    <x v="1"/>
    <x v="12"/>
    <x v="0"/>
    <x v="1"/>
    <n v="153.33333333333334"/>
    <n v="2023"/>
  </r>
  <r>
    <n v="54"/>
    <x v="2"/>
    <x v="12"/>
    <x v="0"/>
    <x v="1"/>
    <n v="1.8867924528301887"/>
    <n v="2023"/>
  </r>
  <r>
    <n v="45"/>
    <x v="3"/>
    <x v="12"/>
    <x v="0"/>
    <x v="1"/>
    <n v="-4.2553191489361701"/>
    <n v="2023"/>
  </r>
  <r>
    <n v="8"/>
    <x v="4"/>
    <x v="12"/>
    <x v="0"/>
    <x v="1"/>
    <n v="-90.243902439024396"/>
    <n v="2023"/>
  </r>
  <r>
    <n v="78"/>
    <x v="5"/>
    <x v="12"/>
    <x v="0"/>
    <x v="1"/>
    <n v="143.75"/>
    <n v="2023"/>
  </r>
  <r>
    <n v="29"/>
    <x v="6"/>
    <x v="12"/>
    <x v="0"/>
    <x v="1"/>
    <n v="-60.810810810810814"/>
    <n v="2023"/>
  </r>
  <r>
    <n v="110"/>
    <x v="7"/>
    <x v="12"/>
    <x v="0"/>
    <x v="1"/>
    <n v="1275"/>
    <n v="2023"/>
  </r>
  <r>
    <n v="22"/>
    <x v="8"/>
    <x v="12"/>
    <x v="0"/>
    <x v="1"/>
    <n v="-65.625"/>
    <n v="2023"/>
  </r>
  <r>
    <n v="87"/>
    <x v="0"/>
    <x v="0"/>
    <x v="1"/>
    <x v="0"/>
    <n v="4.8192771084337354"/>
    <n v="2022"/>
  </r>
  <r>
    <n v="2"/>
    <x v="1"/>
    <x v="0"/>
    <x v="1"/>
    <x v="0"/>
    <n v="2"/>
    <n v="2022"/>
  </r>
  <r>
    <n v="3"/>
    <x v="2"/>
    <x v="0"/>
    <x v="1"/>
    <x v="0"/>
    <n v="-62.5"/>
    <n v="2022"/>
  </r>
  <r>
    <n v="7"/>
    <x v="3"/>
    <x v="0"/>
    <x v="1"/>
    <x v="0"/>
    <n v="75"/>
    <n v="2022"/>
  </r>
  <r>
    <n v="4"/>
    <x v="4"/>
    <x v="0"/>
    <x v="1"/>
    <x v="0"/>
    <n v="4"/>
    <n v="2022"/>
  </r>
  <r>
    <n v="5"/>
    <x v="5"/>
    <x v="0"/>
    <x v="1"/>
    <x v="0"/>
    <n v="66.666666666666657"/>
    <n v="2022"/>
  </r>
  <r>
    <n v="5"/>
    <x v="6"/>
    <x v="0"/>
    <x v="1"/>
    <x v="0"/>
    <n v="66.666666666666657"/>
    <n v="2022"/>
  </r>
  <r>
    <n v="1"/>
    <x v="7"/>
    <x v="0"/>
    <x v="1"/>
    <x v="0"/>
    <n v="1"/>
    <n v="2022"/>
  </r>
  <r>
    <n v="3"/>
    <x v="8"/>
    <x v="0"/>
    <x v="1"/>
    <x v="0"/>
    <n v="200"/>
    <n v="2022"/>
  </r>
  <r>
    <n v="56"/>
    <x v="0"/>
    <x v="1"/>
    <x v="1"/>
    <x v="0"/>
    <n v="19.148936170212767"/>
    <n v="2022"/>
  </r>
  <r>
    <n v="0"/>
    <x v="1"/>
    <x v="1"/>
    <x v="1"/>
    <x v="0"/>
    <n v="0"/>
    <n v="2022"/>
  </r>
  <r>
    <n v="0"/>
    <x v="2"/>
    <x v="1"/>
    <x v="1"/>
    <x v="0"/>
    <n v="-100"/>
    <n v="2022"/>
  </r>
  <r>
    <n v="4"/>
    <x v="3"/>
    <x v="1"/>
    <x v="1"/>
    <x v="0"/>
    <n v="100"/>
    <n v="2022"/>
  </r>
  <r>
    <n v="0"/>
    <x v="4"/>
    <x v="1"/>
    <x v="1"/>
    <x v="0"/>
    <n v="0"/>
    <n v="2022"/>
  </r>
  <r>
    <n v="4"/>
    <x v="5"/>
    <x v="1"/>
    <x v="1"/>
    <x v="0"/>
    <n v="300"/>
    <n v="2022"/>
  </r>
  <r>
    <n v="0"/>
    <x v="6"/>
    <x v="1"/>
    <x v="1"/>
    <x v="0"/>
    <n v="0"/>
    <n v="2022"/>
  </r>
  <r>
    <n v="0"/>
    <x v="7"/>
    <x v="1"/>
    <x v="1"/>
    <x v="0"/>
    <n v="0"/>
    <n v="2022"/>
  </r>
  <r>
    <n v="0"/>
    <x v="8"/>
    <x v="1"/>
    <x v="1"/>
    <x v="0"/>
    <n v="-100"/>
    <n v="2022"/>
  </r>
  <r>
    <n v="21"/>
    <x v="0"/>
    <x v="2"/>
    <x v="1"/>
    <x v="0"/>
    <n v="23.52941176470588"/>
    <n v="2022"/>
  </r>
  <r>
    <n v="0"/>
    <x v="1"/>
    <x v="2"/>
    <x v="1"/>
    <x v="0"/>
    <n v="0"/>
    <n v="2022"/>
  </r>
  <r>
    <n v="3"/>
    <x v="2"/>
    <x v="2"/>
    <x v="1"/>
    <x v="0"/>
    <n v="-25"/>
    <n v="2022"/>
  </r>
  <r>
    <n v="1"/>
    <x v="3"/>
    <x v="2"/>
    <x v="1"/>
    <x v="0"/>
    <n v="0"/>
    <n v="2022"/>
  </r>
  <r>
    <n v="0"/>
    <x v="4"/>
    <x v="2"/>
    <x v="1"/>
    <x v="0"/>
    <n v="-100"/>
    <n v="2022"/>
  </r>
  <r>
    <n v="0"/>
    <x v="5"/>
    <x v="2"/>
    <x v="1"/>
    <x v="0"/>
    <n v="0"/>
    <n v="2022"/>
  </r>
  <r>
    <n v="1"/>
    <x v="6"/>
    <x v="2"/>
    <x v="1"/>
    <x v="0"/>
    <n v="1"/>
    <n v="2022"/>
  </r>
  <r>
    <n v="0"/>
    <x v="7"/>
    <x v="2"/>
    <x v="1"/>
    <x v="0"/>
    <n v="0"/>
    <n v="2022"/>
  </r>
  <r>
    <n v="2"/>
    <x v="8"/>
    <x v="2"/>
    <x v="1"/>
    <x v="0"/>
    <n v="2"/>
    <n v="2022"/>
  </r>
  <r>
    <n v="16"/>
    <x v="0"/>
    <x v="3"/>
    <x v="1"/>
    <x v="0"/>
    <n v="-11.111111111111111"/>
    <n v="2022"/>
  </r>
  <r>
    <n v="5"/>
    <x v="1"/>
    <x v="3"/>
    <x v="1"/>
    <x v="0"/>
    <n v="150"/>
    <n v="2022"/>
  </r>
  <r>
    <n v="3"/>
    <x v="2"/>
    <x v="3"/>
    <x v="1"/>
    <x v="0"/>
    <n v="-25"/>
    <n v="2022"/>
  </r>
  <r>
    <n v="3"/>
    <x v="3"/>
    <x v="3"/>
    <x v="1"/>
    <x v="0"/>
    <n v="50"/>
    <n v="2022"/>
  </r>
  <r>
    <n v="2"/>
    <x v="4"/>
    <x v="3"/>
    <x v="1"/>
    <x v="0"/>
    <n v="-66.666666666666657"/>
    <n v="2022"/>
  </r>
  <r>
    <n v="11"/>
    <x v="5"/>
    <x v="3"/>
    <x v="1"/>
    <x v="0"/>
    <n v="266.66666666666663"/>
    <n v="2022"/>
  </r>
  <r>
    <n v="1"/>
    <x v="6"/>
    <x v="3"/>
    <x v="1"/>
    <x v="0"/>
    <n v="0"/>
    <n v="2022"/>
  </r>
  <r>
    <n v="3"/>
    <x v="7"/>
    <x v="3"/>
    <x v="1"/>
    <x v="0"/>
    <n v="-25"/>
    <n v="2022"/>
  </r>
  <r>
    <n v="6"/>
    <x v="8"/>
    <x v="3"/>
    <x v="1"/>
    <x v="0"/>
    <n v="0"/>
    <n v="2022"/>
  </r>
  <r>
    <n v="4"/>
    <x v="0"/>
    <x v="4"/>
    <x v="1"/>
    <x v="0"/>
    <n v="33.333333333333329"/>
    <n v="2022"/>
  </r>
  <r>
    <n v="0"/>
    <x v="1"/>
    <x v="4"/>
    <x v="1"/>
    <x v="0"/>
    <n v="0"/>
    <n v="2022"/>
  </r>
  <r>
    <n v="0"/>
    <x v="2"/>
    <x v="4"/>
    <x v="1"/>
    <x v="0"/>
    <n v="-100"/>
    <n v="2022"/>
  </r>
  <r>
    <n v="0"/>
    <x v="3"/>
    <x v="4"/>
    <x v="1"/>
    <x v="0"/>
    <n v="0"/>
    <n v="2022"/>
  </r>
  <r>
    <n v="0"/>
    <x v="4"/>
    <x v="4"/>
    <x v="1"/>
    <x v="0"/>
    <n v="0"/>
    <n v="2022"/>
  </r>
  <r>
    <n v="0"/>
    <x v="5"/>
    <x v="4"/>
    <x v="1"/>
    <x v="0"/>
    <n v="0"/>
    <n v="2022"/>
  </r>
  <r>
    <n v="0"/>
    <x v="6"/>
    <x v="4"/>
    <x v="1"/>
    <x v="0"/>
    <n v="0"/>
    <n v="2022"/>
  </r>
  <r>
    <n v="0"/>
    <x v="7"/>
    <x v="4"/>
    <x v="1"/>
    <x v="0"/>
    <n v="0"/>
    <n v="2022"/>
  </r>
  <r>
    <n v="0"/>
    <x v="8"/>
    <x v="4"/>
    <x v="1"/>
    <x v="0"/>
    <n v="0"/>
    <n v="2022"/>
  </r>
  <r>
    <n v="18"/>
    <x v="0"/>
    <x v="5"/>
    <x v="1"/>
    <x v="0"/>
    <n v="157.14285714285714"/>
    <n v="2022"/>
  </r>
  <r>
    <n v="1"/>
    <x v="1"/>
    <x v="5"/>
    <x v="1"/>
    <x v="0"/>
    <n v="0"/>
    <n v="2022"/>
  </r>
  <r>
    <n v="0"/>
    <x v="2"/>
    <x v="5"/>
    <x v="1"/>
    <x v="0"/>
    <n v="0"/>
    <n v="2022"/>
  </r>
  <r>
    <n v="0"/>
    <x v="3"/>
    <x v="5"/>
    <x v="1"/>
    <x v="0"/>
    <n v="0"/>
    <n v="2022"/>
  </r>
  <r>
    <n v="1"/>
    <x v="4"/>
    <x v="5"/>
    <x v="1"/>
    <x v="0"/>
    <n v="1"/>
    <n v="2022"/>
  </r>
  <r>
    <n v="0"/>
    <x v="5"/>
    <x v="5"/>
    <x v="1"/>
    <x v="0"/>
    <n v="0"/>
    <n v="2022"/>
  </r>
  <r>
    <n v="0"/>
    <x v="6"/>
    <x v="5"/>
    <x v="1"/>
    <x v="0"/>
    <n v="0"/>
    <n v="2022"/>
  </r>
  <r>
    <n v="0"/>
    <x v="7"/>
    <x v="5"/>
    <x v="1"/>
    <x v="0"/>
    <n v="-100"/>
    <n v="2022"/>
  </r>
  <r>
    <n v="0"/>
    <x v="8"/>
    <x v="5"/>
    <x v="1"/>
    <x v="0"/>
    <n v="0"/>
    <n v="2022"/>
  </r>
  <r>
    <n v="949"/>
    <x v="0"/>
    <x v="6"/>
    <x v="1"/>
    <x v="1"/>
    <n v="12.307692307692308"/>
    <n v="2022"/>
  </r>
  <r>
    <n v="137"/>
    <x v="1"/>
    <x v="6"/>
    <x v="1"/>
    <x v="1"/>
    <n v="85.13513513513513"/>
    <n v="2022"/>
  </r>
  <r>
    <n v="133"/>
    <x v="2"/>
    <x v="6"/>
    <x v="1"/>
    <x v="1"/>
    <n v="56.470588235294116"/>
    <n v="2022"/>
  </r>
  <r>
    <n v="173"/>
    <x v="3"/>
    <x v="6"/>
    <x v="1"/>
    <x v="1"/>
    <n v="-15.609756097560975"/>
    <n v="2022"/>
  </r>
  <r>
    <n v="92"/>
    <x v="4"/>
    <x v="6"/>
    <x v="1"/>
    <x v="1"/>
    <n v="-6.1224489795918364"/>
    <n v="2022"/>
  </r>
  <r>
    <n v="109"/>
    <x v="5"/>
    <x v="6"/>
    <x v="1"/>
    <x v="1"/>
    <n v="-11.38211382113821"/>
    <n v="2022"/>
  </r>
  <r>
    <n v="119"/>
    <x v="6"/>
    <x v="6"/>
    <x v="1"/>
    <x v="1"/>
    <n v="1.7094017094017095"/>
    <n v="2022"/>
  </r>
  <r>
    <n v="71"/>
    <x v="7"/>
    <x v="6"/>
    <x v="1"/>
    <x v="1"/>
    <n v="173.07692307692309"/>
    <n v="2022"/>
  </r>
  <r>
    <n v="146"/>
    <x v="8"/>
    <x v="6"/>
    <x v="1"/>
    <x v="1"/>
    <n v="14.0625"/>
    <n v="2022"/>
  </r>
  <r>
    <n v="352"/>
    <x v="0"/>
    <x v="7"/>
    <x v="1"/>
    <x v="1"/>
    <n v="18.120805369127517"/>
    <n v="2022"/>
  </r>
  <r>
    <n v="34"/>
    <x v="1"/>
    <x v="7"/>
    <x v="1"/>
    <x v="1"/>
    <n v="78.94736842105263"/>
    <n v="2022"/>
  </r>
  <r>
    <n v="34"/>
    <x v="2"/>
    <x v="7"/>
    <x v="1"/>
    <x v="1"/>
    <n v="112.5"/>
    <n v="2022"/>
  </r>
  <r>
    <n v="48"/>
    <x v="3"/>
    <x v="7"/>
    <x v="1"/>
    <x v="1"/>
    <n v="-38.461538461538467"/>
    <n v="2022"/>
  </r>
  <r>
    <n v="19"/>
    <x v="4"/>
    <x v="7"/>
    <x v="1"/>
    <x v="1"/>
    <n v="18.75"/>
    <n v="2022"/>
  </r>
  <r>
    <n v="32"/>
    <x v="5"/>
    <x v="7"/>
    <x v="1"/>
    <x v="1"/>
    <n v="-34.693877551020407"/>
    <n v="2022"/>
  </r>
  <r>
    <n v="64"/>
    <x v="6"/>
    <x v="7"/>
    <x v="1"/>
    <x v="1"/>
    <n v="88.235294117647058"/>
    <n v="2022"/>
  </r>
  <r>
    <n v="22"/>
    <x v="7"/>
    <x v="7"/>
    <x v="1"/>
    <x v="1"/>
    <n v="450"/>
    <n v="2022"/>
  </r>
  <r>
    <n v="45"/>
    <x v="8"/>
    <x v="7"/>
    <x v="1"/>
    <x v="1"/>
    <n v="-10"/>
    <n v="2022"/>
  </r>
  <r>
    <n v="51"/>
    <x v="0"/>
    <x v="8"/>
    <x v="1"/>
    <x v="1"/>
    <n v="-35.443037974683541"/>
    <n v="2022"/>
  </r>
  <r>
    <n v="21"/>
    <x v="1"/>
    <x v="8"/>
    <x v="1"/>
    <x v="1"/>
    <n v="133.33333333333331"/>
    <n v="2022"/>
  </r>
  <r>
    <n v="10"/>
    <x v="2"/>
    <x v="8"/>
    <x v="1"/>
    <x v="1"/>
    <n v="-44.444444444444443"/>
    <n v="2022"/>
  </r>
  <r>
    <n v="7"/>
    <x v="3"/>
    <x v="8"/>
    <x v="1"/>
    <x v="1"/>
    <n v="-56.25"/>
    <n v="2022"/>
  </r>
  <r>
    <n v="9"/>
    <x v="4"/>
    <x v="8"/>
    <x v="1"/>
    <x v="1"/>
    <n v="0"/>
    <n v="2022"/>
  </r>
  <r>
    <n v="18"/>
    <x v="5"/>
    <x v="8"/>
    <x v="1"/>
    <x v="1"/>
    <n v="-30.76923076923077"/>
    <n v="2022"/>
  </r>
  <r>
    <n v="11"/>
    <x v="6"/>
    <x v="8"/>
    <x v="1"/>
    <x v="1"/>
    <n v="-75.555555555555557"/>
    <n v="2022"/>
  </r>
  <r>
    <n v="13"/>
    <x v="7"/>
    <x v="8"/>
    <x v="1"/>
    <x v="1"/>
    <n v="44.444444444444443"/>
    <n v="2022"/>
  </r>
  <r>
    <n v="17"/>
    <x v="8"/>
    <x v="8"/>
    <x v="1"/>
    <x v="1"/>
    <n v="-26.086956521739129"/>
    <n v="2022"/>
  </r>
  <r>
    <n v="15"/>
    <x v="0"/>
    <x v="9"/>
    <x v="1"/>
    <x v="1"/>
    <n v="275"/>
    <n v="2022"/>
  </r>
  <r>
    <n v="5"/>
    <x v="1"/>
    <x v="9"/>
    <x v="1"/>
    <x v="1"/>
    <n v="400"/>
    <n v="2022"/>
  </r>
  <r>
    <n v="7"/>
    <x v="2"/>
    <x v="9"/>
    <x v="1"/>
    <x v="1"/>
    <n v="7"/>
    <n v="2022"/>
  </r>
  <r>
    <n v="0"/>
    <x v="3"/>
    <x v="9"/>
    <x v="1"/>
    <x v="1"/>
    <n v="0"/>
    <n v="2022"/>
  </r>
  <r>
    <n v="0"/>
    <x v="4"/>
    <x v="9"/>
    <x v="1"/>
    <x v="1"/>
    <n v="-100"/>
    <n v="2022"/>
  </r>
  <r>
    <n v="0"/>
    <x v="5"/>
    <x v="9"/>
    <x v="1"/>
    <x v="1"/>
    <n v="0"/>
    <n v="2022"/>
  </r>
  <r>
    <n v="0"/>
    <x v="6"/>
    <x v="9"/>
    <x v="1"/>
    <x v="1"/>
    <n v="-100"/>
    <n v="2022"/>
  </r>
  <r>
    <n v="1"/>
    <x v="7"/>
    <x v="9"/>
    <x v="1"/>
    <x v="1"/>
    <n v="1"/>
    <n v="2022"/>
  </r>
  <r>
    <n v="0"/>
    <x v="8"/>
    <x v="9"/>
    <x v="1"/>
    <x v="1"/>
    <n v="-100"/>
    <n v="2022"/>
  </r>
  <r>
    <n v="1293"/>
    <x v="0"/>
    <x v="10"/>
    <x v="1"/>
    <x v="1"/>
    <n v="-8.0369843527738265"/>
    <n v="2022"/>
  </r>
  <r>
    <n v="336"/>
    <x v="1"/>
    <x v="10"/>
    <x v="1"/>
    <x v="1"/>
    <n v="16.262975778546711"/>
    <n v="2022"/>
  </r>
  <r>
    <n v="205"/>
    <x v="2"/>
    <x v="10"/>
    <x v="1"/>
    <x v="1"/>
    <n v="25"/>
    <n v="2022"/>
  </r>
  <r>
    <n v="265"/>
    <x v="3"/>
    <x v="10"/>
    <x v="1"/>
    <x v="1"/>
    <n v="-19.939577039274926"/>
    <n v="2022"/>
  </r>
  <r>
    <n v="239"/>
    <x v="4"/>
    <x v="10"/>
    <x v="1"/>
    <x v="1"/>
    <n v="-7.7220077220077217"/>
    <n v="2022"/>
  </r>
  <r>
    <n v="199"/>
    <x v="5"/>
    <x v="10"/>
    <x v="1"/>
    <x v="1"/>
    <n v="-11.946902654867257"/>
    <n v="2022"/>
  </r>
  <r>
    <n v="234"/>
    <x v="6"/>
    <x v="10"/>
    <x v="1"/>
    <x v="1"/>
    <n v="20"/>
    <n v="2022"/>
  </r>
  <r>
    <n v="121"/>
    <x v="7"/>
    <x v="10"/>
    <x v="1"/>
    <x v="1"/>
    <n v="278.125"/>
    <n v="2022"/>
  </r>
  <r>
    <n v="346"/>
    <x v="8"/>
    <x v="10"/>
    <x v="1"/>
    <x v="1"/>
    <n v="-8.7071240105540895"/>
    <n v="2022"/>
  </r>
  <r>
    <n v="539"/>
    <x v="0"/>
    <x v="11"/>
    <x v="1"/>
    <x v="1"/>
    <n v="35.087719298245609"/>
    <n v="2022"/>
  </r>
  <r>
    <n v="72"/>
    <x v="1"/>
    <x v="11"/>
    <x v="1"/>
    <x v="1"/>
    <n v="16.129032258064516"/>
    <n v="2022"/>
  </r>
  <r>
    <n v="81"/>
    <x v="2"/>
    <x v="11"/>
    <x v="1"/>
    <x v="1"/>
    <n v="-31.35593220338983"/>
    <n v="2022"/>
  </r>
  <r>
    <n v="40"/>
    <x v="3"/>
    <x v="11"/>
    <x v="1"/>
    <x v="1"/>
    <n v="-67.479674796747972"/>
    <n v="2022"/>
  </r>
  <r>
    <n v="98"/>
    <x v="4"/>
    <x v="11"/>
    <x v="1"/>
    <x v="1"/>
    <n v="88.461538461538453"/>
    <n v="2022"/>
  </r>
  <r>
    <n v="91"/>
    <x v="5"/>
    <x v="11"/>
    <x v="1"/>
    <x v="1"/>
    <n v="30"/>
    <n v="2022"/>
  </r>
  <r>
    <n v="56"/>
    <x v="6"/>
    <x v="11"/>
    <x v="1"/>
    <x v="1"/>
    <n v="93.103448275862064"/>
    <n v="2022"/>
  </r>
  <r>
    <n v="187"/>
    <x v="7"/>
    <x v="11"/>
    <x v="1"/>
    <x v="1"/>
    <n v="835"/>
    <n v="2022"/>
  </r>
  <r>
    <n v="148"/>
    <x v="8"/>
    <x v="11"/>
    <x v="1"/>
    <x v="1"/>
    <n v="89.743589743589752"/>
    <n v="2022"/>
  </r>
  <r>
    <n v="415"/>
    <x v="0"/>
    <x v="12"/>
    <x v="1"/>
    <x v="1"/>
    <n v="8.3550913838120113"/>
    <n v="2022"/>
  </r>
  <r>
    <n v="15"/>
    <x v="1"/>
    <x v="12"/>
    <x v="1"/>
    <x v="1"/>
    <n v="-91.666666666666657"/>
    <n v="2022"/>
  </r>
  <r>
    <n v="53"/>
    <x v="2"/>
    <x v="12"/>
    <x v="1"/>
    <x v="1"/>
    <n v="8.1632653061224492"/>
    <n v="2022"/>
  </r>
  <r>
    <n v="47"/>
    <x v="3"/>
    <x v="12"/>
    <x v="1"/>
    <x v="1"/>
    <n v="-22.950819672131146"/>
    <n v="2022"/>
  </r>
  <r>
    <n v="82"/>
    <x v="4"/>
    <x v="12"/>
    <x v="1"/>
    <x v="1"/>
    <n v="24.242424242424242"/>
    <n v="2022"/>
  </r>
  <r>
    <n v="32"/>
    <x v="5"/>
    <x v="12"/>
    <x v="1"/>
    <x v="1"/>
    <n v="-30.434782608695656"/>
    <n v="2022"/>
  </r>
  <r>
    <n v="74"/>
    <x v="6"/>
    <x v="12"/>
    <x v="1"/>
    <x v="1"/>
    <n v="208.33333333333334"/>
    <n v="2022"/>
  </r>
  <r>
    <n v="8"/>
    <x v="7"/>
    <x v="12"/>
    <x v="1"/>
    <x v="1"/>
    <n v="-38.461538461538467"/>
    <n v="2022"/>
  </r>
  <r>
    <n v="64"/>
    <x v="8"/>
    <x v="12"/>
    <x v="1"/>
    <x v="1"/>
    <n v="-27.27272727272727"/>
    <n v="2022"/>
  </r>
  <r>
    <n v="83"/>
    <x v="0"/>
    <x v="0"/>
    <x v="2"/>
    <x v="0"/>
    <n v="5.0632911392405067"/>
    <n v="2021"/>
  </r>
  <r>
    <n v="0"/>
    <x v="1"/>
    <x v="0"/>
    <x v="2"/>
    <x v="0"/>
    <n v="0"/>
    <n v="2021"/>
  </r>
  <r>
    <n v="8"/>
    <x v="2"/>
    <x v="0"/>
    <x v="2"/>
    <x v="0"/>
    <n v="0"/>
    <n v="2021"/>
  </r>
  <r>
    <n v="4"/>
    <x v="3"/>
    <x v="0"/>
    <x v="2"/>
    <x v="0"/>
    <n v="-55.555555555555557"/>
    <n v="2021"/>
  </r>
  <r>
    <n v="0"/>
    <x v="4"/>
    <x v="0"/>
    <x v="2"/>
    <x v="0"/>
    <n v="-100"/>
    <n v="2021"/>
  </r>
  <r>
    <n v="3"/>
    <x v="5"/>
    <x v="0"/>
    <x v="2"/>
    <x v="0"/>
    <n v="-25"/>
    <n v="2021"/>
  </r>
  <r>
    <n v="3"/>
    <x v="6"/>
    <x v="0"/>
    <x v="2"/>
    <x v="0"/>
    <n v="-50"/>
    <n v="2021"/>
  </r>
  <r>
    <n v="0"/>
    <x v="7"/>
    <x v="0"/>
    <x v="2"/>
    <x v="0"/>
    <n v="0"/>
    <n v="2021"/>
  </r>
  <r>
    <n v="1"/>
    <x v="8"/>
    <x v="0"/>
    <x v="2"/>
    <x v="0"/>
    <n v="-50"/>
    <n v="2021"/>
  </r>
  <r>
    <n v="47"/>
    <x v="0"/>
    <x v="1"/>
    <x v="2"/>
    <x v="0"/>
    <n v="20.512820512820511"/>
    <n v="2021"/>
  </r>
  <r>
    <n v="0"/>
    <x v="1"/>
    <x v="1"/>
    <x v="2"/>
    <x v="0"/>
    <n v="0"/>
    <n v="2021"/>
  </r>
  <r>
    <n v="1"/>
    <x v="2"/>
    <x v="1"/>
    <x v="2"/>
    <x v="0"/>
    <n v="-83.333333333333343"/>
    <n v="2021"/>
  </r>
  <r>
    <n v="2"/>
    <x v="3"/>
    <x v="1"/>
    <x v="2"/>
    <x v="0"/>
    <n v="-33.333333333333329"/>
    <n v="2021"/>
  </r>
  <r>
    <n v="0"/>
    <x v="4"/>
    <x v="1"/>
    <x v="2"/>
    <x v="0"/>
    <n v="0"/>
    <n v="2021"/>
  </r>
  <r>
    <n v="1"/>
    <x v="5"/>
    <x v="1"/>
    <x v="2"/>
    <x v="0"/>
    <n v="-75"/>
    <n v="2021"/>
  </r>
  <r>
    <n v="0"/>
    <x v="6"/>
    <x v="1"/>
    <x v="2"/>
    <x v="0"/>
    <n v="0"/>
    <n v="2021"/>
  </r>
  <r>
    <n v="0"/>
    <x v="7"/>
    <x v="1"/>
    <x v="2"/>
    <x v="0"/>
    <n v="0"/>
    <n v="2021"/>
  </r>
  <r>
    <n v="3"/>
    <x v="8"/>
    <x v="1"/>
    <x v="2"/>
    <x v="0"/>
    <n v="0"/>
    <n v="2021"/>
  </r>
  <r>
    <n v="17"/>
    <x v="0"/>
    <x v="2"/>
    <x v="2"/>
    <x v="0"/>
    <n v="54.54545454545454"/>
    <n v="2021"/>
  </r>
  <r>
    <n v="0"/>
    <x v="1"/>
    <x v="2"/>
    <x v="2"/>
    <x v="0"/>
    <n v="0"/>
    <n v="2021"/>
  </r>
  <r>
    <n v="4"/>
    <x v="2"/>
    <x v="2"/>
    <x v="2"/>
    <x v="0"/>
    <n v="4"/>
    <n v="2021"/>
  </r>
  <r>
    <n v="1"/>
    <x v="3"/>
    <x v="2"/>
    <x v="2"/>
    <x v="0"/>
    <n v="1"/>
    <n v="2021"/>
  </r>
  <r>
    <n v="1"/>
    <x v="4"/>
    <x v="2"/>
    <x v="2"/>
    <x v="0"/>
    <n v="1"/>
    <n v="2021"/>
  </r>
  <r>
    <n v="0"/>
    <x v="5"/>
    <x v="2"/>
    <x v="2"/>
    <x v="0"/>
    <n v="0"/>
    <n v="2021"/>
  </r>
  <r>
    <n v="0"/>
    <x v="6"/>
    <x v="2"/>
    <x v="2"/>
    <x v="0"/>
    <n v="0"/>
    <n v="2021"/>
  </r>
  <r>
    <n v="0"/>
    <x v="7"/>
    <x v="2"/>
    <x v="2"/>
    <x v="0"/>
    <n v="0"/>
    <n v="2021"/>
  </r>
  <r>
    <n v="0"/>
    <x v="8"/>
    <x v="2"/>
    <x v="2"/>
    <x v="0"/>
    <n v="-100"/>
    <n v="2021"/>
  </r>
  <r>
    <n v="18"/>
    <x v="0"/>
    <x v="3"/>
    <x v="2"/>
    <x v="0"/>
    <n v="157.14285714285714"/>
    <n v="2021"/>
  </r>
  <r>
    <n v="2"/>
    <x v="1"/>
    <x v="3"/>
    <x v="2"/>
    <x v="0"/>
    <n v="2"/>
    <n v="2021"/>
  </r>
  <r>
    <n v="4"/>
    <x v="2"/>
    <x v="3"/>
    <x v="2"/>
    <x v="0"/>
    <n v="100"/>
    <n v="2021"/>
  </r>
  <r>
    <n v="2"/>
    <x v="3"/>
    <x v="3"/>
    <x v="2"/>
    <x v="0"/>
    <n v="-33.333333333333329"/>
    <n v="2021"/>
  </r>
  <r>
    <n v="6"/>
    <x v="4"/>
    <x v="3"/>
    <x v="2"/>
    <x v="0"/>
    <n v="500"/>
    <n v="2021"/>
  </r>
  <r>
    <n v="3"/>
    <x v="5"/>
    <x v="3"/>
    <x v="2"/>
    <x v="0"/>
    <n v="50"/>
    <n v="2021"/>
  </r>
  <r>
    <n v="1"/>
    <x v="6"/>
    <x v="3"/>
    <x v="2"/>
    <x v="0"/>
    <n v="1"/>
    <n v="2021"/>
  </r>
  <r>
    <n v="4"/>
    <x v="7"/>
    <x v="3"/>
    <x v="2"/>
    <x v="0"/>
    <n v="100"/>
    <n v="2021"/>
  </r>
  <r>
    <n v="6"/>
    <x v="8"/>
    <x v="3"/>
    <x v="2"/>
    <x v="0"/>
    <n v="100"/>
    <n v="2021"/>
  </r>
  <r>
    <n v="3"/>
    <x v="0"/>
    <x v="4"/>
    <x v="2"/>
    <x v="0"/>
    <n v="50"/>
    <n v="2021"/>
  </r>
  <r>
    <n v="0"/>
    <x v="1"/>
    <x v="4"/>
    <x v="2"/>
    <x v="0"/>
    <n v="-100"/>
    <n v="2021"/>
  </r>
  <r>
    <n v="1"/>
    <x v="2"/>
    <x v="4"/>
    <x v="2"/>
    <x v="0"/>
    <n v="1"/>
    <n v="2021"/>
  </r>
  <r>
    <n v="0"/>
    <x v="3"/>
    <x v="4"/>
    <x v="2"/>
    <x v="0"/>
    <n v="0"/>
    <n v="2021"/>
  </r>
  <r>
    <n v="0"/>
    <x v="4"/>
    <x v="4"/>
    <x v="2"/>
    <x v="0"/>
    <n v="0"/>
    <n v="2021"/>
  </r>
  <r>
    <n v="0"/>
    <x v="5"/>
    <x v="4"/>
    <x v="2"/>
    <x v="0"/>
    <n v="0"/>
    <n v="2021"/>
  </r>
  <r>
    <n v="0"/>
    <x v="6"/>
    <x v="4"/>
    <x v="2"/>
    <x v="0"/>
    <n v="-100"/>
    <n v="2021"/>
  </r>
  <r>
    <n v="0"/>
    <x v="7"/>
    <x v="4"/>
    <x v="2"/>
    <x v="0"/>
    <n v="0"/>
    <n v="2021"/>
  </r>
  <r>
    <n v="0"/>
    <x v="8"/>
    <x v="4"/>
    <x v="2"/>
    <x v="0"/>
    <n v="0"/>
    <n v="2021"/>
  </r>
  <r>
    <n v="7"/>
    <x v="0"/>
    <x v="5"/>
    <x v="2"/>
    <x v="0"/>
    <n v="0"/>
    <n v="2021"/>
  </r>
  <r>
    <n v="1"/>
    <x v="1"/>
    <x v="5"/>
    <x v="2"/>
    <x v="0"/>
    <n v="1"/>
    <n v="2021"/>
  </r>
  <r>
    <n v="0"/>
    <x v="2"/>
    <x v="5"/>
    <x v="2"/>
    <x v="0"/>
    <n v="0"/>
    <n v="2021"/>
  </r>
  <r>
    <n v="0"/>
    <x v="3"/>
    <x v="5"/>
    <x v="2"/>
    <x v="0"/>
    <n v="-100"/>
    <n v="2021"/>
  </r>
  <r>
    <n v="0"/>
    <x v="4"/>
    <x v="5"/>
    <x v="2"/>
    <x v="0"/>
    <n v="0"/>
    <n v="2021"/>
  </r>
  <r>
    <n v="0"/>
    <x v="5"/>
    <x v="5"/>
    <x v="2"/>
    <x v="0"/>
    <n v="0"/>
    <n v="2021"/>
  </r>
  <r>
    <n v="0"/>
    <x v="6"/>
    <x v="5"/>
    <x v="2"/>
    <x v="0"/>
    <n v="0"/>
    <n v="2021"/>
  </r>
  <r>
    <n v="1"/>
    <x v="7"/>
    <x v="5"/>
    <x v="2"/>
    <x v="0"/>
    <n v="1"/>
    <n v="2021"/>
  </r>
  <r>
    <n v="0"/>
    <x v="8"/>
    <x v="5"/>
    <x v="2"/>
    <x v="0"/>
    <n v="0"/>
    <n v="2021"/>
  </r>
  <r>
    <n v="845"/>
    <x v="0"/>
    <x v="6"/>
    <x v="2"/>
    <x v="1"/>
    <n v="8.7516087516087513"/>
    <n v="2021"/>
  </r>
  <r>
    <n v="74"/>
    <x v="1"/>
    <x v="6"/>
    <x v="2"/>
    <x v="1"/>
    <n v="-6.3291139240506329"/>
    <n v="2021"/>
  </r>
  <r>
    <n v="85"/>
    <x v="2"/>
    <x v="6"/>
    <x v="2"/>
    <x v="1"/>
    <n v="-29.75206611570248"/>
    <n v="2021"/>
  </r>
  <r>
    <n v="205"/>
    <x v="3"/>
    <x v="6"/>
    <x v="2"/>
    <x v="1"/>
    <n v="58.914728682170548"/>
    <n v="2021"/>
  </r>
  <r>
    <n v="98"/>
    <x v="4"/>
    <x v="6"/>
    <x v="2"/>
    <x v="1"/>
    <n v="-4.8543689320388346"/>
    <n v="2021"/>
  </r>
  <r>
    <n v="123"/>
    <x v="5"/>
    <x v="6"/>
    <x v="2"/>
    <x v="1"/>
    <n v="-40.291262135922331"/>
    <n v="2021"/>
  </r>
  <r>
    <n v="117"/>
    <x v="6"/>
    <x v="6"/>
    <x v="2"/>
    <x v="1"/>
    <n v="0"/>
    <n v="2021"/>
  </r>
  <r>
    <n v="26"/>
    <x v="7"/>
    <x v="6"/>
    <x v="2"/>
    <x v="1"/>
    <n v="-18.75"/>
    <n v="2021"/>
  </r>
  <r>
    <n v="128"/>
    <x v="8"/>
    <x v="6"/>
    <x v="2"/>
    <x v="1"/>
    <n v="-46.88796680497925"/>
    <n v="2021"/>
  </r>
  <r>
    <n v="298"/>
    <x v="0"/>
    <x v="7"/>
    <x v="2"/>
    <x v="1"/>
    <n v="41.232227488151658"/>
    <n v="2021"/>
  </r>
  <r>
    <n v="19"/>
    <x v="1"/>
    <x v="7"/>
    <x v="2"/>
    <x v="1"/>
    <n v="90"/>
    <n v="2021"/>
  </r>
  <r>
    <n v="16"/>
    <x v="2"/>
    <x v="7"/>
    <x v="2"/>
    <x v="1"/>
    <n v="-27.27272727272727"/>
    <n v="2021"/>
  </r>
  <r>
    <n v="78"/>
    <x v="3"/>
    <x v="7"/>
    <x v="2"/>
    <x v="1"/>
    <n v="310.5263157894737"/>
    <n v="2021"/>
  </r>
  <r>
    <n v="16"/>
    <x v="4"/>
    <x v="7"/>
    <x v="2"/>
    <x v="1"/>
    <n v="-15.789473684210526"/>
    <n v="2021"/>
  </r>
  <r>
    <n v="49"/>
    <x v="5"/>
    <x v="7"/>
    <x v="2"/>
    <x v="1"/>
    <n v="345.45454545454544"/>
    <n v="2021"/>
  </r>
  <r>
    <n v="34"/>
    <x v="6"/>
    <x v="7"/>
    <x v="2"/>
    <x v="1"/>
    <n v="-26.086956521739129"/>
    <n v="2021"/>
  </r>
  <r>
    <n v="4"/>
    <x v="7"/>
    <x v="7"/>
    <x v="2"/>
    <x v="1"/>
    <n v="300"/>
    <n v="2021"/>
  </r>
  <r>
    <n v="50"/>
    <x v="8"/>
    <x v="7"/>
    <x v="2"/>
    <x v="1"/>
    <n v="-26.47058823529412"/>
    <n v="2021"/>
  </r>
  <r>
    <n v="79"/>
    <x v="0"/>
    <x v="8"/>
    <x v="2"/>
    <x v="1"/>
    <n v="68.085106382978722"/>
    <n v="2021"/>
  </r>
  <r>
    <n v="9"/>
    <x v="1"/>
    <x v="8"/>
    <x v="2"/>
    <x v="1"/>
    <n v="-43.75"/>
    <n v="2021"/>
  </r>
  <r>
    <n v="18"/>
    <x v="2"/>
    <x v="8"/>
    <x v="2"/>
    <x v="1"/>
    <n v="-5.2631578947368416"/>
    <n v="2021"/>
  </r>
  <r>
    <n v="16"/>
    <x v="3"/>
    <x v="8"/>
    <x v="2"/>
    <x v="1"/>
    <n v="77.777777777777786"/>
    <n v="2021"/>
  </r>
  <r>
    <n v="9"/>
    <x v="4"/>
    <x v="8"/>
    <x v="2"/>
    <x v="1"/>
    <n v="12.5"/>
    <n v="2021"/>
  </r>
  <r>
    <n v="26"/>
    <x v="5"/>
    <x v="8"/>
    <x v="2"/>
    <x v="1"/>
    <n v="-36.585365853658537"/>
    <n v="2021"/>
  </r>
  <r>
    <n v="45"/>
    <x v="6"/>
    <x v="8"/>
    <x v="2"/>
    <x v="1"/>
    <n v="462.5"/>
    <n v="2021"/>
  </r>
  <r>
    <n v="9"/>
    <x v="7"/>
    <x v="8"/>
    <x v="2"/>
    <x v="1"/>
    <n v="50"/>
    <n v="2021"/>
  </r>
  <r>
    <n v="23"/>
    <x v="8"/>
    <x v="8"/>
    <x v="2"/>
    <x v="1"/>
    <n v="15"/>
    <n v="2021"/>
  </r>
  <r>
    <n v="4"/>
    <x v="0"/>
    <x v="9"/>
    <x v="2"/>
    <x v="1"/>
    <n v="-63.636363636363633"/>
    <n v="2021"/>
  </r>
  <r>
    <n v="1"/>
    <x v="1"/>
    <x v="9"/>
    <x v="2"/>
    <x v="1"/>
    <n v="1"/>
    <n v="2021"/>
  </r>
  <r>
    <n v="0"/>
    <x v="2"/>
    <x v="9"/>
    <x v="2"/>
    <x v="1"/>
    <n v="0"/>
    <n v="2021"/>
  </r>
  <r>
    <n v="0"/>
    <x v="3"/>
    <x v="9"/>
    <x v="2"/>
    <x v="1"/>
    <n v="-100"/>
    <n v="2021"/>
  </r>
  <r>
    <n v="1"/>
    <x v="4"/>
    <x v="9"/>
    <x v="2"/>
    <x v="1"/>
    <n v="0"/>
    <n v="2021"/>
  </r>
  <r>
    <n v="0"/>
    <x v="5"/>
    <x v="9"/>
    <x v="2"/>
    <x v="1"/>
    <n v="-100"/>
    <n v="2021"/>
  </r>
  <r>
    <n v="4"/>
    <x v="6"/>
    <x v="9"/>
    <x v="2"/>
    <x v="1"/>
    <n v="-78.94736842105263"/>
    <n v="2021"/>
  </r>
  <r>
    <n v="0"/>
    <x v="7"/>
    <x v="9"/>
    <x v="2"/>
    <x v="1"/>
    <n v="0"/>
    <n v="2021"/>
  </r>
  <r>
    <n v="5"/>
    <x v="8"/>
    <x v="9"/>
    <x v="2"/>
    <x v="1"/>
    <n v="25"/>
    <n v="2021"/>
  </r>
  <r>
    <n v="1406"/>
    <x v="0"/>
    <x v="10"/>
    <x v="2"/>
    <x v="1"/>
    <n v="8.4040092521202769"/>
    <n v="2021"/>
  </r>
  <r>
    <n v="289"/>
    <x v="1"/>
    <x v="10"/>
    <x v="2"/>
    <x v="1"/>
    <n v="22.457627118644069"/>
    <n v="2021"/>
  </r>
  <r>
    <n v="164"/>
    <x v="2"/>
    <x v="10"/>
    <x v="2"/>
    <x v="1"/>
    <n v="-3.5294117647058822"/>
    <n v="2021"/>
  </r>
  <r>
    <n v="331"/>
    <x v="3"/>
    <x v="10"/>
    <x v="2"/>
    <x v="1"/>
    <n v="14.930555555555555"/>
    <n v="2021"/>
  </r>
  <r>
    <n v="259"/>
    <x v="4"/>
    <x v="10"/>
    <x v="2"/>
    <x v="1"/>
    <n v="49.710982658959537"/>
    <n v="2021"/>
  </r>
  <r>
    <n v="226"/>
    <x v="5"/>
    <x v="10"/>
    <x v="2"/>
    <x v="1"/>
    <n v="-10.317460317460316"/>
    <n v="2021"/>
  </r>
  <r>
    <n v="195"/>
    <x v="6"/>
    <x v="10"/>
    <x v="2"/>
    <x v="1"/>
    <n v="3.7234042553191489"/>
    <n v="2021"/>
  </r>
  <r>
    <n v="32"/>
    <x v="7"/>
    <x v="10"/>
    <x v="2"/>
    <x v="1"/>
    <n v="-42.857142857142854"/>
    <n v="2021"/>
  </r>
  <r>
    <n v="379"/>
    <x v="8"/>
    <x v="10"/>
    <x v="2"/>
    <x v="1"/>
    <n v="31.141868512110726"/>
    <n v="2021"/>
  </r>
  <r>
    <n v="399"/>
    <x v="0"/>
    <x v="11"/>
    <x v="2"/>
    <x v="1"/>
    <n v="-10.337078651685392"/>
    <n v="2021"/>
  </r>
  <r>
    <n v="62"/>
    <x v="1"/>
    <x v="11"/>
    <x v="2"/>
    <x v="1"/>
    <n v="40.909090909090914"/>
    <n v="2021"/>
  </r>
  <r>
    <n v="118"/>
    <x v="2"/>
    <x v="11"/>
    <x v="2"/>
    <x v="1"/>
    <n v="114.54545454545455"/>
    <n v="2021"/>
  </r>
  <r>
    <n v="123"/>
    <x v="3"/>
    <x v="11"/>
    <x v="2"/>
    <x v="1"/>
    <n v="-6.8181818181818175"/>
    <n v="2021"/>
  </r>
  <r>
    <n v="52"/>
    <x v="4"/>
    <x v="11"/>
    <x v="2"/>
    <x v="1"/>
    <n v="-1.8867924528301887"/>
    <n v="2021"/>
  </r>
  <r>
    <n v="70"/>
    <x v="5"/>
    <x v="11"/>
    <x v="2"/>
    <x v="1"/>
    <n v="-50.354609929078009"/>
    <n v="2021"/>
  </r>
  <r>
    <n v="29"/>
    <x v="6"/>
    <x v="11"/>
    <x v="2"/>
    <x v="1"/>
    <n v="-49.122807017543856"/>
    <n v="2021"/>
  </r>
  <r>
    <n v="20"/>
    <x v="7"/>
    <x v="11"/>
    <x v="2"/>
    <x v="1"/>
    <n v="-58.333333333333336"/>
    <n v="2021"/>
  </r>
  <r>
    <n v="78"/>
    <x v="8"/>
    <x v="11"/>
    <x v="2"/>
    <x v="1"/>
    <n v="-52.147239263803677"/>
    <n v="2021"/>
  </r>
  <r>
    <n v="383"/>
    <x v="0"/>
    <x v="12"/>
    <x v="2"/>
    <x v="1"/>
    <n v="-26.061776061776058"/>
    <n v="2021"/>
  </r>
  <r>
    <n v="180"/>
    <x v="1"/>
    <x v="12"/>
    <x v="2"/>
    <x v="1"/>
    <n v="847.36842105263145"/>
    <n v="2021"/>
  </r>
  <r>
    <n v="49"/>
    <x v="2"/>
    <x v="12"/>
    <x v="2"/>
    <x v="1"/>
    <n v="145"/>
    <n v="2021"/>
  </r>
  <r>
    <n v="61"/>
    <x v="3"/>
    <x v="12"/>
    <x v="2"/>
    <x v="1"/>
    <n v="90.625"/>
    <n v="2021"/>
  </r>
  <r>
    <n v="66"/>
    <x v="4"/>
    <x v="12"/>
    <x v="2"/>
    <x v="1"/>
    <n v="22.222222222222221"/>
    <n v="2021"/>
  </r>
  <r>
    <n v="46"/>
    <x v="5"/>
    <x v="12"/>
    <x v="2"/>
    <x v="1"/>
    <n v="9.5238095238095237"/>
    <n v="2021"/>
  </r>
  <r>
    <n v="24"/>
    <x v="6"/>
    <x v="12"/>
    <x v="2"/>
    <x v="1"/>
    <n v="-27.27272727272727"/>
    <n v="2021"/>
  </r>
  <r>
    <n v="13"/>
    <x v="7"/>
    <x v="12"/>
    <x v="2"/>
    <x v="1"/>
    <n v="-72.340425531914903"/>
    <n v="2021"/>
  </r>
  <r>
    <n v="88"/>
    <x v="8"/>
    <x v="12"/>
    <x v="2"/>
    <x v="1"/>
    <n v="225.9259259259259"/>
    <n v="2021"/>
  </r>
  <r>
    <n v="79"/>
    <x v="0"/>
    <x v="0"/>
    <x v="3"/>
    <x v="0"/>
    <n v="-8.1395348837209305"/>
    <n v="2020"/>
  </r>
  <r>
    <n v="0"/>
    <x v="1"/>
    <x v="0"/>
    <x v="3"/>
    <x v="0"/>
    <n v="0"/>
    <n v="2020"/>
  </r>
  <r>
    <n v="8"/>
    <x v="2"/>
    <x v="0"/>
    <x v="3"/>
    <x v="0"/>
    <n v="0"/>
    <n v="2020"/>
  </r>
  <r>
    <n v="9"/>
    <x v="3"/>
    <x v="0"/>
    <x v="3"/>
    <x v="0"/>
    <n v="350"/>
    <n v="2020"/>
  </r>
  <r>
    <n v="3"/>
    <x v="4"/>
    <x v="0"/>
    <x v="3"/>
    <x v="0"/>
    <n v="50"/>
    <n v="2020"/>
  </r>
  <r>
    <n v="4"/>
    <x v="5"/>
    <x v="0"/>
    <x v="3"/>
    <x v="0"/>
    <n v="100"/>
    <n v="2020"/>
  </r>
  <r>
    <n v="6"/>
    <x v="6"/>
    <x v="0"/>
    <x v="3"/>
    <x v="0"/>
    <n v="6"/>
    <n v="2020"/>
  </r>
  <r>
    <n v="0"/>
    <x v="7"/>
    <x v="0"/>
    <x v="3"/>
    <x v="0"/>
    <n v="-100"/>
    <n v="2020"/>
  </r>
  <r>
    <n v="2"/>
    <x v="8"/>
    <x v="0"/>
    <x v="3"/>
    <x v="0"/>
    <n v="100"/>
    <n v="2020"/>
  </r>
  <r>
    <n v="39"/>
    <x v="0"/>
    <x v="1"/>
    <x v="3"/>
    <x v="0"/>
    <n v="-9.3023255813953494"/>
    <n v="2020"/>
  </r>
  <r>
    <n v="0"/>
    <x v="1"/>
    <x v="1"/>
    <x v="3"/>
    <x v="0"/>
    <n v="0"/>
    <n v="2020"/>
  </r>
  <r>
    <n v="6"/>
    <x v="2"/>
    <x v="1"/>
    <x v="3"/>
    <x v="0"/>
    <n v="6"/>
    <n v="2020"/>
  </r>
  <r>
    <n v="3"/>
    <x v="3"/>
    <x v="1"/>
    <x v="3"/>
    <x v="0"/>
    <n v="50"/>
    <n v="2020"/>
  </r>
  <r>
    <n v="0"/>
    <x v="4"/>
    <x v="1"/>
    <x v="3"/>
    <x v="0"/>
    <n v="-100"/>
    <n v="2020"/>
  </r>
  <r>
    <n v="4"/>
    <x v="5"/>
    <x v="1"/>
    <x v="3"/>
    <x v="0"/>
    <n v="33.333333333333329"/>
    <n v="2020"/>
  </r>
  <r>
    <n v="0"/>
    <x v="6"/>
    <x v="1"/>
    <x v="3"/>
    <x v="0"/>
    <n v="0"/>
    <n v="2020"/>
  </r>
  <r>
    <n v="0"/>
    <x v="7"/>
    <x v="1"/>
    <x v="3"/>
    <x v="0"/>
    <n v="-100"/>
    <n v="2020"/>
  </r>
  <r>
    <n v="3"/>
    <x v="8"/>
    <x v="1"/>
    <x v="3"/>
    <x v="0"/>
    <n v="3"/>
    <n v="2020"/>
  </r>
  <r>
    <n v="11"/>
    <x v="0"/>
    <x v="2"/>
    <x v="3"/>
    <x v="0"/>
    <n v="-54.166666666666664"/>
    <n v="2020"/>
  </r>
  <r>
    <n v="0"/>
    <x v="1"/>
    <x v="2"/>
    <x v="3"/>
    <x v="0"/>
    <n v="0"/>
    <n v="2020"/>
  </r>
  <r>
    <n v="0"/>
    <x v="2"/>
    <x v="2"/>
    <x v="3"/>
    <x v="0"/>
    <n v="0"/>
    <n v="2020"/>
  </r>
  <r>
    <n v="0"/>
    <x v="3"/>
    <x v="2"/>
    <x v="3"/>
    <x v="0"/>
    <n v="0"/>
    <n v="2020"/>
  </r>
  <r>
    <n v="0"/>
    <x v="4"/>
    <x v="2"/>
    <x v="3"/>
    <x v="0"/>
    <n v="0"/>
    <n v="2020"/>
  </r>
  <r>
    <n v="0"/>
    <x v="5"/>
    <x v="2"/>
    <x v="3"/>
    <x v="0"/>
    <n v="-100"/>
    <n v="2020"/>
  </r>
  <r>
    <n v="0"/>
    <x v="6"/>
    <x v="2"/>
    <x v="3"/>
    <x v="0"/>
    <n v="0"/>
    <n v="2020"/>
  </r>
  <r>
    <n v="0"/>
    <x v="7"/>
    <x v="2"/>
    <x v="3"/>
    <x v="0"/>
    <n v="0"/>
    <n v="2020"/>
  </r>
  <r>
    <n v="2"/>
    <x v="8"/>
    <x v="2"/>
    <x v="3"/>
    <x v="0"/>
    <n v="2"/>
    <n v="2020"/>
  </r>
  <r>
    <n v="7"/>
    <x v="0"/>
    <x v="3"/>
    <x v="3"/>
    <x v="0"/>
    <n v="-66.666666666666657"/>
    <n v="2020"/>
  </r>
  <r>
    <n v="0"/>
    <x v="1"/>
    <x v="3"/>
    <x v="3"/>
    <x v="0"/>
    <n v="-100"/>
    <n v="2020"/>
  </r>
  <r>
    <n v="2"/>
    <x v="2"/>
    <x v="3"/>
    <x v="3"/>
    <x v="0"/>
    <n v="-50"/>
    <n v="2020"/>
  </r>
  <r>
    <n v="3"/>
    <x v="3"/>
    <x v="3"/>
    <x v="3"/>
    <x v="0"/>
    <n v="50"/>
    <n v="2020"/>
  </r>
  <r>
    <n v="1"/>
    <x v="4"/>
    <x v="3"/>
    <x v="3"/>
    <x v="0"/>
    <n v="-87.5"/>
    <n v="2020"/>
  </r>
  <r>
    <n v="2"/>
    <x v="5"/>
    <x v="3"/>
    <x v="3"/>
    <x v="0"/>
    <n v="0"/>
    <n v="2020"/>
  </r>
  <r>
    <n v="0"/>
    <x v="6"/>
    <x v="3"/>
    <x v="3"/>
    <x v="0"/>
    <n v="-100"/>
    <n v="2020"/>
  </r>
  <r>
    <n v="2"/>
    <x v="7"/>
    <x v="3"/>
    <x v="3"/>
    <x v="0"/>
    <n v="0"/>
    <n v="2020"/>
  </r>
  <r>
    <n v="3"/>
    <x v="8"/>
    <x v="3"/>
    <x v="3"/>
    <x v="0"/>
    <n v="-25"/>
    <n v="2020"/>
  </r>
  <r>
    <n v="2"/>
    <x v="0"/>
    <x v="4"/>
    <x v="3"/>
    <x v="0"/>
    <n v="2"/>
    <n v="2020"/>
  </r>
  <r>
    <n v="2"/>
    <x v="1"/>
    <x v="4"/>
    <x v="3"/>
    <x v="0"/>
    <n v="100"/>
    <n v="2020"/>
  </r>
  <r>
    <n v="0"/>
    <x v="2"/>
    <x v="4"/>
    <x v="3"/>
    <x v="0"/>
    <n v="0"/>
    <n v="2020"/>
  </r>
  <r>
    <n v="0"/>
    <x v="3"/>
    <x v="4"/>
    <x v="3"/>
    <x v="0"/>
    <n v="0"/>
    <n v="2020"/>
  </r>
  <r>
    <n v="0"/>
    <x v="4"/>
    <x v="4"/>
    <x v="3"/>
    <x v="0"/>
    <n v="0"/>
    <n v="2020"/>
  </r>
  <r>
    <n v="0"/>
    <x v="5"/>
    <x v="4"/>
    <x v="3"/>
    <x v="0"/>
    <n v="0"/>
    <n v="2020"/>
  </r>
  <r>
    <n v="1"/>
    <x v="6"/>
    <x v="4"/>
    <x v="3"/>
    <x v="0"/>
    <n v="0"/>
    <n v="2020"/>
  </r>
  <r>
    <n v="0"/>
    <x v="7"/>
    <x v="4"/>
    <x v="3"/>
    <x v="0"/>
    <n v="0"/>
    <n v="2020"/>
  </r>
  <r>
    <n v="0"/>
    <x v="8"/>
    <x v="4"/>
    <x v="3"/>
    <x v="0"/>
    <n v="0"/>
    <n v="2020"/>
  </r>
  <r>
    <n v="7"/>
    <x v="0"/>
    <x v="5"/>
    <x v="3"/>
    <x v="0"/>
    <n v="-61.111111111111114"/>
    <n v="2020"/>
  </r>
  <r>
    <n v="0"/>
    <x v="1"/>
    <x v="5"/>
    <x v="3"/>
    <x v="0"/>
    <n v="0"/>
    <n v="2020"/>
  </r>
  <r>
    <n v="0"/>
    <x v="2"/>
    <x v="5"/>
    <x v="3"/>
    <x v="0"/>
    <n v="0"/>
    <n v="2020"/>
  </r>
  <r>
    <n v="1"/>
    <x v="3"/>
    <x v="5"/>
    <x v="3"/>
    <x v="0"/>
    <n v="1"/>
    <n v="2020"/>
  </r>
  <r>
    <n v="0"/>
    <x v="4"/>
    <x v="5"/>
    <x v="3"/>
    <x v="0"/>
    <n v="0"/>
    <n v="2020"/>
  </r>
  <r>
    <n v="0"/>
    <x v="5"/>
    <x v="5"/>
    <x v="3"/>
    <x v="0"/>
    <n v="0"/>
    <n v="2020"/>
  </r>
  <r>
    <n v="0"/>
    <x v="6"/>
    <x v="5"/>
    <x v="3"/>
    <x v="0"/>
    <n v="0"/>
    <n v="2020"/>
  </r>
  <r>
    <n v="0"/>
    <x v="7"/>
    <x v="5"/>
    <x v="3"/>
    <x v="0"/>
    <n v="0"/>
    <n v="2020"/>
  </r>
  <r>
    <n v="0"/>
    <x v="8"/>
    <x v="5"/>
    <x v="3"/>
    <x v="0"/>
    <n v="0"/>
    <n v="2020"/>
  </r>
  <r>
    <n v="777"/>
    <x v="0"/>
    <x v="6"/>
    <x v="3"/>
    <x v="1"/>
    <n v="-20.225872689938399"/>
    <n v="2020"/>
  </r>
  <r>
    <n v="79"/>
    <x v="1"/>
    <x v="6"/>
    <x v="3"/>
    <x v="1"/>
    <n v="-17.708333333333336"/>
    <n v="2020"/>
  </r>
  <r>
    <n v="121"/>
    <x v="2"/>
    <x v="6"/>
    <x v="3"/>
    <x v="1"/>
    <n v="8.0357142857142865"/>
    <n v="2020"/>
  </r>
  <r>
    <n v="129"/>
    <x v="3"/>
    <x v="6"/>
    <x v="3"/>
    <x v="1"/>
    <n v="44.943820224719097"/>
    <n v="2020"/>
  </r>
  <r>
    <n v="103"/>
    <x v="4"/>
    <x v="6"/>
    <x v="3"/>
    <x v="1"/>
    <n v="128.88888888888889"/>
    <n v="2020"/>
  </r>
  <r>
    <n v="206"/>
    <x v="5"/>
    <x v="6"/>
    <x v="3"/>
    <x v="1"/>
    <n v="98.076923076923066"/>
    <n v="2020"/>
  </r>
  <r>
    <n v="117"/>
    <x v="6"/>
    <x v="6"/>
    <x v="3"/>
    <x v="1"/>
    <n v="88.709677419354833"/>
    <n v="2020"/>
  </r>
  <r>
    <n v="32"/>
    <x v="7"/>
    <x v="6"/>
    <x v="3"/>
    <x v="1"/>
    <n v="-3.0303030303030303"/>
    <n v="2020"/>
  </r>
  <r>
    <n v="241"/>
    <x v="8"/>
    <x v="6"/>
    <x v="3"/>
    <x v="1"/>
    <n v="141"/>
    <n v="2020"/>
  </r>
  <r>
    <n v="211"/>
    <x v="0"/>
    <x v="7"/>
    <x v="3"/>
    <x v="1"/>
    <n v="-32.802547770700635"/>
    <n v="2020"/>
  </r>
  <r>
    <n v="10"/>
    <x v="1"/>
    <x v="7"/>
    <x v="3"/>
    <x v="1"/>
    <n v="-56.521739130434781"/>
    <n v="2020"/>
  </r>
  <r>
    <n v="22"/>
    <x v="2"/>
    <x v="7"/>
    <x v="3"/>
    <x v="1"/>
    <n v="-21.428571428571427"/>
    <n v="2020"/>
  </r>
  <r>
    <n v="19"/>
    <x v="3"/>
    <x v="7"/>
    <x v="3"/>
    <x v="1"/>
    <n v="26.666666666666668"/>
    <n v="2020"/>
  </r>
  <r>
    <n v="19"/>
    <x v="4"/>
    <x v="7"/>
    <x v="3"/>
    <x v="1"/>
    <n v="5.5555555555555554"/>
    <n v="2020"/>
  </r>
  <r>
    <n v="11"/>
    <x v="5"/>
    <x v="7"/>
    <x v="3"/>
    <x v="1"/>
    <n v="-42.105263157894733"/>
    <n v="2020"/>
  </r>
  <r>
    <n v="46"/>
    <x v="6"/>
    <x v="7"/>
    <x v="3"/>
    <x v="1"/>
    <n v="-4.1666666666666661"/>
    <n v="2020"/>
  </r>
  <r>
    <n v="1"/>
    <x v="7"/>
    <x v="7"/>
    <x v="3"/>
    <x v="1"/>
    <n v="-92.307692307692307"/>
    <n v="2020"/>
  </r>
  <r>
    <n v="68"/>
    <x v="8"/>
    <x v="7"/>
    <x v="3"/>
    <x v="1"/>
    <n v="94.285714285714278"/>
    <n v="2020"/>
  </r>
  <r>
    <n v="47"/>
    <x v="0"/>
    <x v="8"/>
    <x v="3"/>
    <x v="1"/>
    <n v="-35.61643835616438"/>
    <n v="2020"/>
  </r>
  <r>
    <n v="16"/>
    <x v="1"/>
    <x v="8"/>
    <x v="3"/>
    <x v="1"/>
    <n v="166.66666666666669"/>
    <n v="2020"/>
  </r>
  <r>
    <n v="19"/>
    <x v="2"/>
    <x v="8"/>
    <x v="3"/>
    <x v="1"/>
    <n v="216.66666666666666"/>
    <n v="2020"/>
  </r>
  <r>
    <n v="9"/>
    <x v="3"/>
    <x v="8"/>
    <x v="3"/>
    <x v="1"/>
    <n v="-18.181818181818183"/>
    <n v="2020"/>
  </r>
  <r>
    <n v="8"/>
    <x v="4"/>
    <x v="8"/>
    <x v="3"/>
    <x v="1"/>
    <n v="-52.941176470588239"/>
    <n v="2020"/>
  </r>
  <r>
    <n v="41"/>
    <x v="5"/>
    <x v="8"/>
    <x v="3"/>
    <x v="1"/>
    <n v="41.379310344827587"/>
    <n v="2020"/>
  </r>
  <r>
    <n v="8"/>
    <x v="6"/>
    <x v="8"/>
    <x v="3"/>
    <x v="1"/>
    <n v="0"/>
    <n v="2020"/>
  </r>
  <r>
    <n v="6"/>
    <x v="7"/>
    <x v="8"/>
    <x v="3"/>
    <x v="1"/>
    <n v="-14.285714285714285"/>
    <n v="2020"/>
  </r>
  <r>
    <n v="20"/>
    <x v="8"/>
    <x v="8"/>
    <x v="3"/>
    <x v="1"/>
    <n v="-28.571428571428569"/>
    <n v="2020"/>
  </r>
  <r>
    <n v="11"/>
    <x v="0"/>
    <x v="9"/>
    <x v="3"/>
    <x v="1"/>
    <n v="-21.428571428571427"/>
    <n v="2020"/>
  </r>
  <r>
    <n v="0"/>
    <x v="1"/>
    <x v="9"/>
    <x v="3"/>
    <x v="1"/>
    <n v="-100"/>
    <n v="2020"/>
  </r>
  <r>
    <n v="0"/>
    <x v="2"/>
    <x v="9"/>
    <x v="3"/>
    <x v="1"/>
    <n v="0"/>
    <n v="2020"/>
  </r>
  <r>
    <n v="1"/>
    <x v="3"/>
    <x v="9"/>
    <x v="3"/>
    <x v="1"/>
    <n v="1"/>
    <n v="2020"/>
  </r>
  <r>
    <n v="1"/>
    <x v="4"/>
    <x v="9"/>
    <x v="3"/>
    <x v="1"/>
    <n v="-50"/>
    <n v="2020"/>
  </r>
  <r>
    <n v="1"/>
    <x v="5"/>
    <x v="9"/>
    <x v="3"/>
    <x v="1"/>
    <n v="0"/>
    <n v="2020"/>
  </r>
  <r>
    <n v="19"/>
    <x v="6"/>
    <x v="9"/>
    <x v="3"/>
    <x v="1"/>
    <n v="19"/>
    <n v="2020"/>
  </r>
  <r>
    <n v="0"/>
    <x v="7"/>
    <x v="9"/>
    <x v="3"/>
    <x v="1"/>
    <n v="0"/>
    <n v="2020"/>
  </r>
  <r>
    <n v="4"/>
    <x v="8"/>
    <x v="9"/>
    <x v="3"/>
    <x v="1"/>
    <n v="4"/>
    <n v="2020"/>
  </r>
  <r>
    <n v="1297"/>
    <x v="0"/>
    <x v="10"/>
    <x v="3"/>
    <x v="1"/>
    <n v="-22.288795686039546"/>
    <n v="2020"/>
  </r>
  <r>
    <n v="236"/>
    <x v="1"/>
    <x v="10"/>
    <x v="3"/>
    <x v="1"/>
    <n v="7.2727272727272725"/>
    <n v="2020"/>
  </r>
  <r>
    <n v="170"/>
    <x v="2"/>
    <x v="10"/>
    <x v="3"/>
    <x v="1"/>
    <n v="-34.108527131782942"/>
    <n v="2020"/>
  </r>
  <r>
    <n v="288"/>
    <x v="3"/>
    <x v="10"/>
    <x v="3"/>
    <x v="1"/>
    <n v="44"/>
    <n v="2020"/>
  </r>
  <r>
    <n v="173"/>
    <x v="4"/>
    <x v="10"/>
    <x v="3"/>
    <x v="1"/>
    <n v="-9.8958333333333321"/>
    <n v="2020"/>
  </r>
  <r>
    <n v="252"/>
    <x v="5"/>
    <x v="10"/>
    <x v="3"/>
    <x v="1"/>
    <n v="-43.370786516853933"/>
    <n v="2020"/>
  </r>
  <r>
    <n v="188"/>
    <x v="6"/>
    <x v="10"/>
    <x v="3"/>
    <x v="1"/>
    <n v="75.700934579439249"/>
    <n v="2020"/>
  </r>
  <r>
    <n v="56"/>
    <x v="7"/>
    <x v="10"/>
    <x v="3"/>
    <x v="1"/>
    <n v="-39.784946236559136"/>
    <n v="2020"/>
  </r>
  <r>
    <n v="289"/>
    <x v="8"/>
    <x v="10"/>
    <x v="3"/>
    <x v="1"/>
    <n v="79.503105590062106"/>
    <n v="2020"/>
  </r>
  <r>
    <n v="445"/>
    <x v="0"/>
    <x v="11"/>
    <x v="3"/>
    <x v="1"/>
    <n v="2.0642201834862388"/>
    <n v="2020"/>
  </r>
  <r>
    <n v="44"/>
    <x v="1"/>
    <x v="11"/>
    <x v="3"/>
    <x v="1"/>
    <n v="-8.3333333333333321"/>
    <n v="2020"/>
  </r>
  <r>
    <n v="55"/>
    <x v="2"/>
    <x v="11"/>
    <x v="3"/>
    <x v="1"/>
    <n v="-28.571428571428569"/>
    <n v="2020"/>
  </r>
  <r>
    <n v="132"/>
    <x v="3"/>
    <x v="11"/>
    <x v="3"/>
    <x v="1"/>
    <n v="50"/>
    <n v="2020"/>
  </r>
  <r>
    <n v="53"/>
    <x v="4"/>
    <x v="11"/>
    <x v="3"/>
    <x v="1"/>
    <n v="12.76595744680851"/>
    <n v="2020"/>
  </r>
  <r>
    <n v="141"/>
    <x v="5"/>
    <x v="11"/>
    <x v="3"/>
    <x v="1"/>
    <n v="-3.4246575342465753"/>
    <n v="2020"/>
  </r>
  <r>
    <n v="57"/>
    <x v="6"/>
    <x v="11"/>
    <x v="3"/>
    <x v="1"/>
    <n v="16.326530612244898"/>
    <n v="2020"/>
  </r>
  <r>
    <n v="48"/>
    <x v="7"/>
    <x v="11"/>
    <x v="3"/>
    <x v="1"/>
    <n v="33.333333333333329"/>
    <n v="2020"/>
  </r>
  <r>
    <n v="163"/>
    <x v="8"/>
    <x v="11"/>
    <x v="3"/>
    <x v="1"/>
    <n v="352.77777777777777"/>
    <n v="2020"/>
  </r>
  <r>
    <n v="518"/>
    <x v="0"/>
    <x v="12"/>
    <x v="3"/>
    <x v="1"/>
    <n v="53.709198813056382"/>
    <n v="2020"/>
  </r>
  <r>
    <n v="19"/>
    <x v="1"/>
    <x v="12"/>
    <x v="3"/>
    <x v="1"/>
    <n v="-45.714285714285715"/>
    <n v="2020"/>
  </r>
  <r>
    <n v="20"/>
    <x v="2"/>
    <x v="12"/>
    <x v="3"/>
    <x v="1"/>
    <n v="-4.7619047619047619"/>
    <n v="2020"/>
  </r>
  <r>
    <n v="32"/>
    <x v="3"/>
    <x v="12"/>
    <x v="3"/>
    <x v="1"/>
    <n v="-71.681415929203538"/>
    <n v="2020"/>
  </r>
  <r>
    <n v="54"/>
    <x v="4"/>
    <x v="12"/>
    <x v="3"/>
    <x v="1"/>
    <n v="184.21052631578948"/>
    <n v="2020"/>
  </r>
  <r>
    <n v="42"/>
    <x v="5"/>
    <x v="12"/>
    <x v="3"/>
    <x v="1"/>
    <n v="16.666666666666664"/>
    <n v="2020"/>
  </r>
  <r>
    <n v="33"/>
    <x v="6"/>
    <x v="12"/>
    <x v="3"/>
    <x v="1"/>
    <n v="94.117647058823522"/>
    <n v="2020"/>
  </r>
  <r>
    <n v="47"/>
    <x v="7"/>
    <x v="12"/>
    <x v="3"/>
    <x v="1"/>
    <n v="51.612903225806448"/>
    <n v="2020"/>
  </r>
  <r>
    <n v="27"/>
    <x v="8"/>
    <x v="12"/>
    <x v="3"/>
    <x v="1"/>
    <n v="3.8461538461538463"/>
    <n v="2020"/>
  </r>
  <r>
    <n v="86"/>
    <x v="0"/>
    <x v="0"/>
    <x v="4"/>
    <x v="0"/>
    <n v="91.111111111111114"/>
    <n v="2019"/>
  </r>
  <r>
    <n v="0"/>
    <x v="1"/>
    <x v="0"/>
    <x v="4"/>
    <x v="0"/>
    <n v="0"/>
    <n v="2019"/>
  </r>
  <r>
    <n v="8"/>
    <x v="2"/>
    <x v="0"/>
    <x v="4"/>
    <x v="0"/>
    <n v="0"/>
    <n v="2019"/>
  </r>
  <r>
    <n v="2"/>
    <x v="3"/>
    <x v="0"/>
    <x v="4"/>
    <x v="0"/>
    <n v="2"/>
    <n v="2019"/>
  </r>
  <r>
    <n v="2"/>
    <x v="4"/>
    <x v="0"/>
    <x v="4"/>
    <x v="0"/>
    <n v="2"/>
    <n v="2019"/>
  </r>
  <r>
    <n v="2"/>
    <x v="5"/>
    <x v="0"/>
    <x v="4"/>
    <x v="0"/>
    <n v="-66.666666666666657"/>
    <n v="2019"/>
  </r>
  <r>
    <n v="0"/>
    <x v="6"/>
    <x v="0"/>
    <x v="4"/>
    <x v="0"/>
    <n v="0"/>
    <n v="2019"/>
  </r>
  <r>
    <n v="2"/>
    <x v="7"/>
    <x v="0"/>
    <x v="4"/>
    <x v="0"/>
    <n v="100"/>
    <n v="2019"/>
  </r>
  <r>
    <n v="1"/>
    <x v="8"/>
    <x v="0"/>
    <x v="4"/>
    <x v="0"/>
    <n v="-75"/>
    <n v="2019"/>
  </r>
  <r>
    <n v="43"/>
    <x v="0"/>
    <x v="1"/>
    <x v="4"/>
    <x v="0"/>
    <n v="-43.421052631578952"/>
    <n v="2019"/>
  </r>
  <r>
    <n v="0"/>
    <x v="1"/>
    <x v="1"/>
    <x v="4"/>
    <x v="0"/>
    <n v="0"/>
    <n v="2019"/>
  </r>
  <r>
    <n v="0"/>
    <x v="2"/>
    <x v="1"/>
    <x v="4"/>
    <x v="0"/>
    <n v="-100"/>
    <n v="2019"/>
  </r>
  <r>
    <n v="2"/>
    <x v="3"/>
    <x v="1"/>
    <x v="4"/>
    <x v="0"/>
    <n v="2"/>
    <n v="2019"/>
  </r>
  <r>
    <n v="1"/>
    <x v="4"/>
    <x v="1"/>
    <x v="4"/>
    <x v="0"/>
    <n v="1"/>
    <n v="2019"/>
  </r>
  <r>
    <n v="3"/>
    <x v="5"/>
    <x v="1"/>
    <x v="4"/>
    <x v="0"/>
    <n v="-57.142857142857139"/>
    <n v="2019"/>
  </r>
  <r>
    <n v="0"/>
    <x v="6"/>
    <x v="1"/>
    <x v="4"/>
    <x v="0"/>
    <n v="0"/>
    <n v="2019"/>
  </r>
  <r>
    <n v="1"/>
    <x v="7"/>
    <x v="1"/>
    <x v="4"/>
    <x v="0"/>
    <n v="-66.666666666666657"/>
    <n v="2019"/>
  </r>
  <r>
    <n v="0"/>
    <x v="8"/>
    <x v="1"/>
    <x v="4"/>
    <x v="0"/>
    <n v="-100"/>
    <n v="2019"/>
  </r>
  <r>
    <n v="24"/>
    <x v="0"/>
    <x v="2"/>
    <x v="4"/>
    <x v="0"/>
    <n v="50"/>
    <n v="2019"/>
  </r>
  <r>
    <n v="0"/>
    <x v="1"/>
    <x v="2"/>
    <x v="4"/>
    <x v="0"/>
    <n v="0"/>
    <n v="2019"/>
  </r>
  <r>
    <n v="0"/>
    <x v="2"/>
    <x v="2"/>
    <x v="4"/>
    <x v="0"/>
    <n v="-100"/>
    <n v="2019"/>
  </r>
  <r>
    <n v="0"/>
    <x v="3"/>
    <x v="2"/>
    <x v="4"/>
    <x v="0"/>
    <n v="-100"/>
    <n v="2019"/>
  </r>
  <r>
    <n v="0"/>
    <x v="4"/>
    <x v="2"/>
    <x v="4"/>
    <x v="0"/>
    <n v="0"/>
    <n v="2019"/>
  </r>
  <r>
    <n v="1"/>
    <x v="5"/>
    <x v="2"/>
    <x v="4"/>
    <x v="0"/>
    <n v="0"/>
    <n v="2019"/>
  </r>
  <r>
    <n v="0"/>
    <x v="6"/>
    <x v="2"/>
    <x v="4"/>
    <x v="0"/>
    <n v="0"/>
    <n v="2019"/>
  </r>
  <r>
    <n v="0"/>
    <x v="7"/>
    <x v="2"/>
    <x v="4"/>
    <x v="0"/>
    <n v="-100"/>
    <n v="2019"/>
  </r>
  <r>
    <n v="0"/>
    <x v="8"/>
    <x v="2"/>
    <x v="4"/>
    <x v="0"/>
    <n v="-100"/>
    <n v="2019"/>
  </r>
  <r>
    <n v="21"/>
    <x v="0"/>
    <x v="3"/>
    <x v="4"/>
    <x v="0"/>
    <n v="50"/>
    <n v="2019"/>
  </r>
  <r>
    <n v="11"/>
    <x v="1"/>
    <x v="3"/>
    <x v="4"/>
    <x v="0"/>
    <n v="450"/>
    <n v="2019"/>
  </r>
  <r>
    <n v="4"/>
    <x v="2"/>
    <x v="3"/>
    <x v="4"/>
    <x v="0"/>
    <n v="33.333333333333329"/>
    <n v="2019"/>
  </r>
  <r>
    <n v="2"/>
    <x v="3"/>
    <x v="3"/>
    <x v="4"/>
    <x v="0"/>
    <n v="-33.333333333333329"/>
    <n v="2019"/>
  </r>
  <r>
    <n v="8"/>
    <x v="4"/>
    <x v="3"/>
    <x v="4"/>
    <x v="0"/>
    <n v="-11.111111111111111"/>
    <n v="2019"/>
  </r>
  <r>
    <n v="2"/>
    <x v="5"/>
    <x v="3"/>
    <x v="4"/>
    <x v="0"/>
    <n v="-66.666666666666657"/>
    <n v="2019"/>
  </r>
  <r>
    <n v="2"/>
    <x v="6"/>
    <x v="3"/>
    <x v="4"/>
    <x v="0"/>
    <n v="100"/>
    <n v="2019"/>
  </r>
  <r>
    <n v="2"/>
    <x v="7"/>
    <x v="3"/>
    <x v="4"/>
    <x v="0"/>
    <n v="2"/>
    <n v="2019"/>
  </r>
  <r>
    <n v="4"/>
    <x v="8"/>
    <x v="3"/>
    <x v="4"/>
    <x v="0"/>
    <n v="33.333333333333329"/>
    <n v="2019"/>
  </r>
  <r>
    <n v="0"/>
    <x v="0"/>
    <x v="4"/>
    <x v="4"/>
    <x v="0"/>
    <n v="-100"/>
    <n v="2019"/>
  </r>
  <r>
    <n v="1"/>
    <x v="1"/>
    <x v="4"/>
    <x v="4"/>
    <x v="0"/>
    <n v="1"/>
    <n v="2019"/>
  </r>
  <r>
    <n v="0"/>
    <x v="2"/>
    <x v="4"/>
    <x v="4"/>
    <x v="0"/>
    <n v="0"/>
    <n v="2019"/>
  </r>
  <r>
    <n v="0"/>
    <x v="3"/>
    <x v="4"/>
    <x v="4"/>
    <x v="0"/>
    <n v="0"/>
    <n v="2019"/>
  </r>
  <r>
    <n v="0"/>
    <x v="4"/>
    <x v="4"/>
    <x v="4"/>
    <x v="0"/>
    <n v="0"/>
    <n v="2019"/>
  </r>
  <r>
    <n v="0"/>
    <x v="5"/>
    <x v="4"/>
    <x v="4"/>
    <x v="0"/>
    <n v="0"/>
    <n v="2019"/>
  </r>
  <r>
    <n v="1"/>
    <x v="6"/>
    <x v="4"/>
    <x v="4"/>
    <x v="0"/>
    <n v="1"/>
    <n v="2019"/>
  </r>
  <r>
    <n v="0"/>
    <x v="7"/>
    <x v="4"/>
    <x v="4"/>
    <x v="0"/>
    <n v="0"/>
    <n v="2019"/>
  </r>
  <r>
    <n v="0"/>
    <x v="8"/>
    <x v="4"/>
    <x v="4"/>
    <x v="0"/>
    <n v="-100"/>
    <n v="2019"/>
  </r>
  <r>
    <n v="18"/>
    <x v="0"/>
    <x v="5"/>
    <x v="4"/>
    <x v="0"/>
    <n v="28.571428571428569"/>
    <n v="2019"/>
  </r>
  <r>
    <n v="0"/>
    <x v="1"/>
    <x v="5"/>
    <x v="4"/>
    <x v="0"/>
    <n v="-100"/>
    <n v="2019"/>
  </r>
  <r>
    <n v="0"/>
    <x v="2"/>
    <x v="5"/>
    <x v="4"/>
    <x v="0"/>
    <n v="0"/>
    <n v="2019"/>
  </r>
  <r>
    <n v="0"/>
    <x v="3"/>
    <x v="5"/>
    <x v="4"/>
    <x v="0"/>
    <n v="0"/>
    <n v="2019"/>
  </r>
  <r>
    <n v="0"/>
    <x v="4"/>
    <x v="5"/>
    <x v="4"/>
    <x v="0"/>
    <n v="0"/>
    <n v="2019"/>
  </r>
  <r>
    <n v="0"/>
    <x v="5"/>
    <x v="5"/>
    <x v="4"/>
    <x v="0"/>
    <n v="0"/>
    <n v="2019"/>
  </r>
  <r>
    <n v="0"/>
    <x v="6"/>
    <x v="5"/>
    <x v="4"/>
    <x v="0"/>
    <n v="0"/>
    <n v="2019"/>
  </r>
  <r>
    <n v="0"/>
    <x v="7"/>
    <x v="5"/>
    <x v="4"/>
    <x v="0"/>
    <n v="0"/>
    <n v="2019"/>
  </r>
  <r>
    <n v="0"/>
    <x v="8"/>
    <x v="5"/>
    <x v="4"/>
    <x v="0"/>
    <n v="0"/>
    <n v="2019"/>
  </r>
  <r>
    <n v="974"/>
    <x v="0"/>
    <x v="6"/>
    <x v="4"/>
    <x v="1"/>
    <n v="56.843800322061192"/>
    <n v="2019"/>
  </r>
  <r>
    <n v="96"/>
    <x v="1"/>
    <x v="6"/>
    <x v="4"/>
    <x v="1"/>
    <n v="-10.2803738317757"/>
    <n v="2019"/>
  </r>
  <r>
    <n v="112"/>
    <x v="2"/>
    <x v="6"/>
    <x v="4"/>
    <x v="1"/>
    <n v="41.77215189873418"/>
    <n v="2019"/>
  </r>
  <r>
    <n v="89"/>
    <x v="3"/>
    <x v="6"/>
    <x v="4"/>
    <x v="1"/>
    <n v="-32.575757575757578"/>
    <n v="2019"/>
  </r>
  <r>
    <n v="45"/>
    <x v="4"/>
    <x v="6"/>
    <x v="4"/>
    <x v="1"/>
    <n v="-68.965517241379317"/>
    <n v="2019"/>
  </r>
  <r>
    <n v="104"/>
    <x v="5"/>
    <x v="6"/>
    <x v="4"/>
    <x v="1"/>
    <n v="28.39506172839506"/>
    <n v="2019"/>
  </r>
  <r>
    <n v="62"/>
    <x v="6"/>
    <x v="6"/>
    <x v="4"/>
    <x v="1"/>
    <n v="-1.5873015873015872"/>
    <n v="2019"/>
  </r>
  <r>
    <n v="33"/>
    <x v="7"/>
    <x v="6"/>
    <x v="4"/>
    <x v="1"/>
    <n v="32"/>
    <n v="2019"/>
  </r>
  <r>
    <n v="100"/>
    <x v="8"/>
    <x v="6"/>
    <x v="4"/>
    <x v="1"/>
    <n v="-43.18181818181818"/>
    <n v="2019"/>
  </r>
  <r>
    <n v="314"/>
    <x v="0"/>
    <x v="7"/>
    <x v="4"/>
    <x v="1"/>
    <n v="51.690821256038646"/>
    <n v="2019"/>
  </r>
  <r>
    <n v="23"/>
    <x v="1"/>
    <x v="7"/>
    <x v="4"/>
    <x v="1"/>
    <n v="-42.5"/>
    <n v="2019"/>
  </r>
  <r>
    <n v="28"/>
    <x v="2"/>
    <x v="7"/>
    <x v="4"/>
    <x v="1"/>
    <n v="33.333333333333329"/>
    <n v="2019"/>
  </r>
  <r>
    <n v="15"/>
    <x v="3"/>
    <x v="7"/>
    <x v="4"/>
    <x v="1"/>
    <n v="-58.333333333333336"/>
    <n v="2019"/>
  </r>
  <r>
    <n v="18"/>
    <x v="4"/>
    <x v="7"/>
    <x v="4"/>
    <x v="1"/>
    <n v="-35.714285714285715"/>
    <n v="2019"/>
  </r>
  <r>
    <n v="19"/>
    <x v="5"/>
    <x v="7"/>
    <x v="4"/>
    <x v="1"/>
    <n v="-24"/>
    <n v="2019"/>
  </r>
  <r>
    <n v="48"/>
    <x v="6"/>
    <x v="7"/>
    <x v="4"/>
    <x v="1"/>
    <n v="60"/>
    <n v="2019"/>
  </r>
  <r>
    <n v="13"/>
    <x v="7"/>
    <x v="7"/>
    <x v="4"/>
    <x v="1"/>
    <n v="62.5"/>
    <n v="2019"/>
  </r>
  <r>
    <n v="35"/>
    <x v="8"/>
    <x v="7"/>
    <x v="4"/>
    <x v="1"/>
    <n v="25"/>
    <n v="2019"/>
  </r>
  <r>
    <n v="73"/>
    <x v="0"/>
    <x v="8"/>
    <x v="4"/>
    <x v="1"/>
    <n v="43.137254901960787"/>
    <n v="2019"/>
  </r>
  <r>
    <n v="6"/>
    <x v="1"/>
    <x v="8"/>
    <x v="4"/>
    <x v="1"/>
    <n v="-70"/>
    <n v="2019"/>
  </r>
  <r>
    <n v="6"/>
    <x v="2"/>
    <x v="8"/>
    <x v="4"/>
    <x v="1"/>
    <n v="-83.78378378378379"/>
    <n v="2019"/>
  </r>
  <r>
    <n v="11"/>
    <x v="3"/>
    <x v="8"/>
    <x v="4"/>
    <x v="1"/>
    <n v="-69.444444444444443"/>
    <n v="2019"/>
  </r>
  <r>
    <n v="17"/>
    <x v="4"/>
    <x v="8"/>
    <x v="4"/>
    <x v="1"/>
    <n v="41.666666666666671"/>
    <n v="2019"/>
  </r>
  <r>
    <n v="29"/>
    <x v="5"/>
    <x v="8"/>
    <x v="4"/>
    <x v="1"/>
    <n v="-42"/>
    <n v="2019"/>
  </r>
  <r>
    <n v="8"/>
    <x v="6"/>
    <x v="8"/>
    <x v="4"/>
    <x v="1"/>
    <n v="-60"/>
    <n v="2019"/>
  </r>
  <r>
    <n v="7"/>
    <x v="7"/>
    <x v="8"/>
    <x v="4"/>
    <x v="1"/>
    <n v="-53.333333333333336"/>
    <n v="2019"/>
  </r>
  <r>
    <n v="28"/>
    <x v="8"/>
    <x v="8"/>
    <x v="4"/>
    <x v="1"/>
    <n v="16.666666666666664"/>
    <n v="2019"/>
  </r>
  <r>
    <n v="14"/>
    <x v="0"/>
    <x v="9"/>
    <x v="4"/>
    <x v="1"/>
    <n v="-62.162162162162161"/>
    <n v="2019"/>
  </r>
  <r>
    <n v="3"/>
    <x v="1"/>
    <x v="9"/>
    <x v="4"/>
    <x v="1"/>
    <n v="200"/>
    <n v="2019"/>
  </r>
  <r>
    <n v="0"/>
    <x v="2"/>
    <x v="9"/>
    <x v="4"/>
    <x v="1"/>
    <n v="0"/>
    <n v="2019"/>
  </r>
  <r>
    <n v="0"/>
    <x v="3"/>
    <x v="9"/>
    <x v="4"/>
    <x v="1"/>
    <n v="0"/>
    <n v="2019"/>
  </r>
  <r>
    <n v="2"/>
    <x v="4"/>
    <x v="9"/>
    <x v="4"/>
    <x v="1"/>
    <n v="2"/>
    <n v="2019"/>
  </r>
  <r>
    <n v="1"/>
    <x v="5"/>
    <x v="9"/>
    <x v="4"/>
    <x v="1"/>
    <n v="0"/>
    <n v="2019"/>
  </r>
  <r>
    <n v="0"/>
    <x v="6"/>
    <x v="9"/>
    <x v="4"/>
    <x v="1"/>
    <n v="-100"/>
    <n v="2019"/>
  </r>
  <r>
    <n v="0"/>
    <x v="7"/>
    <x v="9"/>
    <x v="4"/>
    <x v="1"/>
    <n v="-100"/>
    <n v="2019"/>
  </r>
  <r>
    <n v="0"/>
    <x v="8"/>
    <x v="9"/>
    <x v="4"/>
    <x v="1"/>
    <n v="-100"/>
    <n v="2019"/>
  </r>
  <r>
    <n v="1669"/>
    <x v="0"/>
    <x v="10"/>
    <x v="4"/>
    <x v="1"/>
    <n v="31.210691823899374"/>
    <n v="2019"/>
  </r>
  <r>
    <n v="220"/>
    <x v="1"/>
    <x v="10"/>
    <x v="4"/>
    <x v="1"/>
    <n v="-19.117647058823529"/>
    <n v="2019"/>
  </r>
  <r>
    <n v="258"/>
    <x v="2"/>
    <x v="10"/>
    <x v="4"/>
    <x v="1"/>
    <n v="52.662721893491124"/>
    <n v="2019"/>
  </r>
  <r>
    <n v="200"/>
    <x v="3"/>
    <x v="10"/>
    <x v="4"/>
    <x v="1"/>
    <n v="-34.210526315789473"/>
    <n v="2019"/>
  </r>
  <r>
    <n v="192"/>
    <x v="4"/>
    <x v="10"/>
    <x v="4"/>
    <x v="1"/>
    <n v="-35.570469798657719"/>
    <n v="2019"/>
  </r>
  <r>
    <n v="445"/>
    <x v="5"/>
    <x v="10"/>
    <x v="4"/>
    <x v="1"/>
    <n v="164.88095238095238"/>
    <n v="2019"/>
  </r>
  <r>
    <n v="107"/>
    <x v="6"/>
    <x v="10"/>
    <x v="4"/>
    <x v="1"/>
    <n v="-40.22346368715084"/>
    <n v="2019"/>
  </r>
  <r>
    <n v="93"/>
    <x v="7"/>
    <x v="10"/>
    <x v="4"/>
    <x v="1"/>
    <n v="25.675675675675674"/>
    <n v="2019"/>
  </r>
  <r>
    <n v="161"/>
    <x v="8"/>
    <x v="10"/>
    <x v="4"/>
    <x v="1"/>
    <n v="-47.385620915032675"/>
    <n v="2019"/>
  </r>
  <r>
    <n v="436"/>
    <x v="0"/>
    <x v="11"/>
    <x v="4"/>
    <x v="1"/>
    <n v="-1.8018018018018018"/>
    <n v="2019"/>
  </r>
  <r>
    <n v="48"/>
    <x v="1"/>
    <x v="11"/>
    <x v="4"/>
    <x v="1"/>
    <n v="-43.529411764705884"/>
    <n v="2019"/>
  </r>
  <r>
    <n v="77"/>
    <x v="2"/>
    <x v="11"/>
    <x v="4"/>
    <x v="1"/>
    <n v="-45"/>
    <n v="2019"/>
  </r>
  <r>
    <n v="88"/>
    <x v="3"/>
    <x v="11"/>
    <x v="4"/>
    <x v="1"/>
    <n v="-25.423728813559322"/>
    <n v="2019"/>
  </r>
  <r>
    <n v="47"/>
    <x v="4"/>
    <x v="11"/>
    <x v="4"/>
    <x v="1"/>
    <n v="-76.5"/>
    <n v="2019"/>
  </r>
  <r>
    <n v="146"/>
    <x v="5"/>
    <x v="11"/>
    <x v="4"/>
    <x v="1"/>
    <n v="82.5"/>
    <n v="2019"/>
  </r>
  <r>
    <n v="49"/>
    <x v="6"/>
    <x v="11"/>
    <x v="4"/>
    <x v="1"/>
    <n v="-61.111111111111114"/>
    <n v="2019"/>
  </r>
  <r>
    <n v="36"/>
    <x v="7"/>
    <x v="11"/>
    <x v="4"/>
    <x v="1"/>
    <n v="-73.333333333333329"/>
    <n v="2019"/>
  </r>
  <r>
    <n v="36"/>
    <x v="8"/>
    <x v="11"/>
    <x v="4"/>
    <x v="1"/>
    <n v="-61.29032258064516"/>
    <n v="2019"/>
  </r>
  <r>
    <n v="337"/>
    <x v="0"/>
    <x v="12"/>
    <x v="4"/>
    <x v="1"/>
    <n v="85.164835164835168"/>
    <n v="2019"/>
  </r>
  <r>
    <n v="35"/>
    <x v="1"/>
    <x v="12"/>
    <x v="4"/>
    <x v="1"/>
    <n v="45.833333333333329"/>
    <n v="2019"/>
  </r>
  <r>
    <n v="21"/>
    <x v="2"/>
    <x v="12"/>
    <x v="4"/>
    <x v="1"/>
    <n v="-22.222222222222221"/>
    <n v="2019"/>
  </r>
  <r>
    <n v="113"/>
    <x v="3"/>
    <x v="12"/>
    <x v="4"/>
    <x v="1"/>
    <n v="109.25925925925925"/>
    <n v="2019"/>
  </r>
  <r>
    <n v="19"/>
    <x v="4"/>
    <x v="12"/>
    <x v="4"/>
    <x v="1"/>
    <n v="-26.923076923076923"/>
    <n v="2019"/>
  </r>
  <r>
    <n v="36"/>
    <x v="5"/>
    <x v="12"/>
    <x v="4"/>
    <x v="1"/>
    <n v="56.521739130434781"/>
    <n v="2019"/>
  </r>
  <r>
    <n v="17"/>
    <x v="6"/>
    <x v="12"/>
    <x v="4"/>
    <x v="1"/>
    <n v="-51.428571428571423"/>
    <n v="2019"/>
  </r>
  <r>
    <n v="31"/>
    <x v="7"/>
    <x v="12"/>
    <x v="4"/>
    <x v="1"/>
    <n v="72.222222222222214"/>
    <n v="2019"/>
  </r>
  <r>
    <n v="26"/>
    <x v="8"/>
    <x v="12"/>
    <x v="4"/>
    <x v="1"/>
    <n v="100"/>
    <n v="2019"/>
  </r>
  <r>
    <n v="45"/>
    <x v="0"/>
    <x v="0"/>
    <x v="5"/>
    <x v="0"/>
    <n v="-43.037974683544306"/>
    <n v="2018"/>
  </r>
  <r>
    <n v="0"/>
    <x v="1"/>
    <x v="0"/>
    <x v="5"/>
    <x v="0"/>
    <n v="0"/>
    <n v="2018"/>
  </r>
  <r>
    <n v="8"/>
    <x v="2"/>
    <x v="0"/>
    <x v="5"/>
    <x v="0"/>
    <n v="166.66666666666669"/>
    <n v="2018"/>
  </r>
  <r>
    <n v="0"/>
    <x v="3"/>
    <x v="0"/>
    <x v="5"/>
    <x v="0"/>
    <n v="-100"/>
    <n v="2018"/>
  </r>
  <r>
    <n v="0"/>
    <x v="4"/>
    <x v="0"/>
    <x v="5"/>
    <x v="0"/>
    <n v="-100"/>
    <n v="2018"/>
  </r>
  <r>
    <n v="6"/>
    <x v="5"/>
    <x v="0"/>
    <x v="5"/>
    <x v="0"/>
    <n v="20"/>
    <n v="2018"/>
  </r>
  <r>
    <n v="0"/>
    <x v="6"/>
    <x v="0"/>
    <x v="5"/>
    <x v="0"/>
    <n v="0"/>
    <n v="2018"/>
  </r>
  <r>
    <n v="1"/>
    <x v="7"/>
    <x v="0"/>
    <x v="5"/>
    <x v="0"/>
    <n v="0"/>
    <n v="2018"/>
  </r>
  <r>
    <n v="4"/>
    <x v="8"/>
    <x v="0"/>
    <x v="5"/>
    <x v="0"/>
    <n v="-42.857142857142854"/>
    <n v="2018"/>
  </r>
  <r>
    <n v="76"/>
    <x v="0"/>
    <x v="1"/>
    <x v="5"/>
    <x v="0"/>
    <n v="-1.2987012987012987"/>
    <n v="2018"/>
  </r>
  <r>
    <n v="0"/>
    <x v="1"/>
    <x v="1"/>
    <x v="5"/>
    <x v="0"/>
    <n v="0"/>
    <n v="2018"/>
  </r>
  <r>
    <n v="30"/>
    <x v="2"/>
    <x v="1"/>
    <x v="5"/>
    <x v="0"/>
    <n v="2900"/>
    <n v="2018"/>
  </r>
  <r>
    <n v="0"/>
    <x v="3"/>
    <x v="1"/>
    <x v="5"/>
    <x v="0"/>
    <n v="-100"/>
    <n v="2018"/>
  </r>
  <r>
    <n v="0"/>
    <x v="4"/>
    <x v="1"/>
    <x v="5"/>
    <x v="0"/>
    <n v="0"/>
    <n v="2018"/>
  </r>
  <r>
    <n v="7"/>
    <x v="5"/>
    <x v="1"/>
    <x v="5"/>
    <x v="0"/>
    <n v="600"/>
    <n v="2018"/>
  </r>
  <r>
    <n v="0"/>
    <x v="6"/>
    <x v="1"/>
    <x v="5"/>
    <x v="0"/>
    <n v="0"/>
    <n v="2018"/>
  </r>
  <r>
    <n v="3"/>
    <x v="7"/>
    <x v="1"/>
    <x v="5"/>
    <x v="0"/>
    <n v="200"/>
    <n v="2018"/>
  </r>
  <r>
    <n v="2"/>
    <x v="8"/>
    <x v="1"/>
    <x v="5"/>
    <x v="0"/>
    <n v="2"/>
    <n v="2018"/>
  </r>
  <r>
    <n v="16"/>
    <x v="0"/>
    <x v="2"/>
    <x v="5"/>
    <x v="0"/>
    <n v="-38.461538461538467"/>
    <n v="2018"/>
  </r>
  <r>
    <n v="0"/>
    <x v="1"/>
    <x v="2"/>
    <x v="5"/>
    <x v="0"/>
    <n v="0"/>
    <n v="2018"/>
  </r>
  <r>
    <n v="1"/>
    <x v="2"/>
    <x v="2"/>
    <x v="5"/>
    <x v="0"/>
    <n v="0"/>
    <n v="2018"/>
  </r>
  <r>
    <n v="1"/>
    <x v="3"/>
    <x v="2"/>
    <x v="5"/>
    <x v="0"/>
    <n v="-50"/>
    <n v="2018"/>
  </r>
  <r>
    <n v="0"/>
    <x v="4"/>
    <x v="2"/>
    <x v="5"/>
    <x v="0"/>
    <n v="0"/>
    <n v="2018"/>
  </r>
  <r>
    <n v="1"/>
    <x v="5"/>
    <x v="2"/>
    <x v="5"/>
    <x v="0"/>
    <n v="-50"/>
    <n v="2018"/>
  </r>
  <r>
    <n v="0"/>
    <x v="6"/>
    <x v="2"/>
    <x v="5"/>
    <x v="0"/>
    <n v="0"/>
    <n v="2018"/>
  </r>
  <r>
    <n v="2"/>
    <x v="7"/>
    <x v="2"/>
    <x v="5"/>
    <x v="0"/>
    <n v="100"/>
    <n v="2018"/>
  </r>
  <r>
    <n v="2"/>
    <x v="8"/>
    <x v="2"/>
    <x v="5"/>
    <x v="0"/>
    <n v="2"/>
    <n v="2018"/>
  </r>
  <r>
    <n v="14"/>
    <x v="0"/>
    <x v="3"/>
    <x v="5"/>
    <x v="0"/>
    <n v="-6.666666666666667"/>
    <n v="2018"/>
  </r>
  <r>
    <n v="2"/>
    <x v="1"/>
    <x v="3"/>
    <x v="5"/>
    <x v="0"/>
    <n v="-50"/>
    <n v="2018"/>
  </r>
  <r>
    <n v="3"/>
    <x v="2"/>
    <x v="3"/>
    <x v="5"/>
    <x v="0"/>
    <n v="0"/>
    <n v="2018"/>
  </r>
  <r>
    <n v="3"/>
    <x v="3"/>
    <x v="3"/>
    <x v="5"/>
    <x v="0"/>
    <n v="-40"/>
    <n v="2018"/>
  </r>
  <r>
    <n v="9"/>
    <x v="4"/>
    <x v="3"/>
    <x v="5"/>
    <x v="0"/>
    <n v="0"/>
    <n v="2018"/>
  </r>
  <r>
    <n v="6"/>
    <x v="5"/>
    <x v="3"/>
    <x v="5"/>
    <x v="0"/>
    <n v="-33.333333333333329"/>
    <n v="2018"/>
  </r>
  <r>
    <n v="1"/>
    <x v="6"/>
    <x v="3"/>
    <x v="5"/>
    <x v="0"/>
    <n v="1"/>
    <n v="2018"/>
  </r>
  <r>
    <n v="0"/>
    <x v="7"/>
    <x v="3"/>
    <x v="5"/>
    <x v="0"/>
    <n v="-100"/>
    <n v="2018"/>
  </r>
  <r>
    <n v="3"/>
    <x v="8"/>
    <x v="3"/>
    <x v="5"/>
    <x v="0"/>
    <n v="-40"/>
    <n v="2018"/>
  </r>
  <r>
    <n v="3"/>
    <x v="0"/>
    <x v="4"/>
    <x v="5"/>
    <x v="0"/>
    <n v="-25"/>
    <n v="2018"/>
  </r>
  <r>
    <n v="0"/>
    <x v="1"/>
    <x v="4"/>
    <x v="5"/>
    <x v="0"/>
    <n v="0"/>
    <n v="2018"/>
  </r>
  <r>
    <n v="0"/>
    <x v="2"/>
    <x v="4"/>
    <x v="5"/>
    <x v="0"/>
    <n v="-100"/>
    <n v="2018"/>
  </r>
  <r>
    <n v="0"/>
    <x v="3"/>
    <x v="4"/>
    <x v="5"/>
    <x v="0"/>
    <n v="-100"/>
    <n v="2018"/>
  </r>
  <r>
    <n v="0"/>
    <x v="4"/>
    <x v="4"/>
    <x v="5"/>
    <x v="0"/>
    <n v="0"/>
    <n v="2018"/>
  </r>
  <r>
    <n v="0"/>
    <x v="5"/>
    <x v="4"/>
    <x v="5"/>
    <x v="0"/>
    <n v="0"/>
    <n v="2018"/>
  </r>
  <r>
    <n v="0"/>
    <x v="6"/>
    <x v="4"/>
    <x v="5"/>
    <x v="0"/>
    <n v="0"/>
    <n v="2018"/>
  </r>
  <r>
    <n v="0"/>
    <x v="7"/>
    <x v="4"/>
    <x v="5"/>
    <x v="0"/>
    <n v="0"/>
    <n v="2018"/>
  </r>
  <r>
    <n v="2"/>
    <x v="8"/>
    <x v="4"/>
    <x v="5"/>
    <x v="0"/>
    <n v="2"/>
    <n v="2018"/>
  </r>
  <r>
    <n v="14"/>
    <x v="0"/>
    <x v="5"/>
    <x v="5"/>
    <x v="0"/>
    <n v="16.666666666666664"/>
    <n v="2018"/>
  </r>
  <r>
    <n v="1"/>
    <x v="1"/>
    <x v="5"/>
    <x v="5"/>
    <x v="0"/>
    <n v="1"/>
    <n v="2018"/>
  </r>
  <r>
    <n v="0"/>
    <x v="2"/>
    <x v="5"/>
    <x v="5"/>
    <x v="0"/>
    <n v="-100"/>
    <n v="2018"/>
  </r>
  <r>
    <n v="0"/>
    <x v="3"/>
    <x v="5"/>
    <x v="5"/>
    <x v="0"/>
    <n v="0"/>
    <n v="2018"/>
  </r>
  <r>
    <n v="0"/>
    <x v="4"/>
    <x v="5"/>
    <x v="5"/>
    <x v="0"/>
    <n v="0"/>
    <n v="2018"/>
  </r>
  <r>
    <n v="0"/>
    <x v="5"/>
    <x v="5"/>
    <x v="5"/>
    <x v="0"/>
    <n v="0"/>
    <n v="2018"/>
  </r>
  <r>
    <n v="0"/>
    <x v="6"/>
    <x v="5"/>
    <x v="5"/>
    <x v="0"/>
    <n v="0"/>
    <n v="2018"/>
  </r>
  <r>
    <n v="0"/>
    <x v="7"/>
    <x v="5"/>
    <x v="5"/>
    <x v="0"/>
    <n v="0"/>
    <n v="2018"/>
  </r>
  <r>
    <n v="0"/>
    <x v="8"/>
    <x v="5"/>
    <x v="5"/>
    <x v="0"/>
    <n v="0"/>
    <n v="2018"/>
  </r>
  <r>
    <n v="621"/>
    <x v="0"/>
    <x v="6"/>
    <x v="5"/>
    <x v="1"/>
    <n v="16.729323308270676"/>
    <n v="2018"/>
  </r>
  <r>
    <n v="107"/>
    <x v="1"/>
    <x v="6"/>
    <x v="5"/>
    <x v="1"/>
    <n v="-13.008130081300814"/>
    <n v="2018"/>
  </r>
  <r>
    <n v="79"/>
    <x v="2"/>
    <x v="6"/>
    <x v="5"/>
    <x v="1"/>
    <n v="23.4375"/>
    <n v="2018"/>
  </r>
  <r>
    <n v="132"/>
    <x v="3"/>
    <x v="6"/>
    <x v="5"/>
    <x v="1"/>
    <n v="20"/>
    <n v="2018"/>
  </r>
  <r>
    <n v="145"/>
    <x v="4"/>
    <x v="6"/>
    <x v="5"/>
    <x v="1"/>
    <n v="145.76271186440678"/>
    <n v="2018"/>
  </r>
  <r>
    <n v="81"/>
    <x v="5"/>
    <x v="6"/>
    <x v="5"/>
    <x v="1"/>
    <n v="30.64516129032258"/>
    <n v="2018"/>
  </r>
  <r>
    <n v="63"/>
    <x v="6"/>
    <x v="6"/>
    <x v="5"/>
    <x v="1"/>
    <n v="23.52941176470588"/>
    <n v="2018"/>
  </r>
  <r>
    <n v="25"/>
    <x v="7"/>
    <x v="6"/>
    <x v="5"/>
    <x v="1"/>
    <n v="-3.8461538461538463"/>
    <n v="2018"/>
  </r>
  <r>
    <n v="176"/>
    <x v="8"/>
    <x v="6"/>
    <x v="5"/>
    <x v="1"/>
    <n v="23.076923076923077"/>
    <n v="2018"/>
  </r>
  <r>
    <n v="207"/>
    <x v="0"/>
    <x v="7"/>
    <x v="5"/>
    <x v="1"/>
    <n v="2.4752475247524752"/>
    <n v="2018"/>
  </r>
  <r>
    <n v="40"/>
    <x v="1"/>
    <x v="7"/>
    <x v="5"/>
    <x v="1"/>
    <n v="150"/>
    <n v="2018"/>
  </r>
  <r>
    <n v="21"/>
    <x v="2"/>
    <x v="7"/>
    <x v="5"/>
    <x v="1"/>
    <n v="-34.375"/>
    <n v="2018"/>
  </r>
  <r>
    <n v="36"/>
    <x v="3"/>
    <x v="7"/>
    <x v="5"/>
    <x v="1"/>
    <n v="56.521739130434781"/>
    <n v="2018"/>
  </r>
  <r>
    <n v="28"/>
    <x v="4"/>
    <x v="7"/>
    <x v="5"/>
    <x v="1"/>
    <n v="47.368421052631575"/>
    <n v="2018"/>
  </r>
  <r>
    <n v="25"/>
    <x v="5"/>
    <x v="7"/>
    <x v="5"/>
    <x v="1"/>
    <n v="-3.8461538461538463"/>
    <n v="2018"/>
  </r>
  <r>
    <n v="30"/>
    <x v="6"/>
    <x v="7"/>
    <x v="5"/>
    <x v="1"/>
    <n v="50"/>
    <n v="2018"/>
  </r>
  <r>
    <n v="8"/>
    <x v="7"/>
    <x v="7"/>
    <x v="5"/>
    <x v="1"/>
    <n v="14.285714285714285"/>
    <n v="2018"/>
  </r>
  <r>
    <n v="28"/>
    <x v="8"/>
    <x v="7"/>
    <x v="5"/>
    <x v="1"/>
    <n v="-20"/>
    <n v="2018"/>
  </r>
  <r>
    <n v="51"/>
    <x v="0"/>
    <x v="8"/>
    <x v="5"/>
    <x v="1"/>
    <n v="-56.410256410256409"/>
    <n v="2018"/>
  </r>
  <r>
    <n v="20"/>
    <x v="1"/>
    <x v="8"/>
    <x v="5"/>
    <x v="1"/>
    <n v="53.846153846153847"/>
    <n v="2018"/>
  </r>
  <r>
    <n v="37"/>
    <x v="2"/>
    <x v="8"/>
    <x v="5"/>
    <x v="1"/>
    <n v="164.28571428571428"/>
    <n v="2018"/>
  </r>
  <r>
    <n v="36"/>
    <x v="3"/>
    <x v="8"/>
    <x v="5"/>
    <x v="1"/>
    <n v="157.14285714285714"/>
    <n v="2018"/>
  </r>
  <r>
    <n v="12"/>
    <x v="4"/>
    <x v="8"/>
    <x v="5"/>
    <x v="1"/>
    <n v="-50"/>
    <n v="2018"/>
  </r>
  <r>
    <n v="50"/>
    <x v="5"/>
    <x v="8"/>
    <x v="5"/>
    <x v="1"/>
    <n v="150"/>
    <n v="2018"/>
  </r>
  <r>
    <n v="20"/>
    <x v="6"/>
    <x v="8"/>
    <x v="5"/>
    <x v="1"/>
    <n v="300"/>
    <n v="2018"/>
  </r>
  <r>
    <n v="15"/>
    <x v="7"/>
    <x v="8"/>
    <x v="5"/>
    <x v="1"/>
    <n v="-84.536082474226802"/>
    <n v="2018"/>
  </r>
  <r>
    <n v="24"/>
    <x v="8"/>
    <x v="8"/>
    <x v="5"/>
    <x v="1"/>
    <n v="100"/>
    <n v="2018"/>
  </r>
  <r>
    <n v="37"/>
    <x v="0"/>
    <x v="9"/>
    <x v="5"/>
    <x v="1"/>
    <n v="-24.489795918367346"/>
    <n v="2018"/>
  </r>
  <r>
    <n v="1"/>
    <x v="1"/>
    <x v="9"/>
    <x v="5"/>
    <x v="1"/>
    <n v="-80"/>
    <n v="2018"/>
  </r>
  <r>
    <n v="0"/>
    <x v="2"/>
    <x v="9"/>
    <x v="5"/>
    <x v="1"/>
    <n v="-100"/>
    <n v="2018"/>
  </r>
  <r>
    <n v="0"/>
    <x v="3"/>
    <x v="9"/>
    <x v="5"/>
    <x v="1"/>
    <n v="-100"/>
    <n v="2018"/>
  </r>
  <r>
    <n v="0"/>
    <x v="4"/>
    <x v="9"/>
    <x v="5"/>
    <x v="1"/>
    <n v="-100"/>
    <n v="2018"/>
  </r>
  <r>
    <n v="1"/>
    <x v="5"/>
    <x v="9"/>
    <x v="5"/>
    <x v="1"/>
    <n v="1"/>
    <n v="2018"/>
  </r>
  <r>
    <n v="1"/>
    <x v="6"/>
    <x v="9"/>
    <x v="5"/>
    <x v="1"/>
    <n v="0"/>
    <n v="2018"/>
  </r>
  <r>
    <n v="1"/>
    <x v="7"/>
    <x v="9"/>
    <x v="5"/>
    <x v="1"/>
    <n v="1"/>
    <n v="2018"/>
  </r>
  <r>
    <n v="21"/>
    <x v="8"/>
    <x v="9"/>
    <x v="5"/>
    <x v="1"/>
    <n v="250"/>
    <n v="2018"/>
  </r>
  <r>
    <n v="1272"/>
    <x v="0"/>
    <x v="10"/>
    <x v="5"/>
    <x v="1"/>
    <n v="-21.771217712177123"/>
    <n v="2018"/>
  </r>
  <r>
    <n v="272"/>
    <x v="1"/>
    <x v="10"/>
    <x v="5"/>
    <x v="1"/>
    <n v="46.236559139784944"/>
    <n v="2018"/>
  </r>
  <r>
    <n v="169"/>
    <x v="2"/>
    <x v="10"/>
    <x v="5"/>
    <x v="1"/>
    <n v="1.1976047904191618"/>
    <n v="2018"/>
  </r>
  <r>
    <n v="304"/>
    <x v="3"/>
    <x v="10"/>
    <x v="5"/>
    <x v="1"/>
    <n v="23.577235772357724"/>
    <n v="2018"/>
  </r>
  <r>
    <n v="298"/>
    <x v="4"/>
    <x v="10"/>
    <x v="5"/>
    <x v="1"/>
    <n v="12.030075187969924"/>
    <n v="2018"/>
  </r>
  <r>
    <n v="168"/>
    <x v="5"/>
    <x v="10"/>
    <x v="5"/>
    <x v="1"/>
    <n v="42.372881355932201"/>
    <n v="2018"/>
  </r>
  <r>
    <n v="179"/>
    <x v="6"/>
    <x v="10"/>
    <x v="5"/>
    <x v="1"/>
    <n v="101.12359550561798"/>
    <n v="2018"/>
  </r>
  <r>
    <n v="74"/>
    <x v="7"/>
    <x v="10"/>
    <x v="5"/>
    <x v="1"/>
    <n v="17.460317460317459"/>
    <n v="2018"/>
  </r>
  <r>
    <n v="306"/>
    <x v="8"/>
    <x v="10"/>
    <x v="5"/>
    <x v="1"/>
    <n v="25.925925925925924"/>
    <n v="2018"/>
  </r>
  <r>
    <n v="444"/>
    <x v="0"/>
    <x v="11"/>
    <x v="5"/>
    <x v="1"/>
    <n v="-53.507853403141361"/>
    <n v="2018"/>
  </r>
  <r>
    <n v="85"/>
    <x v="1"/>
    <x v="11"/>
    <x v="5"/>
    <x v="1"/>
    <n v="51.785714285714292"/>
    <n v="2018"/>
  </r>
  <r>
    <n v="140"/>
    <x v="2"/>
    <x v="11"/>
    <x v="5"/>
    <x v="1"/>
    <n v="28.440366972477065"/>
    <n v="2018"/>
  </r>
  <r>
    <n v="118"/>
    <x v="3"/>
    <x v="11"/>
    <x v="5"/>
    <x v="1"/>
    <n v="-23.376623376623375"/>
    <n v="2018"/>
  </r>
  <r>
    <n v="200"/>
    <x v="4"/>
    <x v="11"/>
    <x v="5"/>
    <x v="1"/>
    <n v="344.44444444444446"/>
    <n v="2018"/>
  </r>
  <r>
    <n v="80"/>
    <x v="5"/>
    <x v="11"/>
    <x v="5"/>
    <x v="1"/>
    <n v="23.076923076923077"/>
    <n v="2018"/>
  </r>
  <r>
    <n v="126"/>
    <x v="6"/>
    <x v="11"/>
    <x v="5"/>
    <x v="1"/>
    <n v="-2.3255813953488373"/>
    <n v="2018"/>
  </r>
  <r>
    <n v="135"/>
    <x v="7"/>
    <x v="11"/>
    <x v="5"/>
    <x v="1"/>
    <n v="117.74193548387098"/>
    <n v="2018"/>
  </r>
  <r>
    <n v="93"/>
    <x v="8"/>
    <x v="11"/>
    <x v="5"/>
    <x v="1"/>
    <n v="-69.902912621359221"/>
    <n v="2018"/>
  </r>
  <r>
    <n v="182"/>
    <x v="0"/>
    <x v="12"/>
    <x v="5"/>
    <x v="1"/>
    <n v="-28.627450980392155"/>
    <n v="2018"/>
  </r>
  <r>
    <n v="24"/>
    <x v="1"/>
    <x v="12"/>
    <x v="5"/>
    <x v="1"/>
    <n v="-11.111111111111111"/>
    <n v="2018"/>
  </r>
  <r>
    <n v="27"/>
    <x v="2"/>
    <x v="12"/>
    <x v="5"/>
    <x v="1"/>
    <n v="-81.11888111888112"/>
    <n v="2018"/>
  </r>
  <r>
    <n v="54"/>
    <x v="3"/>
    <x v="12"/>
    <x v="5"/>
    <x v="1"/>
    <n v="125"/>
    <n v="2018"/>
  </r>
  <r>
    <n v="26"/>
    <x v="4"/>
    <x v="12"/>
    <x v="5"/>
    <x v="1"/>
    <n v="62.5"/>
    <n v="2018"/>
  </r>
  <r>
    <n v="23"/>
    <x v="5"/>
    <x v="12"/>
    <x v="5"/>
    <x v="1"/>
    <n v="-4.1666666666666661"/>
    <n v="2018"/>
  </r>
  <r>
    <n v="35"/>
    <x v="6"/>
    <x v="12"/>
    <x v="5"/>
    <x v="1"/>
    <n v="218.18181818181816"/>
    <n v="2018"/>
  </r>
  <r>
    <n v="18"/>
    <x v="7"/>
    <x v="12"/>
    <x v="5"/>
    <x v="1"/>
    <n v="-63.265306122448983"/>
    <n v="2018"/>
  </r>
  <r>
    <n v="13"/>
    <x v="8"/>
    <x v="12"/>
    <x v="5"/>
    <x v="1"/>
    <n v="-69.047619047619051"/>
    <n v="2018"/>
  </r>
  <r>
    <n v="79"/>
    <x v="0"/>
    <x v="0"/>
    <x v="6"/>
    <x v="0"/>
    <n v="79"/>
    <n v="2017"/>
  </r>
  <r>
    <n v="0"/>
    <x v="1"/>
    <x v="0"/>
    <x v="6"/>
    <x v="0"/>
    <n v="0"/>
    <n v="2017"/>
  </r>
  <r>
    <n v="3"/>
    <x v="2"/>
    <x v="0"/>
    <x v="6"/>
    <x v="0"/>
    <n v="3"/>
    <n v="2017"/>
  </r>
  <r>
    <n v="1"/>
    <x v="3"/>
    <x v="0"/>
    <x v="6"/>
    <x v="0"/>
    <n v="1"/>
    <n v="2017"/>
  </r>
  <r>
    <n v="2"/>
    <x v="4"/>
    <x v="0"/>
    <x v="6"/>
    <x v="0"/>
    <n v="2"/>
    <n v="2017"/>
  </r>
  <r>
    <n v="5"/>
    <x v="5"/>
    <x v="0"/>
    <x v="6"/>
    <x v="0"/>
    <n v="5"/>
    <n v="2017"/>
  </r>
  <r>
    <n v="0"/>
    <x v="6"/>
    <x v="0"/>
    <x v="6"/>
    <x v="0"/>
    <n v="0"/>
    <n v="2017"/>
  </r>
  <r>
    <n v="1"/>
    <x v="7"/>
    <x v="0"/>
    <x v="6"/>
    <x v="0"/>
    <n v="1"/>
    <n v="2017"/>
  </r>
  <r>
    <n v="7"/>
    <x v="8"/>
    <x v="0"/>
    <x v="6"/>
    <x v="0"/>
    <n v="7"/>
    <n v="2017"/>
  </r>
  <r>
    <n v="77"/>
    <x v="0"/>
    <x v="1"/>
    <x v="6"/>
    <x v="0"/>
    <n v="77"/>
    <n v="2017"/>
  </r>
  <r>
    <n v="0"/>
    <x v="1"/>
    <x v="1"/>
    <x v="6"/>
    <x v="0"/>
    <n v="0"/>
    <n v="2017"/>
  </r>
  <r>
    <n v="1"/>
    <x v="2"/>
    <x v="1"/>
    <x v="6"/>
    <x v="0"/>
    <n v="1"/>
    <n v="2017"/>
  </r>
  <r>
    <n v="3"/>
    <x v="3"/>
    <x v="1"/>
    <x v="6"/>
    <x v="0"/>
    <n v="3"/>
    <n v="2017"/>
  </r>
  <r>
    <n v="0"/>
    <x v="4"/>
    <x v="1"/>
    <x v="6"/>
    <x v="0"/>
    <n v="0"/>
    <n v="2017"/>
  </r>
  <r>
    <n v="1"/>
    <x v="5"/>
    <x v="1"/>
    <x v="6"/>
    <x v="0"/>
    <n v="1"/>
    <n v="2017"/>
  </r>
  <r>
    <n v="0"/>
    <x v="6"/>
    <x v="1"/>
    <x v="6"/>
    <x v="0"/>
    <n v="0"/>
    <n v="2017"/>
  </r>
  <r>
    <n v="1"/>
    <x v="7"/>
    <x v="1"/>
    <x v="6"/>
    <x v="0"/>
    <n v="1"/>
    <n v="2017"/>
  </r>
  <r>
    <n v="0"/>
    <x v="8"/>
    <x v="1"/>
    <x v="6"/>
    <x v="0"/>
    <n v="0"/>
    <n v="2017"/>
  </r>
  <r>
    <n v="26"/>
    <x v="0"/>
    <x v="2"/>
    <x v="6"/>
    <x v="0"/>
    <n v="26"/>
    <n v="2017"/>
  </r>
  <r>
    <n v="0"/>
    <x v="1"/>
    <x v="2"/>
    <x v="6"/>
    <x v="0"/>
    <n v="0"/>
    <n v="2017"/>
  </r>
  <r>
    <n v="1"/>
    <x v="2"/>
    <x v="2"/>
    <x v="6"/>
    <x v="0"/>
    <n v="1"/>
    <n v="2017"/>
  </r>
  <r>
    <n v="2"/>
    <x v="3"/>
    <x v="2"/>
    <x v="6"/>
    <x v="0"/>
    <n v="2"/>
    <n v="2017"/>
  </r>
  <r>
    <n v="0"/>
    <x v="4"/>
    <x v="2"/>
    <x v="6"/>
    <x v="0"/>
    <n v="0"/>
    <n v="2017"/>
  </r>
  <r>
    <n v="2"/>
    <x v="5"/>
    <x v="2"/>
    <x v="6"/>
    <x v="0"/>
    <n v="2"/>
    <n v="2017"/>
  </r>
  <r>
    <n v="0"/>
    <x v="6"/>
    <x v="2"/>
    <x v="6"/>
    <x v="0"/>
    <n v="0"/>
    <n v="2017"/>
  </r>
  <r>
    <n v="1"/>
    <x v="7"/>
    <x v="2"/>
    <x v="6"/>
    <x v="0"/>
    <n v="1"/>
    <n v="2017"/>
  </r>
  <r>
    <n v="0"/>
    <x v="8"/>
    <x v="2"/>
    <x v="6"/>
    <x v="0"/>
    <n v="0"/>
    <n v="2017"/>
  </r>
  <r>
    <n v="15"/>
    <x v="0"/>
    <x v="3"/>
    <x v="6"/>
    <x v="0"/>
    <n v="15"/>
    <n v="2017"/>
  </r>
  <r>
    <n v="4"/>
    <x v="1"/>
    <x v="3"/>
    <x v="6"/>
    <x v="0"/>
    <n v="4"/>
    <n v="2017"/>
  </r>
  <r>
    <n v="3"/>
    <x v="2"/>
    <x v="3"/>
    <x v="6"/>
    <x v="0"/>
    <n v="3"/>
    <n v="2017"/>
  </r>
  <r>
    <n v="5"/>
    <x v="3"/>
    <x v="3"/>
    <x v="6"/>
    <x v="0"/>
    <n v="5"/>
    <n v="2017"/>
  </r>
  <r>
    <n v="9"/>
    <x v="4"/>
    <x v="3"/>
    <x v="6"/>
    <x v="0"/>
    <n v="9"/>
    <n v="2017"/>
  </r>
  <r>
    <n v="9"/>
    <x v="5"/>
    <x v="3"/>
    <x v="6"/>
    <x v="0"/>
    <n v="9"/>
    <n v="2017"/>
  </r>
  <r>
    <n v="0"/>
    <x v="6"/>
    <x v="3"/>
    <x v="6"/>
    <x v="0"/>
    <n v="0"/>
    <n v="2017"/>
  </r>
  <r>
    <n v="1"/>
    <x v="7"/>
    <x v="3"/>
    <x v="6"/>
    <x v="0"/>
    <n v="1"/>
    <n v="2017"/>
  </r>
  <r>
    <n v="5"/>
    <x v="8"/>
    <x v="3"/>
    <x v="6"/>
    <x v="0"/>
    <n v="5"/>
    <n v="2017"/>
  </r>
  <r>
    <n v="4"/>
    <x v="0"/>
    <x v="4"/>
    <x v="6"/>
    <x v="0"/>
    <n v="4"/>
    <n v="2017"/>
  </r>
  <r>
    <n v="0"/>
    <x v="1"/>
    <x v="4"/>
    <x v="6"/>
    <x v="0"/>
    <n v="0"/>
    <n v="2017"/>
  </r>
  <r>
    <n v="1"/>
    <x v="2"/>
    <x v="4"/>
    <x v="6"/>
    <x v="0"/>
    <n v="1"/>
    <n v="2017"/>
  </r>
  <r>
    <n v="1"/>
    <x v="3"/>
    <x v="4"/>
    <x v="6"/>
    <x v="0"/>
    <n v="1"/>
    <n v="2017"/>
  </r>
  <r>
    <n v="0"/>
    <x v="4"/>
    <x v="4"/>
    <x v="6"/>
    <x v="0"/>
    <n v="0"/>
    <n v="2017"/>
  </r>
  <r>
    <n v="0"/>
    <x v="5"/>
    <x v="4"/>
    <x v="6"/>
    <x v="0"/>
    <n v="0"/>
    <n v="2017"/>
  </r>
  <r>
    <n v="0"/>
    <x v="6"/>
    <x v="4"/>
    <x v="6"/>
    <x v="0"/>
    <n v="0"/>
    <n v="2017"/>
  </r>
  <r>
    <n v="0"/>
    <x v="7"/>
    <x v="4"/>
    <x v="6"/>
    <x v="0"/>
    <n v="0"/>
    <n v="2017"/>
  </r>
  <r>
    <n v="0"/>
    <x v="8"/>
    <x v="4"/>
    <x v="6"/>
    <x v="0"/>
    <n v="0"/>
    <n v="2017"/>
  </r>
  <r>
    <n v="12"/>
    <x v="0"/>
    <x v="5"/>
    <x v="6"/>
    <x v="0"/>
    <n v="12"/>
    <n v="2017"/>
  </r>
  <r>
    <n v="0"/>
    <x v="1"/>
    <x v="5"/>
    <x v="6"/>
    <x v="0"/>
    <n v="0"/>
    <n v="2017"/>
  </r>
  <r>
    <n v="2"/>
    <x v="2"/>
    <x v="5"/>
    <x v="6"/>
    <x v="0"/>
    <n v="2"/>
    <n v="2017"/>
  </r>
  <r>
    <n v="0"/>
    <x v="3"/>
    <x v="5"/>
    <x v="6"/>
    <x v="0"/>
    <n v="0"/>
    <n v="2017"/>
  </r>
  <r>
    <n v="0"/>
    <x v="4"/>
    <x v="5"/>
    <x v="6"/>
    <x v="0"/>
    <n v="0"/>
    <n v="2017"/>
  </r>
  <r>
    <n v="0"/>
    <x v="5"/>
    <x v="5"/>
    <x v="6"/>
    <x v="0"/>
    <n v="0"/>
    <n v="2017"/>
  </r>
  <r>
    <n v="0"/>
    <x v="6"/>
    <x v="5"/>
    <x v="6"/>
    <x v="0"/>
    <n v="0"/>
    <n v="2017"/>
  </r>
  <r>
    <n v="0"/>
    <x v="7"/>
    <x v="5"/>
    <x v="6"/>
    <x v="0"/>
    <n v="0"/>
    <n v="2017"/>
  </r>
  <r>
    <n v="0"/>
    <x v="8"/>
    <x v="5"/>
    <x v="6"/>
    <x v="0"/>
    <n v="0"/>
    <n v="2017"/>
  </r>
  <r>
    <n v="532"/>
    <x v="0"/>
    <x v="6"/>
    <x v="6"/>
    <x v="1"/>
    <n v="532"/>
    <n v="2017"/>
  </r>
  <r>
    <n v="123"/>
    <x v="1"/>
    <x v="6"/>
    <x v="6"/>
    <x v="1"/>
    <n v="123"/>
    <n v="2017"/>
  </r>
  <r>
    <n v="64"/>
    <x v="2"/>
    <x v="6"/>
    <x v="6"/>
    <x v="1"/>
    <n v="64"/>
    <n v="2017"/>
  </r>
  <r>
    <n v="110"/>
    <x v="3"/>
    <x v="6"/>
    <x v="6"/>
    <x v="1"/>
    <n v="110"/>
    <n v="2017"/>
  </r>
  <r>
    <n v="59"/>
    <x v="4"/>
    <x v="6"/>
    <x v="6"/>
    <x v="1"/>
    <n v="59"/>
    <n v="2017"/>
  </r>
  <r>
    <n v="62"/>
    <x v="5"/>
    <x v="6"/>
    <x v="6"/>
    <x v="1"/>
    <n v="62"/>
    <n v="2017"/>
  </r>
  <r>
    <n v="51"/>
    <x v="6"/>
    <x v="6"/>
    <x v="6"/>
    <x v="1"/>
    <n v="51"/>
    <n v="2017"/>
  </r>
  <r>
    <n v="26"/>
    <x v="7"/>
    <x v="6"/>
    <x v="6"/>
    <x v="1"/>
    <n v="26"/>
    <n v="2017"/>
  </r>
  <r>
    <n v="143"/>
    <x v="8"/>
    <x v="6"/>
    <x v="6"/>
    <x v="1"/>
    <n v="143"/>
    <n v="2017"/>
  </r>
  <r>
    <n v="202"/>
    <x v="0"/>
    <x v="7"/>
    <x v="6"/>
    <x v="1"/>
    <n v="202"/>
    <n v="2017"/>
  </r>
  <r>
    <n v="16"/>
    <x v="1"/>
    <x v="7"/>
    <x v="6"/>
    <x v="1"/>
    <n v="16"/>
    <n v="2017"/>
  </r>
  <r>
    <n v="32"/>
    <x v="2"/>
    <x v="7"/>
    <x v="6"/>
    <x v="1"/>
    <n v="32"/>
    <n v="2017"/>
  </r>
  <r>
    <n v="23"/>
    <x v="3"/>
    <x v="7"/>
    <x v="6"/>
    <x v="1"/>
    <n v="23"/>
    <n v="2017"/>
  </r>
  <r>
    <n v="19"/>
    <x v="4"/>
    <x v="7"/>
    <x v="6"/>
    <x v="1"/>
    <n v="19"/>
    <n v="2017"/>
  </r>
  <r>
    <n v="26"/>
    <x v="5"/>
    <x v="7"/>
    <x v="6"/>
    <x v="1"/>
    <n v="26"/>
    <n v="2017"/>
  </r>
  <r>
    <n v="20"/>
    <x v="6"/>
    <x v="7"/>
    <x v="6"/>
    <x v="1"/>
    <n v="20"/>
    <n v="2017"/>
  </r>
  <r>
    <n v="7"/>
    <x v="7"/>
    <x v="7"/>
    <x v="6"/>
    <x v="1"/>
    <n v="7"/>
    <n v="2017"/>
  </r>
  <r>
    <n v="35"/>
    <x v="8"/>
    <x v="7"/>
    <x v="6"/>
    <x v="1"/>
    <n v="35"/>
    <n v="2017"/>
  </r>
  <r>
    <n v="117"/>
    <x v="0"/>
    <x v="8"/>
    <x v="6"/>
    <x v="1"/>
    <n v="117"/>
    <n v="2017"/>
  </r>
  <r>
    <n v="13"/>
    <x v="1"/>
    <x v="8"/>
    <x v="6"/>
    <x v="1"/>
    <n v="13"/>
    <n v="2017"/>
  </r>
  <r>
    <n v="14"/>
    <x v="2"/>
    <x v="8"/>
    <x v="6"/>
    <x v="1"/>
    <n v="14"/>
    <n v="2017"/>
  </r>
  <r>
    <n v="14"/>
    <x v="3"/>
    <x v="8"/>
    <x v="6"/>
    <x v="1"/>
    <n v="14"/>
    <n v="2017"/>
  </r>
  <r>
    <n v="24"/>
    <x v="4"/>
    <x v="8"/>
    <x v="6"/>
    <x v="1"/>
    <n v="24"/>
    <n v="2017"/>
  </r>
  <r>
    <n v="20"/>
    <x v="5"/>
    <x v="8"/>
    <x v="6"/>
    <x v="1"/>
    <n v="20"/>
    <n v="2017"/>
  </r>
  <r>
    <n v="5"/>
    <x v="6"/>
    <x v="8"/>
    <x v="6"/>
    <x v="1"/>
    <n v="5"/>
    <n v="2017"/>
  </r>
  <r>
    <n v="97"/>
    <x v="7"/>
    <x v="8"/>
    <x v="6"/>
    <x v="1"/>
    <n v="97"/>
    <n v="2017"/>
  </r>
  <r>
    <n v="12"/>
    <x v="8"/>
    <x v="8"/>
    <x v="6"/>
    <x v="1"/>
    <n v="12"/>
    <n v="2017"/>
  </r>
  <r>
    <n v="49"/>
    <x v="0"/>
    <x v="9"/>
    <x v="6"/>
    <x v="1"/>
    <n v="49"/>
    <n v="2017"/>
  </r>
  <r>
    <n v="5"/>
    <x v="1"/>
    <x v="9"/>
    <x v="6"/>
    <x v="1"/>
    <n v="5"/>
    <n v="2017"/>
  </r>
  <r>
    <n v="8"/>
    <x v="2"/>
    <x v="9"/>
    <x v="6"/>
    <x v="1"/>
    <n v="8"/>
    <n v="2017"/>
  </r>
  <r>
    <n v="6"/>
    <x v="3"/>
    <x v="9"/>
    <x v="6"/>
    <x v="1"/>
    <n v="6"/>
    <n v="2017"/>
  </r>
  <r>
    <n v="5"/>
    <x v="4"/>
    <x v="9"/>
    <x v="6"/>
    <x v="1"/>
    <n v="5"/>
    <n v="2017"/>
  </r>
  <r>
    <n v="0"/>
    <x v="5"/>
    <x v="9"/>
    <x v="6"/>
    <x v="1"/>
    <n v="0"/>
    <n v="2017"/>
  </r>
  <r>
    <n v="1"/>
    <x v="6"/>
    <x v="9"/>
    <x v="6"/>
    <x v="1"/>
    <n v="1"/>
    <n v="2017"/>
  </r>
  <r>
    <n v="0"/>
    <x v="7"/>
    <x v="9"/>
    <x v="6"/>
    <x v="1"/>
    <n v="0"/>
    <n v="2017"/>
  </r>
  <r>
    <n v="6"/>
    <x v="8"/>
    <x v="9"/>
    <x v="6"/>
    <x v="1"/>
    <n v="6"/>
    <n v="2017"/>
  </r>
  <r>
    <n v="1626"/>
    <x v="0"/>
    <x v="10"/>
    <x v="6"/>
    <x v="1"/>
    <n v="1626"/>
    <n v="2017"/>
  </r>
  <r>
    <n v="186"/>
    <x v="1"/>
    <x v="10"/>
    <x v="6"/>
    <x v="1"/>
    <n v="186"/>
    <n v="2017"/>
  </r>
  <r>
    <n v="167"/>
    <x v="2"/>
    <x v="10"/>
    <x v="6"/>
    <x v="1"/>
    <n v="167"/>
    <n v="2017"/>
  </r>
  <r>
    <n v="246"/>
    <x v="3"/>
    <x v="10"/>
    <x v="6"/>
    <x v="1"/>
    <n v="246"/>
    <n v="2017"/>
  </r>
  <r>
    <n v="266"/>
    <x v="4"/>
    <x v="10"/>
    <x v="6"/>
    <x v="1"/>
    <n v="266"/>
    <n v="2017"/>
  </r>
  <r>
    <n v="118"/>
    <x v="5"/>
    <x v="10"/>
    <x v="6"/>
    <x v="1"/>
    <n v="118"/>
    <n v="2017"/>
  </r>
  <r>
    <n v="89"/>
    <x v="6"/>
    <x v="10"/>
    <x v="6"/>
    <x v="1"/>
    <n v="89"/>
    <n v="2017"/>
  </r>
  <r>
    <n v="63"/>
    <x v="7"/>
    <x v="10"/>
    <x v="6"/>
    <x v="1"/>
    <n v="63"/>
    <n v="2017"/>
  </r>
  <r>
    <n v="243"/>
    <x v="8"/>
    <x v="10"/>
    <x v="6"/>
    <x v="1"/>
    <n v="243"/>
    <n v="2017"/>
  </r>
  <r>
    <n v="955"/>
    <x v="0"/>
    <x v="11"/>
    <x v="6"/>
    <x v="1"/>
    <n v="955"/>
    <n v="2017"/>
  </r>
  <r>
    <n v="56"/>
    <x v="1"/>
    <x v="11"/>
    <x v="6"/>
    <x v="1"/>
    <n v="56"/>
    <n v="2017"/>
  </r>
  <r>
    <n v="109"/>
    <x v="2"/>
    <x v="11"/>
    <x v="6"/>
    <x v="1"/>
    <n v="109"/>
    <n v="2017"/>
  </r>
  <r>
    <n v="154"/>
    <x v="3"/>
    <x v="11"/>
    <x v="6"/>
    <x v="1"/>
    <n v="154"/>
    <n v="2017"/>
  </r>
  <r>
    <n v="45"/>
    <x v="4"/>
    <x v="11"/>
    <x v="6"/>
    <x v="1"/>
    <n v="45"/>
    <n v="2017"/>
  </r>
  <r>
    <n v="65"/>
    <x v="5"/>
    <x v="11"/>
    <x v="6"/>
    <x v="1"/>
    <n v="65"/>
    <n v="2017"/>
  </r>
  <r>
    <n v="129"/>
    <x v="6"/>
    <x v="11"/>
    <x v="6"/>
    <x v="1"/>
    <n v="129"/>
    <n v="2017"/>
  </r>
  <r>
    <n v="62"/>
    <x v="7"/>
    <x v="11"/>
    <x v="6"/>
    <x v="1"/>
    <n v="62"/>
    <n v="2017"/>
  </r>
  <r>
    <n v="309"/>
    <x v="8"/>
    <x v="11"/>
    <x v="6"/>
    <x v="1"/>
    <n v="309"/>
    <n v="2017"/>
  </r>
  <r>
    <n v="255"/>
    <x v="0"/>
    <x v="12"/>
    <x v="6"/>
    <x v="1"/>
    <n v="255"/>
    <n v="2017"/>
  </r>
  <r>
    <n v="27"/>
    <x v="1"/>
    <x v="12"/>
    <x v="6"/>
    <x v="1"/>
    <n v="27"/>
    <n v="2017"/>
  </r>
  <r>
    <n v="143"/>
    <x v="2"/>
    <x v="12"/>
    <x v="6"/>
    <x v="1"/>
    <n v="143"/>
    <n v="2017"/>
  </r>
  <r>
    <n v="24"/>
    <x v="3"/>
    <x v="12"/>
    <x v="6"/>
    <x v="1"/>
    <n v="24"/>
    <n v="2017"/>
  </r>
  <r>
    <n v="16"/>
    <x v="4"/>
    <x v="12"/>
    <x v="6"/>
    <x v="1"/>
    <n v="16"/>
    <n v="2017"/>
  </r>
  <r>
    <n v="24"/>
    <x v="5"/>
    <x v="12"/>
    <x v="6"/>
    <x v="1"/>
    <n v="24"/>
    <n v="2017"/>
  </r>
  <r>
    <n v="11"/>
    <x v="6"/>
    <x v="12"/>
    <x v="6"/>
    <x v="1"/>
    <n v="11"/>
    <n v="2017"/>
  </r>
  <r>
    <n v="49"/>
    <x v="7"/>
    <x v="12"/>
    <x v="6"/>
    <x v="1"/>
    <n v="49"/>
    <n v="2017"/>
  </r>
  <r>
    <n v="42"/>
    <x v="8"/>
    <x v="12"/>
    <x v="6"/>
    <x v="1"/>
    <n v="42"/>
    <n v="20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C7581C-7FFF-41FC-8D92-2F551F9123CF}" name="PivotChartTable1"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B11" firstHeaderRow="1" firstDataRow="1" firstDataCol="1"/>
  <pivotFields count="2">
    <pivotField dataField="1" subtotalTop="0" showAll="0" defaultSubtotal="0"/>
    <pivotField axis="axisRow" allDrilled="1" subtotalTop="0" showAll="0" dataSourceSort="1" defaultSubtotal="0" defaultAttributeDrillState="1">
      <items count="9">
        <item x="0"/>
        <item x="1"/>
        <item x="2"/>
        <item x="3"/>
        <item x="4"/>
        <item x="5"/>
        <item x="6"/>
        <item x="7"/>
        <item x="8"/>
      </items>
    </pivotField>
  </pivotFields>
  <rowFields count="1">
    <field x="1"/>
  </rowFields>
  <rowItems count="10">
    <i>
      <x/>
    </i>
    <i>
      <x v="1"/>
    </i>
    <i>
      <x v="2"/>
    </i>
    <i>
      <x v="3"/>
    </i>
    <i>
      <x v="4"/>
    </i>
    <i>
      <x v="5"/>
    </i>
    <i>
      <x v="6"/>
    </i>
    <i>
      <x v="7"/>
    </i>
    <i>
      <x v="8"/>
    </i>
    <i t="grand">
      <x/>
    </i>
  </rowItems>
  <colItems count="1">
    <i/>
  </colItems>
  <dataFields count="1">
    <dataField name="Sum of Number" fld="0" baseField="0" baseItem="0"/>
  </dataFields>
  <chartFormats count="1">
    <chartFormat chart="0" format="0" series="1">
      <pivotArea type="data" outline="0" fieldPosition="0">
        <references count="1">
          <reference field="4294967294" count="1" selected="0">
            <x v="0"/>
          </reference>
        </references>
      </pivotArea>
    </chartFormat>
  </chartFormats>
  <pivotHierarchies count="1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0" columnCount="1" cacheId="149869602">
        <x15:pivotRow count="1">
          <x15:c>
            <x15:v>3641</x15:v>
          </x15:c>
        </x15:pivotRow>
        <x15:pivotRow count="1">
          <x15:c>
            <x15:v>26872</x15:v>
          </x15:c>
        </x15:pivotRow>
        <x15:pivotRow count="1">
          <x15:c>
            <x15:v>3579</x15:v>
          </x15:c>
        </x15:pivotRow>
        <x15:pivotRow count="1">
          <x15:c>
            <x15:v>4437</x15:v>
          </x15:c>
        </x15:pivotRow>
        <x15:pivotRow count="1">
          <x15:c>
            <x15:v>3476</x15:v>
          </x15:c>
        </x15:pivotRow>
        <x15:pivotRow count="1">
          <x15:c>
            <x15:v>3800</x15:v>
          </x15:c>
        </x15:pivotRow>
        <x15:pivotRow count="1">
          <x15:c>
            <x15:v>3123</x15:v>
          </x15:c>
        </x15:pivotRow>
        <x15:pivotRow count="1">
          <x15:c>
            <x15:v>2139</x15:v>
          </x15:c>
        </x15:pivotRow>
        <x15:pivotRow count="1">
          <x15:c>
            <x15:v>4798</x15:v>
          </x15:c>
        </x15:pivotRow>
        <x15:pivotRow count="1">
          <x15:c>
            <x15:v>55865</x15:v>
          </x15:c>
        </x15:pivotRow>
      </x15:pivotTableData>
    </ext>
    <ext xmlns:x15="http://schemas.microsoft.com/office/spreadsheetml/2010/11/main" uri="{E67621CE-5B39-4880-91FE-76760E9C1902}">
      <x15:pivotTableUISettings sourceDataName="WorksheetConnection_Unpivoted!$A$1:$G$820">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B7A1175-50F8-4D62-8F53-A27B9728C9B9}" name="PivotTable10"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M2:N9" firstHeaderRow="1" firstDataRow="1" firstDataCol="1"/>
  <pivotFields count="7">
    <pivotField dataField="1" showAll="0"/>
    <pivotField showAll="0">
      <items count="10">
        <item x="1"/>
        <item x="0"/>
        <item x="2"/>
        <item x="3"/>
        <item x="4"/>
        <item h="1" x="5"/>
        <item h="1" x="6"/>
        <item h="1" x="7"/>
        <item h="1" x="8"/>
        <item t="default"/>
      </items>
    </pivotField>
    <pivotField axis="axisRow" showAll="0">
      <items count="14">
        <item x="1"/>
        <item x="11"/>
        <item x="3"/>
        <item x="10"/>
        <item x="2"/>
        <item x="0"/>
        <item x="12"/>
        <item x="5"/>
        <item x="6"/>
        <item x="7"/>
        <item x="4"/>
        <item x="8"/>
        <item x="9"/>
        <item t="default"/>
      </items>
    </pivotField>
    <pivotField showAll="0">
      <items count="8">
        <item h="1" x="6"/>
        <item h="1" x="5"/>
        <item h="1" x="4"/>
        <item h="1" x="3"/>
        <item h="1" x="2"/>
        <item x="1"/>
        <item h="1" x="0"/>
        <item t="default"/>
      </items>
    </pivotField>
    <pivotField showAll="0">
      <items count="3">
        <item x="0"/>
        <item h="1" x="1"/>
        <item t="default"/>
      </items>
    </pivotField>
    <pivotField showAll="0"/>
    <pivotField showAll="0"/>
  </pivotFields>
  <rowFields count="1">
    <field x="2"/>
  </rowFields>
  <rowItems count="7">
    <i>
      <x/>
    </i>
    <i>
      <x v="2"/>
    </i>
    <i>
      <x v="4"/>
    </i>
    <i>
      <x v="5"/>
    </i>
    <i>
      <x v="7"/>
    </i>
    <i>
      <x v="10"/>
    </i>
    <i t="grand">
      <x/>
    </i>
  </rowItems>
  <colItems count="1">
    <i/>
  </colItems>
  <dataFields count="1">
    <dataField name="Sum of Number" fld="0" baseField="0" baseItem="0"/>
  </dataFields>
  <formats count="18">
    <format dxfId="12">
      <pivotArea type="all" dataOnly="0" outline="0" fieldPosition="0"/>
    </format>
    <format dxfId="13">
      <pivotArea outline="0" collapsedLevelsAreSubtotals="1" fieldPosition="0"/>
    </format>
    <format dxfId="14">
      <pivotArea field="2" type="button" dataOnly="0" labelOnly="1" outline="0" axis="axisRow" fieldPosition="0"/>
    </format>
    <format dxfId="15">
      <pivotArea dataOnly="0" labelOnly="1" fieldPosition="0">
        <references count="1">
          <reference field="2" count="6">
            <x v="0"/>
            <x v="2"/>
            <x v="4"/>
            <x v="5"/>
            <x v="7"/>
            <x v="10"/>
          </reference>
        </references>
      </pivotArea>
    </format>
    <format dxfId="16">
      <pivotArea dataOnly="0" labelOnly="1" grandRow="1" outline="0" fieldPosition="0"/>
    </format>
    <format dxfId="17">
      <pivotArea dataOnly="0" labelOnly="1" outline="0" axis="axisValues" fieldPosition="0"/>
    </format>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fieldPosition="0">
        <references count="1">
          <reference field="2" count="6">
            <x v="0"/>
            <x v="2"/>
            <x v="4"/>
            <x v="5"/>
            <x v="7"/>
            <x v="10"/>
          </reference>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fieldPosition="0">
        <references count="1">
          <reference field="2" count="6">
            <x v="0"/>
            <x v="2"/>
            <x v="4"/>
            <x v="5"/>
            <x v="7"/>
            <x v="10"/>
          </reference>
        </references>
      </pivotArea>
    </format>
    <format dxfId="1">
      <pivotArea dataOnly="0" labelOnly="1" grandRow="1" outline="0" fieldPosition="0"/>
    </format>
    <format dxfId="0">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7CC9C8-C9AE-46FA-882B-9E2BE63A95F6}" name="PivotTable4"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8:B65" firstHeaderRow="1" firstDataRow="1" firstDataCol="1"/>
  <pivotFields count="7">
    <pivotField dataField="1" showAll="0"/>
    <pivotField showAll="0">
      <items count="10">
        <item x="1"/>
        <item x="0"/>
        <item x="2"/>
        <item x="3"/>
        <item x="4"/>
        <item h="1" x="5"/>
        <item h="1" x="6"/>
        <item h="1" x="7"/>
        <item h="1" x="8"/>
        <item t="default"/>
      </items>
    </pivotField>
    <pivotField axis="axisRow" showAll="0">
      <items count="14">
        <item x="1"/>
        <item x="11"/>
        <item x="3"/>
        <item x="10"/>
        <item x="2"/>
        <item x="0"/>
        <item x="12"/>
        <item x="5"/>
        <item x="6"/>
        <item x="7"/>
        <item x="4"/>
        <item x="8"/>
        <item x="9"/>
        <item t="default"/>
      </items>
    </pivotField>
    <pivotField showAll="0">
      <items count="8">
        <item h="1" x="6"/>
        <item h="1" x="5"/>
        <item h="1" x="4"/>
        <item h="1" x="3"/>
        <item h="1" x="2"/>
        <item x="1"/>
        <item h="1" x="0"/>
        <item t="default"/>
      </items>
    </pivotField>
    <pivotField showAll="0">
      <items count="3">
        <item x="0"/>
        <item h="1" x="1"/>
        <item t="default"/>
      </items>
    </pivotField>
    <pivotField showAll="0"/>
    <pivotField showAll="0"/>
  </pivotFields>
  <rowFields count="1">
    <field x="2"/>
  </rowFields>
  <rowItems count="7">
    <i>
      <x/>
    </i>
    <i>
      <x v="2"/>
    </i>
    <i>
      <x v="4"/>
    </i>
    <i>
      <x v="5"/>
    </i>
    <i>
      <x v="7"/>
    </i>
    <i>
      <x v="10"/>
    </i>
    <i t="grand">
      <x/>
    </i>
  </rowItems>
  <colItems count="1">
    <i/>
  </colItems>
  <dataFields count="1">
    <dataField name="Sum of Number" fld="0" baseField="0" baseItem="0"/>
  </dataFields>
  <formats count="6">
    <format dxfId="21">
      <pivotArea type="all" dataOnly="0" outline="0" fieldPosition="0"/>
    </format>
    <format dxfId="22">
      <pivotArea outline="0" collapsedLevelsAreSubtotals="1" fieldPosition="0"/>
    </format>
    <format dxfId="23">
      <pivotArea field="2" type="button" dataOnly="0" labelOnly="1" outline="0" axis="axisRow" fieldPosition="0"/>
    </format>
    <format dxfId="24">
      <pivotArea dataOnly="0" labelOnly="1" fieldPosition="0">
        <references count="1">
          <reference field="2" count="6">
            <x v="0"/>
            <x v="2"/>
            <x v="4"/>
            <x v="5"/>
            <x v="7"/>
            <x v="10"/>
          </reference>
        </references>
      </pivotArea>
    </format>
    <format dxfId="25">
      <pivotArea dataOnly="0" labelOnly="1" grandRow="1" outline="0" fieldPosition="0"/>
    </format>
    <format dxfId="26">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119A1A-845C-43F5-AB05-4F4A8DAFA2D6}" name="PivotTable5"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B8" firstHeaderRow="1" firstDataRow="1" firstDataCol="1"/>
  <pivotFields count="7">
    <pivotField showAll="0"/>
    <pivotField showAll="0">
      <items count="10">
        <item x="1"/>
        <item x="0"/>
        <item x="2"/>
        <item x="3"/>
        <item x="4"/>
        <item h="1" x="5"/>
        <item h="1" x="6"/>
        <item h="1" x="7"/>
        <item h="1" x="8"/>
        <item t="default"/>
      </items>
    </pivotField>
    <pivotField axis="axisRow" showAll="0">
      <items count="14">
        <item x="1"/>
        <item x="11"/>
        <item x="3"/>
        <item x="10"/>
        <item x="2"/>
        <item x="0"/>
        <item x="12"/>
        <item x="5"/>
        <item x="6"/>
        <item x="7"/>
        <item x="4"/>
        <item x="8"/>
        <item x="9"/>
        <item t="default"/>
      </items>
    </pivotField>
    <pivotField showAll="0">
      <items count="8">
        <item h="1" x="6"/>
        <item h="1" x="5"/>
        <item h="1" x="4"/>
        <item h="1" x="3"/>
        <item h="1" x="2"/>
        <item x="1"/>
        <item h="1" x="0"/>
        <item t="default"/>
      </items>
    </pivotField>
    <pivotField showAll="0">
      <items count="3">
        <item x="0"/>
        <item h="1" x="1"/>
        <item t="default"/>
      </items>
    </pivotField>
    <pivotField dataField="1" showAll="0"/>
    <pivotField showAll="0"/>
  </pivotFields>
  <rowFields count="1">
    <field x="2"/>
  </rowFields>
  <rowItems count="7">
    <i>
      <x/>
    </i>
    <i>
      <x v="2"/>
    </i>
    <i>
      <x v="4"/>
    </i>
    <i>
      <x v="5"/>
    </i>
    <i>
      <x v="7"/>
    </i>
    <i>
      <x v="10"/>
    </i>
    <i t="grand">
      <x/>
    </i>
  </rowItems>
  <colItems count="1">
    <i/>
  </colItems>
  <dataFields count="1">
    <dataField name="Average of % Increase from Previous Year" fld="5" subtotal="average" baseField="0" baseItem="0"/>
  </dataFields>
  <chartFormats count="2">
    <chartFormat chart="0" format="2"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B910C9A-8FC8-4853-8304-C3BF1D06BCC5}" name="PivotTable6"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0" firstHeaderRow="1" firstDataRow="1" firstDataCol="1"/>
  <pivotFields count="7">
    <pivotField showAll="0"/>
    <pivotField showAll="0">
      <items count="10">
        <item x="1"/>
        <item x="0"/>
        <item x="2"/>
        <item x="3"/>
        <item x="4"/>
        <item h="1" x="5"/>
        <item h="1" x="6"/>
        <item h="1" x="7"/>
        <item h="1" x="8"/>
        <item t="default"/>
      </items>
    </pivotField>
    <pivotField axis="axisRow" showAll="0">
      <items count="14">
        <item x="1"/>
        <item x="11"/>
        <item x="3"/>
        <item x="10"/>
        <item x="2"/>
        <item x="0"/>
        <item x="12"/>
        <item x="5"/>
        <item x="6"/>
        <item x="7"/>
        <item x="4"/>
        <item x="8"/>
        <item x="9"/>
        <item t="default"/>
      </items>
    </pivotField>
    <pivotField showAll="0">
      <items count="8">
        <item h="1" x="6"/>
        <item h="1" x="5"/>
        <item h="1" x="4"/>
        <item h="1" x="3"/>
        <item h="1" x="2"/>
        <item x="1"/>
        <item h="1" x="0"/>
        <item t="default"/>
      </items>
    </pivotField>
    <pivotField showAll="0">
      <items count="3">
        <item x="0"/>
        <item h="1" x="1"/>
        <item t="default"/>
      </items>
    </pivotField>
    <pivotField dataField="1" showAll="0"/>
    <pivotField showAll="0"/>
  </pivotFields>
  <rowFields count="1">
    <field x="2"/>
  </rowFields>
  <rowItems count="7">
    <i>
      <x/>
    </i>
    <i>
      <x v="2"/>
    </i>
    <i>
      <x v="4"/>
    </i>
    <i>
      <x v="5"/>
    </i>
    <i>
      <x v="7"/>
    </i>
    <i>
      <x v="10"/>
    </i>
    <i t="grand">
      <x/>
    </i>
  </rowItems>
  <colItems count="1">
    <i/>
  </colItems>
  <dataFields count="1">
    <dataField name="Average  Increase from Previous Year" fld="5"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F55CB3-E8FD-409E-9C3A-705DCCB8859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I11" firstHeaderRow="0" firstDataRow="1" firstDataCol="1" rowPageCount="1" colPageCount="1"/>
  <pivotFields count="14">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axis="axisRow" showAll="0">
      <items count="8">
        <item x="6"/>
        <item x="5"/>
        <item x="4"/>
        <item x="3"/>
        <item x="2"/>
        <item x="1"/>
        <item x="0"/>
        <item t="default"/>
      </items>
    </pivotField>
    <pivotField axis="axisPage" multipleItemSelectionAllowed="1" showAll="0">
      <items count="3">
        <item x="0"/>
        <item x="1"/>
        <item t="default"/>
      </items>
    </pivotField>
  </pivotFields>
  <rowFields count="1">
    <field x="12"/>
  </rowFields>
  <rowItems count="8">
    <i>
      <x/>
    </i>
    <i>
      <x v="1"/>
    </i>
    <i>
      <x v="2"/>
    </i>
    <i>
      <x v="3"/>
    </i>
    <i>
      <x v="4"/>
    </i>
    <i>
      <x v="5"/>
    </i>
    <i>
      <x v="6"/>
    </i>
    <i t="grand">
      <x/>
    </i>
  </rowItems>
  <colFields count="1">
    <field x="-2"/>
  </colFields>
  <colItems count="8">
    <i>
      <x/>
    </i>
    <i i="1">
      <x v="1"/>
    </i>
    <i i="2">
      <x v="2"/>
    </i>
    <i i="3">
      <x v="3"/>
    </i>
    <i i="4">
      <x v="4"/>
    </i>
    <i i="5">
      <x v="5"/>
    </i>
    <i i="6">
      <x v="6"/>
    </i>
    <i i="7">
      <x v="7"/>
    </i>
  </colItems>
  <pageFields count="1">
    <pageField fld="13" hier="-1"/>
  </pageFields>
  <dataFields count="8">
    <dataField name="Sum of Townsville" fld="9" baseField="0" baseItem="0"/>
    <dataField name="Sum of Beenleigh" fld="2" baseField="0" baseItem="0"/>
    <dataField name="Sum of Toowoomba" fld="8" baseField="0" baseItem="0"/>
    <dataField name="Sum of Southport" fld="7" baseField="0" baseItem="0"/>
    <dataField name="Sum of Ipswich" fld="4" baseField="0" baseItem="0"/>
    <dataField name="Sum of Cairns" fld="3" baseField="0" baseItem="0"/>
    <dataField name="Sum of Rockhampton" fld="6" baseField="0" baseItem="0"/>
    <dataField name="Sum of Maroochy" fld="5"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2"/>
          </reference>
        </references>
      </pivotArea>
    </chartFormat>
    <chartFormat chart="0" format="2" series="1">
      <pivotArea type="data" outline="0" fieldPosition="0">
        <references count="1">
          <reference field="4294967294" count="1" selected="0">
            <x v="3"/>
          </reference>
        </references>
      </pivotArea>
    </chartFormat>
    <chartFormat chart="0" format="3" series="1">
      <pivotArea type="data" outline="0" fieldPosition="0">
        <references count="1">
          <reference field="4294967294" count="1" selected="0">
            <x v="6"/>
          </reference>
        </references>
      </pivotArea>
    </chartFormat>
    <chartFormat chart="0" format="4" series="1">
      <pivotArea type="data" outline="0" fieldPosition="0">
        <references count="1">
          <reference field="4294967294" count="1" selected="0">
            <x v="7"/>
          </reference>
        </references>
      </pivotArea>
    </chartFormat>
    <chartFormat chart="0" format="5" series="1">
      <pivotArea type="data" outline="0" fieldPosition="0">
        <references count="1">
          <reference field="4294967294" count="1" selected="0">
            <x v="4"/>
          </reference>
        </references>
      </pivotArea>
    </chartFormat>
    <chartFormat chart="0" format="6" series="1">
      <pivotArea type="data" outline="0" fieldPosition="0">
        <references count="1">
          <reference field="4294967294" count="1" selected="0">
            <x v="5"/>
          </reference>
        </references>
      </pivotArea>
    </chartFormat>
    <chartFormat chart="0"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B4FAB0-B21B-41C2-8E48-17BEF890FE83}"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A3:J11" firstHeaderRow="0" firstDataRow="1" firstDataCol="1" rowPageCount="1" colPageCount="1"/>
  <pivotFields count="13">
    <pivotField showAll="0"/>
    <pivotField dataField="1" numFmtId="2" showAll="0"/>
    <pivotField dataField="1" numFmtId="2" showAll="0"/>
    <pivotField dataField="1" numFmtId="2" showAll="0"/>
    <pivotField dataField="1" numFmtId="2" showAll="0"/>
    <pivotField dataField="1" numFmtId="2" showAll="0"/>
    <pivotField dataField="1" numFmtId="2" showAll="0"/>
    <pivotField dataField="1" numFmtId="2" showAll="0"/>
    <pivotField dataField="1" numFmtId="2" showAll="0"/>
    <pivotField dataField="1" numFmtId="2" showAll="0"/>
    <pivotField numFmtId="2" showAll="0"/>
    <pivotField axis="axisRow" showAll="0">
      <items count="8">
        <item x="6"/>
        <item x="5"/>
        <item x="4"/>
        <item x="3"/>
        <item x="2"/>
        <item x="1"/>
        <item x="0"/>
        <item t="default"/>
      </items>
    </pivotField>
    <pivotField axis="axisPage" showAll="0">
      <items count="3">
        <item x="0"/>
        <item x="1"/>
        <item t="default"/>
      </items>
    </pivotField>
  </pivotFields>
  <rowFields count="1">
    <field x="11"/>
  </rowFields>
  <rowItems count="8">
    <i>
      <x/>
    </i>
    <i>
      <x v="1"/>
    </i>
    <i>
      <x v="2"/>
    </i>
    <i>
      <x v="3"/>
    </i>
    <i>
      <x v="4"/>
    </i>
    <i>
      <x v="5"/>
    </i>
    <i>
      <x v="6"/>
    </i>
    <i t="grand">
      <x/>
    </i>
  </rowItems>
  <colFields count="1">
    <field x="-2"/>
  </colFields>
  <colItems count="9">
    <i>
      <x/>
    </i>
    <i i="1">
      <x v="1"/>
    </i>
    <i i="2">
      <x v="2"/>
    </i>
    <i i="3">
      <x v="3"/>
    </i>
    <i i="4">
      <x v="4"/>
    </i>
    <i i="5">
      <x v="5"/>
    </i>
    <i i="6">
      <x v="6"/>
    </i>
    <i i="7">
      <x v="7"/>
    </i>
    <i i="8">
      <x v="8"/>
    </i>
  </colItems>
  <pageFields count="1">
    <pageField fld="12" item="0" hier="-1"/>
  </pageFields>
  <dataFields count="9">
    <dataField name="- Brisbane" fld="1" subtotal="average" baseField="0" baseItem="2"/>
    <dataField name="- Cairns" fld="3" subtotal="average" baseField="0" baseItem="2"/>
    <dataField name="Average of Beenleigh" fld="2" subtotal="average" baseField="0" baseItem="2"/>
    <dataField name="- Townsville" fld="9" subtotal="average" baseField="0" baseItem="2"/>
    <dataField name="- Ipswich" fld="4" subtotal="average" baseField="0" baseItem="2"/>
    <dataField name="- Maroochy" fld="5" subtotal="average" baseField="0" baseItem="2"/>
    <dataField name="- Rockhampton" fld="6" subtotal="average" baseField="0" baseItem="2"/>
    <dataField name="- Southport" fld="7" subtotal="average" baseField="0" baseItem="2"/>
    <dataField name="- Toowoomba" fld="8" subtotal="average" baseField="0" baseItem="2"/>
  </dataFields>
  <chartFormats count="18">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4"/>
          </reference>
        </references>
      </pivotArea>
    </chartFormat>
    <chartFormat chart="0" format="4" series="1">
      <pivotArea type="data" outline="0" fieldPosition="0">
        <references count="1">
          <reference field="4294967294" count="1" selected="0">
            <x v="5"/>
          </reference>
        </references>
      </pivotArea>
    </chartFormat>
    <chartFormat chart="0" format="5" series="1">
      <pivotArea type="data" outline="0" fieldPosition="0">
        <references count="1">
          <reference field="4294967294" count="1" selected="0">
            <x v="6"/>
          </reference>
        </references>
      </pivotArea>
    </chartFormat>
    <chartFormat chart="0" format="6" series="1">
      <pivotArea type="data" outline="0" fieldPosition="0">
        <references count="1">
          <reference field="4294967294" count="1" selected="0">
            <x v="7"/>
          </reference>
        </references>
      </pivotArea>
    </chartFormat>
    <chartFormat chart="0" format="7" series="1">
      <pivotArea type="data" outline="0" fieldPosition="0">
        <references count="1">
          <reference field="4294967294" count="1" selected="0">
            <x v="8"/>
          </reference>
        </references>
      </pivotArea>
    </chartFormat>
    <chartFormat chart="0" format="8" series="1">
      <pivotArea type="data" outline="0" fieldPosition="0">
        <references count="1">
          <reference field="4294967294" count="1" selected="0">
            <x v="3"/>
          </reference>
        </references>
      </pivotArea>
    </chartFormat>
    <chartFormat chart="2" format="18" series="1">
      <pivotArea type="data" outline="0" fieldPosition="0">
        <references count="1">
          <reference field="4294967294" count="1" selected="0">
            <x v="0"/>
          </reference>
        </references>
      </pivotArea>
    </chartFormat>
    <chartFormat chart="2" format="20" series="1">
      <pivotArea type="data" outline="0" fieldPosition="0">
        <references count="1">
          <reference field="4294967294" count="1" selected="0">
            <x v="1"/>
          </reference>
        </references>
      </pivotArea>
    </chartFormat>
    <chartFormat chart="2" format="21" series="1">
      <pivotArea type="data" outline="0" fieldPosition="0">
        <references count="1">
          <reference field="4294967294" count="1" selected="0">
            <x v="3"/>
          </reference>
        </references>
      </pivotArea>
    </chartFormat>
    <chartFormat chart="2" format="22" series="1">
      <pivotArea type="data" outline="0" fieldPosition="0">
        <references count="1">
          <reference field="4294967294" count="1" selected="0">
            <x v="4"/>
          </reference>
        </references>
      </pivotArea>
    </chartFormat>
    <chartFormat chart="2" format="23" series="1">
      <pivotArea type="data" outline="0" fieldPosition="0">
        <references count="1">
          <reference field="4294967294" count="1" selected="0">
            <x v="5"/>
          </reference>
        </references>
      </pivotArea>
    </chartFormat>
    <chartFormat chart="2" format="24" series="1">
      <pivotArea type="data" outline="0" fieldPosition="0">
        <references count="1">
          <reference field="4294967294" count="1" selected="0">
            <x v="6"/>
          </reference>
        </references>
      </pivotArea>
    </chartFormat>
    <chartFormat chart="2" format="25" series="1">
      <pivotArea type="data" outline="0" fieldPosition="0">
        <references count="1">
          <reference field="4294967294" count="1" selected="0">
            <x v="7"/>
          </reference>
        </references>
      </pivotArea>
    </chartFormat>
    <chartFormat chart="2" format="26" series="1">
      <pivotArea type="data" outline="0" fieldPosition="0">
        <references count="1">
          <reference field="4294967294" count="1" selected="0">
            <x v="8"/>
          </reference>
        </references>
      </pivotArea>
    </chartFormat>
    <chartFormat chart="2" format="31" series="1">
      <pivotArea type="data" outline="0" fieldPosition="0">
        <references count="1">
          <reference field="4294967294" count="1" selected="0">
            <x v="2"/>
          </reference>
        </references>
      </pivotArea>
    </chartFormat>
    <chartFormat chart="0" format="1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798A80-5408-4F1E-BEB8-63EA3B9A0DFC}"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K9" firstHeaderRow="0" firstDataRow="1" firstDataCol="1"/>
  <pivotFields count="13">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xis="axisRow" showAll="0">
      <items count="8">
        <item x="6"/>
        <item x="5"/>
        <item x="4"/>
        <item x="3"/>
        <item x="2"/>
        <item x="1"/>
        <item x="0"/>
        <item t="default"/>
      </items>
    </pivotField>
    <pivotField showAll="0"/>
  </pivotFields>
  <rowFields count="1">
    <field x="11"/>
  </rowFields>
  <rowItems count="8">
    <i>
      <x/>
    </i>
    <i>
      <x v="1"/>
    </i>
    <i>
      <x v="2"/>
    </i>
    <i>
      <x v="3"/>
    </i>
    <i>
      <x v="4"/>
    </i>
    <i>
      <x v="5"/>
    </i>
    <i>
      <x v="6"/>
    </i>
    <i t="grand">
      <x/>
    </i>
  </rowItems>
  <colFields count="1">
    <field x="-2"/>
  </colFields>
  <colItems count="10">
    <i>
      <x/>
    </i>
    <i i="1">
      <x v="1"/>
    </i>
    <i i="2">
      <x v="2"/>
    </i>
    <i i="3">
      <x v="3"/>
    </i>
    <i i="4">
      <x v="4"/>
    </i>
    <i i="5">
      <x v="5"/>
    </i>
    <i i="6">
      <x v="6"/>
    </i>
    <i i="7">
      <x v="7"/>
    </i>
    <i i="8">
      <x v="8"/>
    </i>
    <i i="9">
      <x v="9"/>
    </i>
  </colItems>
  <dataFields count="10">
    <dataField name="Sum of Brisbane" fld="1" baseField="0" baseItem="0"/>
    <dataField name="Sum of Beenleigh" fld="2" baseField="0" baseItem="0"/>
    <dataField name="Sum of Cairns" fld="3" baseField="0" baseItem="0"/>
    <dataField name="Sum of Ipswich" fld="4" baseField="0" baseItem="0"/>
    <dataField name="Sum of Maroochy" fld="5" baseField="0" baseItem="0"/>
    <dataField name="Sum of Rockhampton" fld="6" baseField="0" baseItem="0"/>
    <dataField name="Sum of Southport" fld="7" baseField="0" baseItem="0"/>
    <dataField name="Sum of Toowoomba" fld="8" baseField="0" baseItem="0"/>
    <dataField name="Sum of Townsville" fld="9" baseField="0" baseItem="0"/>
    <dataField name="Sum of Zero" fld="10"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 chart="0" format="8" series="1">
      <pivotArea type="data" outline="0" fieldPosition="0">
        <references count="1">
          <reference field="4294967294" count="1" selected="0">
            <x v="8"/>
          </reference>
        </references>
      </pivotArea>
    </chartFormat>
    <chartFormat chart="0" format="9"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le" xr10:uid="{55D20A39-3C00-4B9E-9D81-B83FB12FD116}" sourceName="Locale">
  <pivotTables>
    <pivotTable tabId="32" name="PivotTable4"/>
    <pivotTable tabId="33" name="PivotTable5"/>
    <pivotTable tabId="34" name="PivotTable6"/>
    <pivotTable tabId="32" name="PivotTable10"/>
  </pivotTables>
  <data>
    <tabular pivotCacheId="1566848429">
      <items count="9">
        <i x="1" s="1"/>
        <i x="0" s="1"/>
        <i x="2" s="1"/>
        <i x="3" s="1"/>
        <i x="4" s="1"/>
        <i x="5"/>
        <i x="6"/>
        <i x="7"/>
        <i x="8"/>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32D4990-9D44-42B8-98CD-C6AF4F5967FB}" sourceName="Category">
  <pivotTables>
    <pivotTable tabId="32" name="PivotTable4"/>
    <pivotTable tabId="33" name="PivotTable5"/>
    <pivotTable tabId="34" name="PivotTable6"/>
    <pivotTable tabId="32" name="PivotTable10"/>
  </pivotTables>
  <data>
    <tabular pivotCacheId="1566848429">
      <items count="2">
        <i x="0" s="1"/>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B6F67ED-DBB3-48FC-8437-C971DEA095B0}" sourceName="Year">
  <pivotTables>
    <pivotTable tabId="32" name="PivotTable4"/>
    <pivotTable tabId="33" name="PivotTable5"/>
    <pivotTable tabId="34" name="PivotTable6"/>
    <pivotTable tabId="32" name="PivotTable10"/>
  </pivotTables>
  <data>
    <tabular pivotCacheId="1566848429">
      <items count="7">
        <i x="6"/>
        <i x="5"/>
        <i x="4"/>
        <i x="3"/>
        <i x="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le" xr10:uid="{C3EF5A54-16FB-4EE8-8235-5D1853844FAD}" cache="Slicer_Locale" caption="Locale" rowHeight="241300"/>
  <slicer name="Category" xr10:uid="{FA5C9CF6-F3D4-49F0-9476-EE1F2203E747}" cache="Slicer_Category" caption="Category" rowHeight="241300"/>
  <slicer name="Year" xr10:uid="{424811B0-21D6-44F8-8332-D970B380F8AD}"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047EDF-773D-4FF3-BCAA-CF35E0B17FCB}" name="Table3" displayName="Table3" ref="AO5:AQ14" totalsRowShown="0">
  <autoFilter ref="AO5:AQ14" xr:uid="{10047EDF-773D-4FF3-BCAA-CF35E0B17FCB}"/>
  <tableColumns count="3">
    <tableColumn id="1" xr3:uid="{25CB210E-8E78-4356-989E-4697CCD1FA34}" name="Locale"/>
    <tableColumn id="2" xr3:uid="{33749595-BB38-46A0-8C41-7F86BE52B627}" name="Homicide Rate"/>
    <tableColumn id="3" xr3:uid="{0C570730-552C-4222-8449-8359E8FBACA8}" name="Popu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D5F7BD-336B-4567-8E66-25C3384B210C}" name="Table1" displayName="Table1" ref="U67:AD78" totalsRowShown="0" headerRowDxfId="19" tableBorderDxfId="20">
  <autoFilter ref="U67:AD78" xr:uid="{40D5F7BD-336B-4567-8E66-25C3384B210C}"/>
  <tableColumns count="10">
    <tableColumn id="1" xr3:uid="{3D4EE38C-5A2F-4EB9-A08E-3F2738467017}" name="Year"/>
    <tableColumn id="2" xr3:uid="{831B4FE5-F92A-4A46-80F8-5474F28DDC87}" name="Brisbane"/>
    <tableColumn id="3" xr3:uid="{B54C1B01-1845-4D4D-AC4E-1A5A53C66A92}" name="Beenleigh"/>
    <tableColumn id="4" xr3:uid="{F442A72D-FD4F-4EDA-85C1-3EC1B31F8C16}" name="Cairns"/>
    <tableColumn id="5" xr3:uid="{A52E5648-6D1E-4A9F-8AEF-B502BFDD332E}" name="Ipswich"/>
    <tableColumn id="6" xr3:uid="{B9AFA17C-FAD4-42D0-B562-52D5873A16AD}" name="Maroochy"/>
    <tableColumn id="7" xr3:uid="{97B57563-A553-4F63-B163-8A66B0F81BBD}" name="Rockhampton"/>
    <tableColumn id="8" xr3:uid="{8DA4D976-E9ED-486A-9D91-740D90C13AC0}" name="Southport"/>
    <tableColumn id="9" xr3:uid="{16316EFC-AD39-48A7-9FD3-347226894EA2}" name="Toowoomba"/>
    <tableColumn id="10" xr3:uid="{5B151525-A65F-4AE2-91AE-D61225C9A4BF}" name="Townsvil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BE95E93-1B4D-4112-BBE9-FA7E23E5D1B0}" name="Table2" displayName="Table2" ref="U81:AD92" totalsRowShown="0" headerRowDxfId="18">
  <autoFilter ref="U81:AD92" xr:uid="{ABE95E93-1B4D-4112-BBE9-FA7E23E5D1B0}"/>
  <tableColumns count="10">
    <tableColumn id="1" xr3:uid="{E456B1AB-982A-4414-9054-86C71648EA18}" name="Year"/>
    <tableColumn id="2" xr3:uid="{1DDA7148-A1B7-449B-8A52-350225C99378}" name="Brisbane"/>
    <tableColumn id="3" xr3:uid="{2F9FB72E-BD67-411F-B776-196FD45C648B}" name="Beenleigh"/>
    <tableColumn id="4" xr3:uid="{43696A45-E9FA-46D8-9C95-3857193880D7}" name="Cairns"/>
    <tableColumn id="5" xr3:uid="{F95F5849-F409-4F19-89A0-648AE8945781}" name="Ipswich"/>
    <tableColumn id="6" xr3:uid="{3FD483AC-49D8-41DB-84EA-97A8373C6205}" name="Maroochy"/>
    <tableColumn id="7" xr3:uid="{63C61C8F-7BC9-42A3-AB06-E74F1A2E2A0F}" name="Rockhampton"/>
    <tableColumn id="8" xr3:uid="{8DFBEFCB-C804-4F33-AF21-600016661F93}" name="Southport"/>
    <tableColumn id="9" xr3:uid="{061CC517-FC5D-483B-87A0-1539C84395BB}" name="Toowoomba"/>
    <tableColumn id="10" xr3:uid="{C9C1DFBF-C448-4D9E-B2D8-5E6304E4560C}" name="Townsvill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6BF49-7FF5-4EFE-8BC3-DF85B6E4E009}">
  <sheetPr codeName="Sheet1"/>
  <dimension ref="A1:AE92"/>
  <sheetViews>
    <sheetView topLeftCell="A46" workbookViewId="0">
      <selection activeCell="X48" sqref="X48"/>
    </sheetView>
  </sheetViews>
  <sheetFormatPr defaultRowHeight="14.5" x14ac:dyDescent="0.35"/>
  <cols>
    <col min="2" max="2" width="14.08984375" bestFit="1" customWidth="1"/>
    <col min="3" max="3" width="27.1796875" bestFit="1" customWidth="1"/>
    <col min="4" max="4" width="8.08984375" bestFit="1" customWidth="1"/>
    <col min="5" max="5" width="8.90625" bestFit="1" customWidth="1"/>
    <col min="6" max="6" width="6" bestFit="1" customWidth="1"/>
    <col min="7" max="7" width="7.08984375" bestFit="1" customWidth="1"/>
    <col min="8" max="8" width="9.26953125" bestFit="1" customWidth="1"/>
    <col min="9" max="9" width="12.54296875" bestFit="1" customWidth="1"/>
    <col min="10" max="10" width="9.36328125" bestFit="1" customWidth="1"/>
    <col min="11" max="11" width="11.36328125" bestFit="1" customWidth="1"/>
    <col min="12" max="12" width="9.54296875" bestFit="1" customWidth="1"/>
    <col min="13" max="13" width="10.36328125" bestFit="1" customWidth="1"/>
    <col min="14" max="14" width="5.08984375" bestFit="1" customWidth="1"/>
    <col min="15" max="15" width="9.453125" bestFit="1" customWidth="1"/>
    <col min="16" max="16" width="14.08984375" bestFit="1" customWidth="1"/>
    <col min="23" max="23" width="8.08984375" bestFit="1" customWidth="1"/>
    <col min="24" max="24" width="9.453125" bestFit="1" customWidth="1"/>
    <col min="25" max="25" width="8.6328125" bestFit="1" customWidth="1"/>
    <col min="26" max="26" width="7.08984375" bestFit="1" customWidth="1"/>
    <col min="27" max="27" width="9.26953125" bestFit="1" customWidth="1"/>
    <col min="28" max="28" width="12.54296875" bestFit="1" customWidth="1"/>
    <col min="29" max="29" width="9.36328125" bestFit="1" customWidth="1"/>
    <col min="30" max="30" width="11.36328125" bestFit="1" customWidth="1"/>
    <col min="31" max="31" width="9.54296875" bestFit="1" customWidth="1"/>
  </cols>
  <sheetData>
    <row r="1" spans="1:31" ht="66" customHeight="1" thickBot="1" x14ac:dyDescent="0.4">
      <c r="C1" s="1" t="s">
        <v>9</v>
      </c>
      <c r="D1" s="1" t="s">
        <v>10</v>
      </c>
      <c r="E1" s="1" t="s">
        <v>11</v>
      </c>
      <c r="F1" s="1" t="s">
        <v>12</v>
      </c>
      <c r="G1" s="1" t="s">
        <v>13</v>
      </c>
      <c r="H1" s="1" t="s">
        <v>14</v>
      </c>
      <c r="I1" s="1" t="s">
        <v>15</v>
      </c>
      <c r="J1" s="1" t="s">
        <v>16</v>
      </c>
      <c r="K1" s="1" t="s">
        <v>17</v>
      </c>
      <c r="L1" s="1" t="s">
        <v>18</v>
      </c>
      <c r="M1" s="80" t="s">
        <v>19</v>
      </c>
      <c r="N1" s="1" t="s">
        <v>20</v>
      </c>
      <c r="O1" s="1" t="s">
        <v>45</v>
      </c>
      <c r="P1" s="1" t="s">
        <v>44</v>
      </c>
      <c r="R1" s="1" t="s">
        <v>43</v>
      </c>
    </row>
    <row r="2" spans="1:31" ht="14.5" customHeight="1" x14ac:dyDescent="0.35">
      <c r="A2" s="181" t="s">
        <v>6</v>
      </c>
      <c r="B2" s="164" t="s">
        <v>7</v>
      </c>
      <c r="C2" s="7" t="s">
        <v>22</v>
      </c>
      <c r="D2" s="7">
        <v>101</v>
      </c>
      <c r="E2" s="7">
        <v>1</v>
      </c>
      <c r="F2" s="7">
        <v>4</v>
      </c>
      <c r="G2" s="7">
        <v>9</v>
      </c>
      <c r="H2" s="7">
        <v>1</v>
      </c>
      <c r="I2" s="7">
        <v>1</v>
      </c>
      <c r="J2" s="7">
        <v>0</v>
      </c>
      <c r="K2" s="7">
        <v>4</v>
      </c>
      <c r="L2" s="7">
        <v>6</v>
      </c>
      <c r="M2" s="7">
        <v>49</v>
      </c>
      <c r="N2" s="7">
        <v>127</v>
      </c>
      <c r="O2" s="8" t="s">
        <v>6</v>
      </c>
      <c r="P2" s="9" t="s">
        <v>7</v>
      </c>
      <c r="R2" t="str">
        <f t="shared" ref="R2:R33" si="0">IF(C2=C15, "yes", "n")</f>
        <v>yes</v>
      </c>
      <c r="U2">
        <v>101</v>
      </c>
      <c r="V2" t="s">
        <v>10</v>
      </c>
      <c r="W2" t="s">
        <v>22</v>
      </c>
      <c r="X2" t="s">
        <v>6</v>
      </c>
      <c r="Y2" t="s">
        <v>7</v>
      </c>
    </row>
    <row r="3" spans="1:31" x14ac:dyDescent="0.35">
      <c r="A3" s="181"/>
      <c r="B3" s="165"/>
      <c r="C3" s="10" t="s">
        <v>23</v>
      </c>
      <c r="D3" s="10">
        <v>100</v>
      </c>
      <c r="E3" s="10">
        <v>0</v>
      </c>
      <c r="F3" s="10">
        <v>0</v>
      </c>
      <c r="G3" s="10">
        <v>10</v>
      </c>
      <c r="H3" s="10">
        <v>1</v>
      </c>
      <c r="I3" s="10">
        <v>5</v>
      </c>
      <c r="J3" s="10">
        <v>0</v>
      </c>
      <c r="K3" s="10">
        <v>1</v>
      </c>
      <c r="L3" s="10">
        <v>2</v>
      </c>
      <c r="M3" s="10">
        <v>22</v>
      </c>
      <c r="N3" s="10">
        <v>119</v>
      </c>
      <c r="O3" s="11" t="s">
        <v>6</v>
      </c>
      <c r="P3" s="12" t="s">
        <v>7</v>
      </c>
      <c r="R3" t="str">
        <f t="shared" si="0"/>
        <v>yes</v>
      </c>
      <c r="U3">
        <v>1</v>
      </c>
      <c r="V3" t="s">
        <v>11</v>
      </c>
      <c r="W3" t="s">
        <v>22</v>
      </c>
      <c r="X3" t="s">
        <v>35</v>
      </c>
      <c r="Y3" t="s">
        <v>7</v>
      </c>
      <c r="Z3" s="1"/>
      <c r="AA3" s="1"/>
      <c r="AB3" s="1"/>
      <c r="AC3" s="1"/>
      <c r="AD3" s="1"/>
      <c r="AE3" s="1"/>
    </row>
    <row r="4" spans="1:31" x14ac:dyDescent="0.35">
      <c r="A4" s="181"/>
      <c r="B4" s="165"/>
      <c r="C4" s="10" t="s">
        <v>24</v>
      </c>
      <c r="D4" s="10">
        <v>17</v>
      </c>
      <c r="E4" s="10">
        <v>0</v>
      </c>
      <c r="F4" s="10">
        <v>1</v>
      </c>
      <c r="G4" s="10">
        <v>0</v>
      </c>
      <c r="H4" s="10">
        <v>0</v>
      </c>
      <c r="I4" s="10">
        <v>1</v>
      </c>
      <c r="J4" s="10">
        <v>1</v>
      </c>
      <c r="K4" s="10">
        <v>0</v>
      </c>
      <c r="L4" s="10">
        <v>4</v>
      </c>
      <c r="M4" s="10">
        <v>14</v>
      </c>
      <c r="N4" s="10">
        <v>24</v>
      </c>
      <c r="O4" s="11" t="s">
        <v>6</v>
      </c>
      <c r="P4" s="12" t="s">
        <v>7</v>
      </c>
      <c r="R4" t="str">
        <f t="shared" si="0"/>
        <v>yes</v>
      </c>
      <c r="U4">
        <v>4</v>
      </c>
      <c r="V4" t="s">
        <v>12</v>
      </c>
      <c r="W4" t="s">
        <v>22</v>
      </c>
      <c r="X4" t="s">
        <v>36</v>
      </c>
      <c r="Y4" t="s">
        <v>7</v>
      </c>
    </row>
    <row r="5" spans="1:31" x14ac:dyDescent="0.35">
      <c r="A5" s="181"/>
      <c r="B5" s="165"/>
      <c r="C5" s="10" t="s">
        <v>25</v>
      </c>
      <c r="D5" s="10">
        <v>15</v>
      </c>
      <c r="E5" s="10">
        <v>3</v>
      </c>
      <c r="F5" s="10">
        <v>3</v>
      </c>
      <c r="G5" s="10">
        <v>3</v>
      </c>
      <c r="H5" s="10">
        <v>7</v>
      </c>
      <c r="I5" s="10">
        <v>9</v>
      </c>
      <c r="J5" s="10">
        <v>1</v>
      </c>
      <c r="K5" s="10">
        <v>2</v>
      </c>
      <c r="L5" s="10">
        <v>3</v>
      </c>
      <c r="M5" s="10">
        <v>3</v>
      </c>
      <c r="N5" s="10">
        <v>46</v>
      </c>
      <c r="O5" s="11" t="s">
        <v>6</v>
      </c>
      <c r="P5" s="12" t="s">
        <v>7</v>
      </c>
      <c r="R5" t="str">
        <f t="shared" si="0"/>
        <v>yes</v>
      </c>
      <c r="U5">
        <v>9</v>
      </c>
      <c r="V5" t="s">
        <v>13</v>
      </c>
      <c r="W5" t="s">
        <v>22</v>
      </c>
      <c r="X5" t="s">
        <v>37</v>
      </c>
      <c r="Y5" t="s">
        <v>7</v>
      </c>
    </row>
    <row r="6" spans="1:31" x14ac:dyDescent="0.35">
      <c r="A6" s="181"/>
      <c r="B6" s="165"/>
      <c r="C6" s="10" t="s">
        <v>26</v>
      </c>
      <c r="D6" s="10">
        <v>3</v>
      </c>
      <c r="E6" s="10">
        <v>0</v>
      </c>
      <c r="F6" s="10">
        <v>0</v>
      </c>
      <c r="G6" s="10">
        <v>0</v>
      </c>
      <c r="H6" s="10">
        <v>0</v>
      </c>
      <c r="I6" s="10">
        <v>0</v>
      </c>
      <c r="J6" s="10">
        <v>0</v>
      </c>
      <c r="K6" s="10">
        <v>0</v>
      </c>
      <c r="L6" s="10">
        <v>0</v>
      </c>
      <c r="M6" s="10">
        <v>1</v>
      </c>
      <c r="N6" s="10">
        <v>3</v>
      </c>
      <c r="O6" s="11" t="s">
        <v>6</v>
      </c>
      <c r="P6" s="12" t="s">
        <v>7</v>
      </c>
      <c r="R6" t="str">
        <f t="shared" si="0"/>
        <v>yes</v>
      </c>
      <c r="U6">
        <v>1</v>
      </c>
      <c r="V6" t="s">
        <v>14</v>
      </c>
      <c r="W6" t="s">
        <v>22</v>
      </c>
      <c r="X6" t="s">
        <v>38</v>
      </c>
      <c r="Y6" t="s">
        <v>7</v>
      </c>
    </row>
    <row r="7" spans="1:31" ht="15" thickBot="1" x14ac:dyDescent="0.4">
      <c r="A7" s="181"/>
      <c r="B7" s="165"/>
      <c r="C7" s="10" t="s">
        <v>27</v>
      </c>
      <c r="D7" s="10">
        <v>12</v>
      </c>
      <c r="E7" s="10">
        <v>3</v>
      </c>
      <c r="F7" s="10">
        <v>1</v>
      </c>
      <c r="G7" s="10">
        <v>2</v>
      </c>
      <c r="H7" s="10">
        <v>0</v>
      </c>
      <c r="I7" s="10">
        <v>0</v>
      </c>
      <c r="J7" s="10">
        <v>0</v>
      </c>
      <c r="K7" s="10">
        <v>2</v>
      </c>
      <c r="L7" s="10">
        <v>1</v>
      </c>
      <c r="M7" s="10">
        <v>4</v>
      </c>
      <c r="N7" s="10">
        <v>21</v>
      </c>
      <c r="O7" s="11" t="s">
        <v>6</v>
      </c>
      <c r="P7" s="12" t="s">
        <v>7</v>
      </c>
      <c r="R7" t="str">
        <f t="shared" si="0"/>
        <v>yes</v>
      </c>
      <c r="U7">
        <v>1</v>
      </c>
      <c r="V7" t="s">
        <v>15</v>
      </c>
      <c r="W7" t="s">
        <v>22</v>
      </c>
      <c r="X7" t="s">
        <v>39</v>
      </c>
      <c r="Y7" t="s">
        <v>7</v>
      </c>
    </row>
    <row r="8" spans="1:31" x14ac:dyDescent="0.35">
      <c r="A8" s="181"/>
      <c r="B8" s="164" t="s">
        <v>8</v>
      </c>
      <c r="C8" s="10" t="s">
        <v>28</v>
      </c>
      <c r="D8" s="10">
        <v>1664</v>
      </c>
      <c r="E8" s="10">
        <v>124</v>
      </c>
      <c r="F8" s="10">
        <v>94</v>
      </c>
      <c r="G8" s="10">
        <v>178</v>
      </c>
      <c r="H8" s="10">
        <v>120</v>
      </c>
      <c r="I8" s="10">
        <v>103</v>
      </c>
      <c r="J8" s="10">
        <v>153</v>
      </c>
      <c r="K8" s="10">
        <v>229</v>
      </c>
      <c r="L8" s="10">
        <v>126</v>
      </c>
      <c r="M8" s="10">
        <v>366</v>
      </c>
      <c r="N8" s="10">
        <v>2791</v>
      </c>
      <c r="O8" s="11" t="s">
        <v>6</v>
      </c>
      <c r="P8" s="10" t="s">
        <v>8</v>
      </c>
      <c r="R8" t="str">
        <f t="shared" si="0"/>
        <v>yes</v>
      </c>
      <c r="U8">
        <v>0</v>
      </c>
      <c r="V8" t="s">
        <v>16</v>
      </c>
      <c r="W8" t="s">
        <v>22</v>
      </c>
      <c r="X8" t="s">
        <v>40</v>
      </c>
      <c r="Y8" t="s">
        <v>7</v>
      </c>
    </row>
    <row r="9" spans="1:31" x14ac:dyDescent="0.35">
      <c r="A9" s="181"/>
      <c r="B9" s="165"/>
      <c r="C9" s="10" t="s">
        <v>29</v>
      </c>
      <c r="D9" s="10">
        <v>374</v>
      </c>
      <c r="E9" s="10">
        <v>53</v>
      </c>
      <c r="F9" s="10">
        <v>74</v>
      </c>
      <c r="G9" s="10">
        <v>37</v>
      </c>
      <c r="H9" s="10">
        <v>17</v>
      </c>
      <c r="I9" s="10">
        <v>25</v>
      </c>
      <c r="J9" s="10">
        <v>53</v>
      </c>
      <c r="K9" s="10">
        <v>25</v>
      </c>
      <c r="L9" s="10">
        <v>34</v>
      </c>
      <c r="M9" s="10">
        <v>107</v>
      </c>
      <c r="N9" s="10">
        <v>692</v>
      </c>
      <c r="O9" s="11" t="s">
        <v>6</v>
      </c>
      <c r="P9" s="10" t="s">
        <v>8</v>
      </c>
      <c r="R9" t="str">
        <f t="shared" si="0"/>
        <v>yes</v>
      </c>
      <c r="U9">
        <v>4</v>
      </c>
      <c r="V9" t="s">
        <v>17</v>
      </c>
      <c r="W9" t="s">
        <v>22</v>
      </c>
      <c r="X9" t="s">
        <v>41</v>
      </c>
      <c r="Y9" t="s">
        <v>7</v>
      </c>
    </row>
    <row r="10" spans="1:31" ht="14.5" customHeight="1" x14ac:dyDescent="0.35">
      <c r="A10" s="181"/>
      <c r="B10" s="165"/>
      <c r="C10" s="10" t="s">
        <v>30</v>
      </c>
      <c r="D10" s="10">
        <v>88</v>
      </c>
      <c r="E10" s="10">
        <v>6</v>
      </c>
      <c r="F10" s="10">
        <v>4</v>
      </c>
      <c r="G10" s="10">
        <v>12</v>
      </c>
      <c r="H10" s="10">
        <v>15</v>
      </c>
      <c r="I10" s="10">
        <v>9</v>
      </c>
      <c r="J10" s="10">
        <v>23</v>
      </c>
      <c r="K10" s="10">
        <v>6</v>
      </c>
      <c r="L10" s="10">
        <v>16</v>
      </c>
      <c r="M10" s="10">
        <v>9</v>
      </c>
      <c r="N10" s="10">
        <v>179</v>
      </c>
      <c r="O10" s="11" t="s">
        <v>6</v>
      </c>
      <c r="P10" s="10" t="s">
        <v>8</v>
      </c>
      <c r="R10" t="str">
        <f t="shared" si="0"/>
        <v>yes</v>
      </c>
      <c r="U10">
        <v>6</v>
      </c>
      <c r="V10" t="s">
        <v>18</v>
      </c>
      <c r="W10" t="s">
        <v>22</v>
      </c>
      <c r="X10" t="s">
        <v>42</v>
      </c>
      <c r="Y10" t="s">
        <v>7</v>
      </c>
    </row>
    <row r="11" spans="1:31" x14ac:dyDescent="0.35">
      <c r="A11" s="181"/>
      <c r="B11" s="165"/>
      <c r="C11" s="10" t="s">
        <v>31</v>
      </c>
      <c r="D11" s="10">
        <v>5</v>
      </c>
      <c r="E11" s="10">
        <v>9</v>
      </c>
      <c r="F11" s="10">
        <v>0</v>
      </c>
      <c r="G11" s="10">
        <v>0</v>
      </c>
      <c r="H11" s="10">
        <v>1</v>
      </c>
      <c r="I11" s="10">
        <v>0</v>
      </c>
      <c r="J11" s="10">
        <v>3</v>
      </c>
      <c r="K11" s="10">
        <v>0</v>
      </c>
      <c r="L11" s="10">
        <v>1</v>
      </c>
      <c r="M11" s="10">
        <v>4</v>
      </c>
      <c r="N11" s="10">
        <v>19</v>
      </c>
      <c r="O11" s="11" t="s">
        <v>6</v>
      </c>
      <c r="P11" s="10" t="s">
        <v>8</v>
      </c>
      <c r="R11" t="str">
        <f t="shared" si="0"/>
        <v>yes</v>
      </c>
    </row>
    <row r="12" spans="1:31" x14ac:dyDescent="0.35">
      <c r="A12" s="181"/>
      <c r="B12" s="165"/>
      <c r="C12" s="10" t="s">
        <v>32</v>
      </c>
      <c r="D12" s="10">
        <v>1833</v>
      </c>
      <c r="E12" s="10">
        <v>288</v>
      </c>
      <c r="F12" s="10">
        <v>205</v>
      </c>
      <c r="G12" s="10">
        <v>258</v>
      </c>
      <c r="H12" s="10">
        <v>258</v>
      </c>
      <c r="I12" s="10">
        <v>187</v>
      </c>
      <c r="J12" s="10">
        <v>258</v>
      </c>
      <c r="K12" s="10">
        <v>204</v>
      </c>
      <c r="L12" s="10">
        <v>246</v>
      </c>
      <c r="M12" s="10">
        <v>376</v>
      </c>
      <c r="N12" s="10">
        <v>3737</v>
      </c>
      <c r="O12" s="11" t="s">
        <v>6</v>
      </c>
      <c r="P12" s="10" t="s">
        <v>8</v>
      </c>
      <c r="R12" t="str">
        <f t="shared" si="0"/>
        <v>yes</v>
      </c>
    </row>
    <row r="13" spans="1:31" x14ac:dyDescent="0.35">
      <c r="A13" s="181"/>
      <c r="B13" s="165"/>
      <c r="C13" s="10" t="s">
        <v>33</v>
      </c>
      <c r="D13" s="10">
        <v>462</v>
      </c>
      <c r="E13" s="10">
        <v>20</v>
      </c>
      <c r="F13" s="10">
        <v>139</v>
      </c>
      <c r="G13" s="10">
        <v>44</v>
      </c>
      <c r="H13" s="10">
        <v>65</v>
      </c>
      <c r="I13" s="10">
        <v>62</v>
      </c>
      <c r="J13" s="10">
        <v>55</v>
      </c>
      <c r="K13" s="10">
        <v>20</v>
      </c>
      <c r="L13" s="10">
        <v>110</v>
      </c>
      <c r="M13" s="10">
        <v>53</v>
      </c>
      <c r="N13" s="10">
        <v>977</v>
      </c>
      <c r="O13" s="11" t="s">
        <v>6</v>
      </c>
      <c r="P13" s="10" t="s">
        <v>8</v>
      </c>
      <c r="R13" t="str">
        <f t="shared" si="0"/>
        <v>yes</v>
      </c>
    </row>
    <row r="14" spans="1:31" ht="15" thickBot="1" x14ac:dyDescent="0.4">
      <c r="A14" s="181"/>
      <c r="B14" s="165"/>
      <c r="C14" s="10" t="s">
        <v>34</v>
      </c>
      <c r="D14" s="10">
        <v>402</v>
      </c>
      <c r="E14" s="10">
        <v>38</v>
      </c>
      <c r="F14" s="10">
        <v>54</v>
      </c>
      <c r="G14" s="10">
        <v>45</v>
      </c>
      <c r="H14" s="10">
        <v>8</v>
      </c>
      <c r="I14" s="10">
        <v>78</v>
      </c>
      <c r="J14" s="10">
        <v>29</v>
      </c>
      <c r="K14" s="10">
        <v>110</v>
      </c>
      <c r="L14" s="10">
        <v>22</v>
      </c>
      <c r="M14" s="10">
        <v>147</v>
      </c>
      <c r="N14" s="10">
        <v>786</v>
      </c>
      <c r="O14" s="11" t="s">
        <v>6</v>
      </c>
      <c r="P14" s="10" t="s">
        <v>8</v>
      </c>
      <c r="R14" t="str">
        <f t="shared" si="0"/>
        <v>yes</v>
      </c>
    </row>
    <row r="15" spans="1:31" x14ac:dyDescent="0.35">
      <c r="A15" s="182" t="s">
        <v>5</v>
      </c>
      <c r="B15" s="162" t="s">
        <v>7</v>
      </c>
      <c r="C15" s="17" t="s">
        <v>22</v>
      </c>
      <c r="D15" s="17">
        <v>87</v>
      </c>
      <c r="E15" s="17">
        <v>2</v>
      </c>
      <c r="F15" s="17">
        <v>3</v>
      </c>
      <c r="G15" s="17">
        <v>7</v>
      </c>
      <c r="H15" s="17">
        <v>4</v>
      </c>
      <c r="I15" s="17">
        <v>5</v>
      </c>
      <c r="J15" s="17">
        <v>5</v>
      </c>
      <c r="K15" s="17">
        <v>1</v>
      </c>
      <c r="L15" s="17">
        <v>3</v>
      </c>
      <c r="M15" s="17">
        <v>0</v>
      </c>
      <c r="N15" s="17">
        <v>117</v>
      </c>
      <c r="O15" s="18" t="s">
        <v>5</v>
      </c>
      <c r="P15" s="17" t="s">
        <v>7</v>
      </c>
      <c r="R15" t="str">
        <f t="shared" si="0"/>
        <v>yes</v>
      </c>
    </row>
    <row r="16" spans="1:31" x14ac:dyDescent="0.35">
      <c r="A16" s="182"/>
      <c r="B16" s="163"/>
      <c r="C16" s="17" t="s">
        <v>23</v>
      </c>
      <c r="D16" s="17">
        <v>56</v>
      </c>
      <c r="E16" s="17">
        <v>0</v>
      </c>
      <c r="F16" s="17">
        <v>0</v>
      </c>
      <c r="G16" s="17">
        <v>4</v>
      </c>
      <c r="H16" s="17">
        <v>0</v>
      </c>
      <c r="I16" s="17">
        <v>4</v>
      </c>
      <c r="J16" s="17">
        <v>0</v>
      </c>
      <c r="K16" s="17">
        <v>0</v>
      </c>
      <c r="L16" s="17">
        <v>0</v>
      </c>
      <c r="M16" s="17">
        <v>0</v>
      </c>
      <c r="N16" s="17">
        <v>64</v>
      </c>
      <c r="O16" s="18" t="s">
        <v>5</v>
      </c>
      <c r="P16" s="17" t="s">
        <v>7</v>
      </c>
      <c r="R16" t="str">
        <f t="shared" si="0"/>
        <v>yes</v>
      </c>
    </row>
    <row r="17" spans="1:18" x14ac:dyDescent="0.35">
      <c r="A17" s="182"/>
      <c r="B17" s="163"/>
      <c r="C17" s="17" t="s">
        <v>24</v>
      </c>
      <c r="D17" s="17">
        <v>21</v>
      </c>
      <c r="E17" s="17">
        <v>0</v>
      </c>
      <c r="F17" s="17">
        <v>3</v>
      </c>
      <c r="G17" s="17">
        <v>1</v>
      </c>
      <c r="H17" s="17">
        <v>0</v>
      </c>
      <c r="I17" s="17">
        <v>0</v>
      </c>
      <c r="J17" s="17">
        <v>1</v>
      </c>
      <c r="K17" s="17">
        <v>0</v>
      </c>
      <c r="L17" s="17">
        <v>2</v>
      </c>
      <c r="M17" s="17">
        <v>0</v>
      </c>
      <c r="N17" s="17">
        <v>28</v>
      </c>
      <c r="O17" s="18" t="s">
        <v>5</v>
      </c>
      <c r="P17" s="17" t="s">
        <v>7</v>
      </c>
      <c r="R17" t="str">
        <f t="shared" si="0"/>
        <v>yes</v>
      </c>
    </row>
    <row r="18" spans="1:18" x14ac:dyDescent="0.35">
      <c r="A18" s="182"/>
      <c r="B18" s="163"/>
      <c r="C18" s="17" t="s">
        <v>25</v>
      </c>
      <c r="D18" s="17">
        <v>16</v>
      </c>
      <c r="E18" s="17">
        <v>5</v>
      </c>
      <c r="F18" s="17">
        <v>3</v>
      </c>
      <c r="G18" s="17">
        <v>3</v>
      </c>
      <c r="H18" s="17">
        <v>2</v>
      </c>
      <c r="I18" s="17">
        <v>11</v>
      </c>
      <c r="J18" s="17">
        <v>1</v>
      </c>
      <c r="K18" s="17">
        <v>3</v>
      </c>
      <c r="L18" s="17">
        <v>6</v>
      </c>
      <c r="M18" s="17">
        <v>0</v>
      </c>
      <c r="N18" s="17">
        <v>50</v>
      </c>
      <c r="O18" s="18" t="s">
        <v>5</v>
      </c>
      <c r="P18" s="17" t="s">
        <v>7</v>
      </c>
      <c r="R18" t="str">
        <f t="shared" si="0"/>
        <v>yes</v>
      </c>
    </row>
    <row r="19" spans="1:18" x14ac:dyDescent="0.35">
      <c r="A19" s="182"/>
      <c r="B19" s="163"/>
      <c r="C19" s="17" t="s">
        <v>26</v>
      </c>
      <c r="D19" s="17">
        <v>4</v>
      </c>
      <c r="E19" s="17">
        <v>0</v>
      </c>
      <c r="F19" s="17">
        <v>0</v>
      </c>
      <c r="G19" s="17">
        <v>0</v>
      </c>
      <c r="H19" s="17">
        <v>0</v>
      </c>
      <c r="I19" s="17">
        <v>0</v>
      </c>
      <c r="J19" s="17">
        <v>0</v>
      </c>
      <c r="K19" s="17">
        <v>0</v>
      </c>
      <c r="L19" s="17">
        <v>0</v>
      </c>
      <c r="M19" s="17">
        <v>0</v>
      </c>
      <c r="N19" s="17">
        <v>4</v>
      </c>
      <c r="O19" s="18" t="s">
        <v>5</v>
      </c>
      <c r="P19" s="17" t="s">
        <v>7</v>
      </c>
      <c r="R19" t="str">
        <f t="shared" si="0"/>
        <v>yes</v>
      </c>
    </row>
    <row r="20" spans="1:18" ht="15" thickBot="1" x14ac:dyDescent="0.4">
      <c r="A20" s="182"/>
      <c r="B20" s="163"/>
      <c r="C20" s="17" t="s">
        <v>27</v>
      </c>
      <c r="D20" s="17">
        <v>18</v>
      </c>
      <c r="E20" s="17">
        <v>1</v>
      </c>
      <c r="F20" s="17">
        <v>0</v>
      </c>
      <c r="G20" s="17">
        <v>0</v>
      </c>
      <c r="H20" s="17">
        <v>1</v>
      </c>
      <c r="I20" s="17">
        <v>0</v>
      </c>
      <c r="J20" s="17">
        <v>0</v>
      </c>
      <c r="K20" s="17">
        <v>0</v>
      </c>
      <c r="L20" s="17">
        <v>0</v>
      </c>
      <c r="M20" s="17">
        <v>0</v>
      </c>
      <c r="N20" s="17">
        <v>20</v>
      </c>
      <c r="O20" s="18" t="s">
        <v>5</v>
      </c>
      <c r="P20" s="17" t="s">
        <v>7</v>
      </c>
      <c r="R20" t="str">
        <f t="shared" si="0"/>
        <v>yes</v>
      </c>
    </row>
    <row r="21" spans="1:18" x14ac:dyDescent="0.35">
      <c r="A21" s="182"/>
      <c r="B21" s="162" t="s">
        <v>8</v>
      </c>
      <c r="C21" s="17" t="s">
        <v>28</v>
      </c>
      <c r="D21" s="17">
        <v>949</v>
      </c>
      <c r="E21" s="17">
        <v>137</v>
      </c>
      <c r="F21" s="17">
        <v>133</v>
      </c>
      <c r="G21" s="17">
        <v>173</v>
      </c>
      <c r="H21" s="17">
        <v>92</v>
      </c>
      <c r="I21" s="17">
        <v>109</v>
      </c>
      <c r="J21" s="17">
        <v>119</v>
      </c>
      <c r="K21" s="17">
        <v>71</v>
      </c>
      <c r="L21" s="17">
        <v>146</v>
      </c>
      <c r="M21" s="17">
        <v>0</v>
      </c>
      <c r="N21" s="17">
        <v>1929</v>
      </c>
      <c r="O21" s="18" t="s">
        <v>5</v>
      </c>
      <c r="P21" s="17" t="s">
        <v>8</v>
      </c>
      <c r="R21" t="str">
        <f t="shared" si="0"/>
        <v>yes</v>
      </c>
    </row>
    <row r="22" spans="1:18" x14ac:dyDescent="0.35">
      <c r="A22" s="182"/>
      <c r="B22" s="163"/>
      <c r="C22" s="17" t="s">
        <v>29</v>
      </c>
      <c r="D22" s="17">
        <v>352</v>
      </c>
      <c r="E22" s="17">
        <v>34</v>
      </c>
      <c r="F22" s="17">
        <v>34</v>
      </c>
      <c r="G22" s="17">
        <v>48</v>
      </c>
      <c r="H22" s="17">
        <v>19</v>
      </c>
      <c r="I22" s="17">
        <v>32</v>
      </c>
      <c r="J22" s="17">
        <v>64</v>
      </c>
      <c r="K22" s="17">
        <v>22</v>
      </c>
      <c r="L22" s="17">
        <v>45</v>
      </c>
      <c r="M22" s="17">
        <v>0</v>
      </c>
      <c r="N22" s="17">
        <v>650</v>
      </c>
      <c r="O22" s="18" t="s">
        <v>5</v>
      </c>
      <c r="P22" s="17" t="s">
        <v>8</v>
      </c>
      <c r="R22" t="str">
        <f t="shared" si="0"/>
        <v>yes</v>
      </c>
    </row>
    <row r="23" spans="1:18" x14ac:dyDescent="0.35">
      <c r="A23" s="182"/>
      <c r="B23" s="163"/>
      <c r="C23" s="17" t="s">
        <v>30</v>
      </c>
      <c r="D23" s="17">
        <v>51</v>
      </c>
      <c r="E23" s="17">
        <v>21</v>
      </c>
      <c r="F23" s="17">
        <v>10</v>
      </c>
      <c r="G23" s="17">
        <v>7</v>
      </c>
      <c r="H23" s="17">
        <v>9</v>
      </c>
      <c r="I23" s="17">
        <v>18</v>
      </c>
      <c r="J23" s="17">
        <v>11</v>
      </c>
      <c r="K23" s="17">
        <v>13</v>
      </c>
      <c r="L23" s="17">
        <v>17</v>
      </c>
      <c r="M23" s="17">
        <v>0</v>
      </c>
      <c r="N23" s="17">
        <v>157</v>
      </c>
      <c r="O23" s="18" t="s">
        <v>5</v>
      </c>
      <c r="P23" s="17" t="s">
        <v>8</v>
      </c>
      <c r="R23" t="str">
        <f t="shared" si="0"/>
        <v>yes</v>
      </c>
    </row>
    <row r="24" spans="1:18" x14ac:dyDescent="0.35">
      <c r="A24" s="182"/>
      <c r="B24" s="163"/>
      <c r="C24" s="17" t="s">
        <v>31</v>
      </c>
      <c r="D24" s="17">
        <v>15</v>
      </c>
      <c r="E24" s="17">
        <v>5</v>
      </c>
      <c r="F24" s="17">
        <v>7</v>
      </c>
      <c r="G24" s="17">
        <v>0</v>
      </c>
      <c r="H24" s="17">
        <v>0</v>
      </c>
      <c r="I24" s="17">
        <v>0</v>
      </c>
      <c r="J24" s="17">
        <v>0</v>
      </c>
      <c r="K24" s="17">
        <v>1</v>
      </c>
      <c r="L24" s="17">
        <v>0</v>
      </c>
      <c r="M24" s="17">
        <v>0</v>
      </c>
      <c r="N24" s="17">
        <v>28</v>
      </c>
      <c r="O24" s="18" t="s">
        <v>5</v>
      </c>
      <c r="P24" s="17" t="s">
        <v>8</v>
      </c>
      <c r="R24" t="str">
        <f t="shared" si="0"/>
        <v>yes</v>
      </c>
    </row>
    <row r="25" spans="1:18" x14ac:dyDescent="0.35">
      <c r="A25" s="182"/>
      <c r="B25" s="163"/>
      <c r="C25" s="17" t="s">
        <v>32</v>
      </c>
      <c r="D25" s="17">
        <v>1293</v>
      </c>
      <c r="E25" s="17">
        <v>336</v>
      </c>
      <c r="F25" s="17">
        <v>205</v>
      </c>
      <c r="G25" s="17">
        <v>265</v>
      </c>
      <c r="H25" s="17">
        <v>239</v>
      </c>
      <c r="I25" s="17">
        <v>199</v>
      </c>
      <c r="J25" s="17">
        <v>234</v>
      </c>
      <c r="K25" s="17">
        <v>121</v>
      </c>
      <c r="L25" s="17">
        <v>346</v>
      </c>
      <c r="M25" s="17">
        <v>0</v>
      </c>
      <c r="N25" s="17">
        <v>3238</v>
      </c>
      <c r="O25" s="18" t="s">
        <v>5</v>
      </c>
      <c r="P25" s="17" t="s">
        <v>8</v>
      </c>
      <c r="R25" t="str">
        <f t="shared" si="0"/>
        <v>yes</v>
      </c>
    </row>
    <row r="26" spans="1:18" x14ac:dyDescent="0.35">
      <c r="A26" s="182"/>
      <c r="B26" s="163"/>
      <c r="C26" s="17" t="s">
        <v>33</v>
      </c>
      <c r="D26" s="17">
        <v>539</v>
      </c>
      <c r="E26" s="17">
        <v>72</v>
      </c>
      <c r="F26" s="17">
        <v>81</v>
      </c>
      <c r="G26" s="17">
        <v>40</v>
      </c>
      <c r="H26" s="17">
        <v>98</v>
      </c>
      <c r="I26" s="17">
        <v>91</v>
      </c>
      <c r="J26" s="17">
        <v>56</v>
      </c>
      <c r="K26" s="17">
        <v>187</v>
      </c>
      <c r="L26" s="17">
        <v>148</v>
      </c>
      <c r="M26" s="17">
        <v>0</v>
      </c>
      <c r="N26" s="17">
        <v>1312</v>
      </c>
      <c r="O26" s="18" t="s">
        <v>5</v>
      </c>
      <c r="P26" s="17" t="s">
        <v>8</v>
      </c>
      <c r="R26" t="str">
        <f t="shared" si="0"/>
        <v>yes</v>
      </c>
    </row>
    <row r="27" spans="1:18" ht="15" thickBot="1" x14ac:dyDescent="0.4">
      <c r="A27" s="182"/>
      <c r="B27" s="163"/>
      <c r="C27" s="17" t="s">
        <v>34</v>
      </c>
      <c r="D27" s="17">
        <v>415</v>
      </c>
      <c r="E27" s="17">
        <v>15</v>
      </c>
      <c r="F27" s="17">
        <v>53</v>
      </c>
      <c r="G27" s="17">
        <v>47</v>
      </c>
      <c r="H27" s="17">
        <v>82</v>
      </c>
      <c r="I27" s="17">
        <v>32</v>
      </c>
      <c r="J27" s="17">
        <v>74</v>
      </c>
      <c r="K27" s="17">
        <v>8</v>
      </c>
      <c r="L27" s="17">
        <v>64</v>
      </c>
      <c r="M27" s="17">
        <v>0</v>
      </c>
      <c r="N27" s="17">
        <v>790</v>
      </c>
      <c r="O27" s="18" t="s">
        <v>5</v>
      </c>
      <c r="P27" s="17" t="s">
        <v>8</v>
      </c>
      <c r="R27" t="str">
        <f t="shared" si="0"/>
        <v>yes</v>
      </c>
    </row>
    <row r="28" spans="1:18" x14ac:dyDescent="0.35">
      <c r="A28" s="175" t="s">
        <v>4</v>
      </c>
      <c r="B28" s="179" t="s">
        <v>7</v>
      </c>
      <c r="C28" s="23" t="s">
        <v>22</v>
      </c>
      <c r="D28" s="23">
        <v>83</v>
      </c>
      <c r="E28" s="23">
        <v>0</v>
      </c>
      <c r="F28" s="23">
        <v>8</v>
      </c>
      <c r="G28" s="23">
        <v>4</v>
      </c>
      <c r="H28" s="23">
        <v>0</v>
      </c>
      <c r="I28" s="23">
        <v>3</v>
      </c>
      <c r="J28" s="23">
        <v>3</v>
      </c>
      <c r="K28" s="23">
        <v>0</v>
      </c>
      <c r="L28" s="23">
        <v>1</v>
      </c>
      <c r="M28" s="23">
        <v>0</v>
      </c>
      <c r="N28" s="23">
        <v>102</v>
      </c>
      <c r="O28" s="24" t="s">
        <v>4</v>
      </c>
      <c r="P28" s="23" t="s">
        <v>7</v>
      </c>
      <c r="R28" t="str">
        <f t="shared" si="0"/>
        <v>yes</v>
      </c>
    </row>
    <row r="29" spans="1:18" x14ac:dyDescent="0.35">
      <c r="A29" s="175"/>
      <c r="B29" s="180"/>
      <c r="C29" s="23" t="s">
        <v>23</v>
      </c>
      <c r="D29" s="23">
        <v>47</v>
      </c>
      <c r="E29" s="23">
        <v>0</v>
      </c>
      <c r="F29" s="23">
        <v>1</v>
      </c>
      <c r="G29" s="23">
        <v>2</v>
      </c>
      <c r="H29" s="23">
        <v>0</v>
      </c>
      <c r="I29" s="23">
        <v>1</v>
      </c>
      <c r="J29" s="23">
        <v>0</v>
      </c>
      <c r="K29" s="23">
        <v>0</v>
      </c>
      <c r="L29" s="23">
        <v>3</v>
      </c>
      <c r="M29" s="23">
        <v>0</v>
      </c>
      <c r="N29" s="23">
        <v>54</v>
      </c>
      <c r="O29" s="24" t="s">
        <v>4</v>
      </c>
      <c r="P29" s="23" t="s">
        <v>7</v>
      </c>
      <c r="R29" t="str">
        <f t="shared" si="0"/>
        <v>yes</v>
      </c>
    </row>
    <row r="30" spans="1:18" x14ac:dyDescent="0.35">
      <c r="A30" s="175"/>
      <c r="B30" s="180"/>
      <c r="C30" s="23" t="s">
        <v>24</v>
      </c>
      <c r="D30" s="23">
        <v>17</v>
      </c>
      <c r="E30" s="23">
        <v>0</v>
      </c>
      <c r="F30" s="23">
        <v>4</v>
      </c>
      <c r="G30" s="23">
        <v>1</v>
      </c>
      <c r="H30" s="23">
        <v>1</v>
      </c>
      <c r="I30" s="23">
        <v>0</v>
      </c>
      <c r="J30" s="23">
        <v>0</v>
      </c>
      <c r="K30" s="23">
        <v>0</v>
      </c>
      <c r="L30" s="23">
        <v>0</v>
      </c>
      <c r="M30" s="23">
        <v>0</v>
      </c>
      <c r="N30" s="23">
        <v>23</v>
      </c>
      <c r="O30" s="24" t="s">
        <v>4</v>
      </c>
      <c r="P30" s="23" t="s">
        <v>7</v>
      </c>
      <c r="R30" t="str">
        <f t="shared" si="0"/>
        <v>yes</v>
      </c>
    </row>
    <row r="31" spans="1:18" x14ac:dyDescent="0.35">
      <c r="A31" s="175"/>
      <c r="B31" s="180"/>
      <c r="C31" s="23" t="s">
        <v>25</v>
      </c>
      <c r="D31" s="23">
        <v>18</v>
      </c>
      <c r="E31" s="23">
        <v>2</v>
      </c>
      <c r="F31" s="23">
        <v>4</v>
      </c>
      <c r="G31" s="23">
        <v>2</v>
      </c>
      <c r="H31" s="23">
        <v>6</v>
      </c>
      <c r="I31" s="23">
        <v>3</v>
      </c>
      <c r="J31" s="23">
        <v>1</v>
      </c>
      <c r="K31" s="23">
        <v>4</v>
      </c>
      <c r="L31" s="23">
        <v>6</v>
      </c>
      <c r="M31" s="23">
        <v>0</v>
      </c>
      <c r="N31" s="23">
        <v>46</v>
      </c>
      <c r="O31" s="24" t="s">
        <v>4</v>
      </c>
      <c r="P31" s="23" t="s">
        <v>7</v>
      </c>
      <c r="R31" t="str">
        <f t="shared" si="0"/>
        <v>yes</v>
      </c>
    </row>
    <row r="32" spans="1:18" x14ac:dyDescent="0.35">
      <c r="A32" s="175"/>
      <c r="B32" s="180"/>
      <c r="C32" s="23" t="s">
        <v>26</v>
      </c>
      <c r="D32" s="23">
        <v>3</v>
      </c>
      <c r="E32" s="23">
        <v>0</v>
      </c>
      <c r="F32" s="23">
        <v>1</v>
      </c>
      <c r="G32" s="23">
        <v>0</v>
      </c>
      <c r="H32" s="23">
        <v>0</v>
      </c>
      <c r="I32" s="23">
        <v>0</v>
      </c>
      <c r="J32" s="23">
        <v>0</v>
      </c>
      <c r="K32" s="23">
        <v>0</v>
      </c>
      <c r="L32" s="23">
        <v>0</v>
      </c>
      <c r="M32" s="23">
        <v>0</v>
      </c>
      <c r="N32" s="23">
        <v>4</v>
      </c>
      <c r="O32" s="24" t="s">
        <v>4</v>
      </c>
      <c r="P32" s="23" t="s">
        <v>7</v>
      </c>
      <c r="R32" t="str">
        <f t="shared" si="0"/>
        <v>yes</v>
      </c>
    </row>
    <row r="33" spans="1:18" ht="15" thickBot="1" x14ac:dyDescent="0.4">
      <c r="A33" s="175"/>
      <c r="B33" s="180"/>
      <c r="C33" s="23" t="s">
        <v>27</v>
      </c>
      <c r="D33" s="23">
        <v>7</v>
      </c>
      <c r="E33" s="23">
        <v>1</v>
      </c>
      <c r="F33" s="23">
        <v>0</v>
      </c>
      <c r="G33" s="23">
        <v>0</v>
      </c>
      <c r="H33" s="23">
        <v>0</v>
      </c>
      <c r="I33" s="23">
        <v>0</v>
      </c>
      <c r="J33" s="23">
        <v>0</v>
      </c>
      <c r="K33" s="23">
        <v>1</v>
      </c>
      <c r="L33" s="23">
        <v>0</v>
      </c>
      <c r="M33" s="23">
        <v>0</v>
      </c>
      <c r="N33" s="23">
        <v>9</v>
      </c>
      <c r="O33" s="24" t="s">
        <v>4</v>
      </c>
      <c r="P33" s="23" t="s">
        <v>7</v>
      </c>
      <c r="R33" t="str">
        <f t="shared" si="0"/>
        <v>yes</v>
      </c>
    </row>
    <row r="34" spans="1:18" x14ac:dyDescent="0.35">
      <c r="A34" s="175"/>
      <c r="B34" s="179" t="s">
        <v>8</v>
      </c>
      <c r="C34" s="23" t="s">
        <v>28</v>
      </c>
      <c r="D34" s="23">
        <v>845</v>
      </c>
      <c r="E34" s="23">
        <v>74</v>
      </c>
      <c r="F34" s="23">
        <v>85</v>
      </c>
      <c r="G34" s="23">
        <v>205</v>
      </c>
      <c r="H34" s="23">
        <v>98</v>
      </c>
      <c r="I34" s="23">
        <v>123</v>
      </c>
      <c r="J34" s="23">
        <v>117</v>
      </c>
      <c r="K34" s="23">
        <v>26</v>
      </c>
      <c r="L34" s="23">
        <v>128</v>
      </c>
      <c r="M34" s="23">
        <v>0</v>
      </c>
      <c r="N34" s="23">
        <v>1701</v>
      </c>
      <c r="O34" s="24" t="s">
        <v>4</v>
      </c>
      <c r="P34" s="23" t="s">
        <v>8</v>
      </c>
      <c r="R34" t="str">
        <f t="shared" ref="R34:R65" si="1">IF(C34=C47, "yes", "n")</f>
        <v>yes</v>
      </c>
    </row>
    <row r="35" spans="1:18" x14ac:dyDescent="0.35">
      <c r="A35" s="175"/>
      <c r="B35" s="180"/>
      <c r="C35" s="23" t="s">
        <v>29</v>
      </c>
      <c r="D35" s="23">
        <v>298</v>
      </c>
      <c r="E35" s="23">
        <v>19</v>
      </c>
      <c r="F35" s="23">
        <v>16</v>
      </c>
      <c r="G35" s="23">
        <v>78</v>
      </c>
      <c r="H35" s="23">
        <v>16</v>
      </c>
      <c r="I35" s="23">
        <v>49</v>
      </c>
      <c r="J35" s="23">
        <v>34</v>
      </c>
      <c r="K35" s="23">
        <v>4</v>
      </c>
      <c r="L35" s="23">
        <v>50</v>
      </c>
      <c r="M35" s="23">
        <v>0</v>
      </c>
      <c r="N35" s="23">
        <v>564</v>
      </c>
      <c r="O35" s="24" t="s">
        <v>4</v>
      </c>
      <c r="P35" s="23" t="s">
        <v>8</v>
      </c>
      <c r="R35" t="str">
        <f t="shared" si="1"/>
        <v>yes</v>
      </c>
    </row>
    <row r="36" spans="1:18" x14ac:dyDescent="0.35">
      <c r="A36" s="175"/>
      <c r="B36" s="180"/>
      <c r="C36" s="23" t="s">
        <v>30</v>
      </c>
      <c r="D36" s="23">
        <v>79</v>
      </c>
      <c r="E36" s="23">
        <v>9</v>
      </c>
      <c r="F36" s="23">
        <v>18</v>
      </c>
      <c r="G36" s="23">
        <v>16</v>
      </c>
      <c r="H36" s="23">
        <v>9</v>
      </c>
      <c r="I36" s="23">
        <v>26</v>
      </c>
      <c r="J36" s="23">
        <v>45</v>
      </c>
      <c r="K36" s="23">
        <v>9</v>
      </c>
      <c r="L36" s="23">
        <v>23</v>
      </c>
      <c r="M36" s="23">
        <v>0</v>
      </c>
      <c r="N36" s="23">
        <v>234</v>
      </c>
      <c r="O36" s="24" t="s">
        <v>4</v>
      </c>
      <c r="P36" s="23" t="s">
        <v>8</v>
      </c>
      <c r="R36" t="str">
        <f t="shared" si="1"/>
        <v>yes</v>
      </c>
    </row>
    <row r="37" spans="1:18" x14ac:dyDescent="0.35">
      <c r="A37" s="175"/>
      <c r="B37" s="180"/>
      <c r="C37" s="23" t="s">
        <v>31</v>
      </c>
      <c r="D37" s="23">
        <v>4</v>
      </c>
      <c r="E37" s="23">
        <v>1</v>
      </c>
      <c r="F37" s="23">
        <v>0</v>
      </c>
      <c r="G37" s="23">
        <v>0</v>
      </c>
      <c r="H37" s="23">
        <v>1</v>
      </c>
      <c r="I37" s="23">
        <v>0</v>
      </c>
      <c r="J37" s="23">
        <v>4</v>
      </c>
      <c r="K37" s="23">
        <v>0</v>
      </c>
      <c r="L37" s="23">
        <v>5</v>
      </c>
      <c r="M37" s="23">
        <v>0</v>
      </c>
      <c r="N37" s="23">
        <v>15</v>
      </c>
      <c r="O37" s="24" t="s">
        <v>4</v>
      </c>
      <c r="P37" s="23" t="s">
        <v>8</v>
      </c>
      <c r="R37" t="str">
        <f t="shared" si="1"/>
        <v>yes</v>
      </c>
    </row>
    <row r="38" spans="1:18" x14ac:dyDescent="0.35">
      <c r="A38" s="175"/>
      <c r="B38" s="180"/>
      <c r="C38" s="23" t="s">
        <v>32</v>
      </c>
      <c r="D38" s="23">
        <v>1406</v>
      </c>
      <c r="E38" s="23">
        <v>289</v>
      </c>
      <c r="F38" s="23">
        <v>164</v>
      </c>
      <c r="G38" s="23">
        <v>331</v>
      </c>
      <c r="H38" s="23">
        <v>259</v>
      </c>
      <c r="I38" s="23">
        <v>226</v>
      </c>
      <c r="J38" s="23">
        <v>195</v>
      </c>
      <c r="K38" s="23">
        <v>32</v>
      </c>
      <c r="L38" s="23">
        <v>379</v>
      </c>
      <c r="M38" s="23">
        <v>0</v>
      </c>
      <c r="N38" s="23">
        <v>3281</v>
      </c>
      <c r="O38" s="24" t="s">
        <v>4</v>
      </c>
      <c r="P38" s="23" t="s">
        <v>8</v>
      </c>
      <c r="R38" t="str">
        <f t="shared" si="1"/>
        <v>yes</v>
      </c>
    </row>
    <row r="39" spans="1:18" x14ac:dyDescent="0.35">
      <c r="A39" s="175"/>
      <c r="B39" s="180"/>
      <c r="C39" s="23" t="s">
        <v>33</v>
      </c>
      <c r="D39" s="23">
        <v>399</v>
      </c>
      <c r="E39" s="23">
        <v>62</v>
      </c>
      <c r="F39" s="23">
        <v>118</v>
      </c>
      <c r="G39" s="23">
        <v>123</v>
      </c>
      <c r="H39" s="23">
        <v>52</v>
      </c>
      <c r="I39" s="23">
        <v>70</v>
      </c>
      <c r="J39" s="23">
        <v>29</v>
      </c>
      <c r="K39" s="23">
        <v>20</v>
      </c>
      <c r="L39" s="23">
        <v>78</v>
      </c>
      <c r="M39" s="23">
        <v>0</v>
      </c>
      <c r="N39" s="23">
        <v>951</v>
      </c>
      <c r="O39" s="24" t="s">
        <v>4</v>
      </c>
      <c r="P39" s="23" t="s">
        <v>8</v>
      </c>
      <c r="R39" t="str">
        <f t="shared" si="1"/>
        <v>yes</v>
      </c>
    </row>
    <row r="40" spans="1:18" ht="15" thickBot="1" x14ac:dyDescent="0.4">
      <c r="A40" s="175"/>
      <c r="B40" s="180"/>
      <c r="C40" s="23" t="s">
        <v>34</v>
      </c>
      <c r="D40" s="23">
        <v>383</v>
      </c>
      <c r="E40" s="23">
        <v>180</v>
      </c>
      <c r="F40" s="23">
        <v>49</v>
      </c>
      <c r="G40" s="23">
        <v>61</v>
      </c>
      <c r="H40" s="23">
        <v>66</v>
      </c>
      <c r="I40" s="23">
        <v>46</v>
      </c>
      <c r="J40" s="23">
        <v>24</v>
      </c>
      <c r="K40" s="23">
        <v>13</v>
      </c>
      <c r="L40" s="23">
        <v>88</v>
      </c>
      <c r="M40" s="23">
        <v>0</v>
      </c>
      <c r="N40" s="23">
        <v>910</v>
      </c>
      <c r="O40" s="24" t="s">
        <v>4</v>
      </c>
      <c r="P40" s="23" t="s">
        <v>8</v>
      </c>
      <c r="R40" t="str">
        <f t="shared" si="1"/>
        <v>yes</v>
      </c>
    </row>
    <row r="41" spans="1:18" x14ac:dyDescent="0.35">
      <c r="A41" s="176" t="s">
        <v>3</v>
      </c>
      <c r="B41" s="177" t="s">
        <v>7</v>
      </c>
      <c r="C41" s="28" t="s">
        <v>22</v>
      </c>
      <c r="D41" s="28">
        <v>79</v>
      </c>
      <c r="E41" s="28">
        <v>0</v>
      </c>
      <c r="F41" s="28">
        <v>8</v>
      </c>
      <c r="G41" s="28">
        <v>9</v>
      </c>
      <c r="H41" s="28">
        <v>3</v>
      </c>
      <c r="I41" s="28">
        <v>4</v>
      </c>
      <c r="J41" s="28">
        <v>6</v>
      </c>
      <c r="K41" s="28">
        <v>0</v>
      </c>
      <c r="L41" s="28">
        <v>2</v>
      </c>
      <c r="M41" s="28">
        <v>0</v>
      </c>
      <c r="N41" s="28">
        <v>111</v>
      </c>
      <c r="O41" s="31" t="s">
        <v>3</v>
      </c>
      <c r="P41" s="28" t="s">
        <v>7</v>
      </c>
      <c r="R41" t="str">
        <f t="shared" si="1"/>
        <v>yes</v>
      </c>
    </row>
    <row r="42" spans="1:18" x14ac:dyDescent="0.35">
      <c r="A42" s="176"/>
      <c r="B42" s="178"/>
      <c r="C42" s="28" t="s">
        <v>23</v>
      </c>
      <c r="D42" s="28">
        <v>39</v>
      </c>
      <c r="E42" s="28">
        <v>0</v>
      </c>
      <c r="F42" s="28">
        <v>6</v>
      </c>
      <c r="G42" s="28">
        <v>3</v>
      </c>
      <c r="H42" s="28">
        <v>0</v>
      </c>
      <c r="I42" s="28">
        <v>4</v>
      </c>
      <c r="J42" s="28">
        <v>0</v>
      </c>
      <c r="K42" s="28">
        <v>0</v>
      </c>
      <c r="L42" s="28">
        <v>3</v>
      </c>
      <c r="M42" s="28">
        <v>0</v>
      </c>
      <c r="N42" s="28">
        <v>55</v>
      </c>
      <c r="O42" s="31" t="s">
        <v>3</v>
      </c>
      <c r="P42" s="28" t="s">
        <v>7</v>
      </c>
      <c r="R42" t="str">
        <f t="shared" si="1"/>
        <v>yes</v>
      </c>
    </row>
    <row r="43" spans="1:18" x14ac:dyDescent="0.35">
      <c r="A43" s="176"/>
      <c r="B43" s="178"/>
      <c r="C43" s="28" t="s">
        <v>24</v>
      </c>
      <c r="D43" s="28">
        <v>11</v>
      </c>
      <c r="E43" s="28">
        <v>0</v>
      </c>
      <c r="F43" s="28">
        <v>0</v>
      </c>
      <c r="G43" s="28">
        <v>0</v>
      </c>
      <c r="H43" s="28">
        <v>0</v>
      </c>
      <c r="I43" s="28">
        <v>0</v>
      </c>
      <c r="J43" s="28">
        <v>0</v>
      </c>
      <c r="K43" s="28">
        <v>0</v>
      </c>
      <c r="L43" s="28">
        <v>2</v>
      </c>
      <c r="M43" s="28">
        <v>0</v>
      </c>
      <c r="N43" s="28">
        <v>13</v>
      </c>
      <c r="O43" s="31" t="s">
        <v>3</v>
      </c>
      <c r="P43" s="28" t="s">
        <v>7</v>
      </c>
      <c r="R43" t="str">
        <f t="shared" si="1"/>
        <v>yes</v>
      </c>
    </row>
    <row r="44" spans="1:18" x14ac:dyDescent="0.35">
      <c r="A44" s="176"/>
      <c r="B44" s="178"/>
      <c r="C44" s="28" t="s">
        <v>25</v>
      </c>
      <c r="D44" s="28">
        <v>7</v>
      </c>
      <c r="E44" s="28">
        <v>0</v>
      </c>
      <c r="F44" s="28">
        <v>2</v>
      </c>
      <c r="G44" s="28">
        <v>3</v>
      </c>
      <c r="H44" s="28">
        <v>1</v>
      </c>
      <c r="I44" s="28">
        <v>2</v>
      </c>
      <c r="J44" s="28">
        <v>0</v>
      </c>
      <c r="K44" s="28">
        <v>2</v>
      </c>
      <c r="L44" s="28">
        <v>3</v>
      </c>
      <c r="M44" s="28">
        <v>0</v>
      </c>
      <c r="N44" s="28">
        <v>20</v>
      </c>
      <c r="O44" s="31" t="s">
        <v>3</v>
      </c>
      <c r="P44" s="28" t="s">
        <v>7</v>
      </c>
      <c r="R44" t="str">
        <f t="shared" si="1"/>
        <v>yes</v>
      </c>
    </row>
    <row r="45" spans="1:18" x14ac:dyDescent="0.35">
      <c r="A45" s="176"/>
      <c r="B45" s="178"/>
      <c r="C45" s="28" t="s">
        <v>26</v>
      </c>
      <c r="D45" s="28">
        <v>2</v>
      </c>
      <c r="E45" s="28">
        <v>2</v>
      </c>
      <c r="F45" s="28">
        <v>0</v>
      </c>
      <c r="G45" s="28">
        <v>0</v>
      </c>
      <c r="H45" s="28">
        <v>0</v>
      </c>
      <c r="I45" s="28">
        <v>0</v>
      </c>
      <c r="J45" s="28">
        <v>1</v>
      </c>
      <c r="K45" s="28">
        <v>0</v>
      </c>
      <c r="L45" s="28">
        <v>0</v>
      </c>
      <c r="M45" s="28">
        <v>0</v>
      </c>
      <c r="N45" s="28">
        <v>5</v>
      </c>
      <c r="O45" s="31" t="s">
        <v>3</v>
      </c>
      <c r="P45" s="28" t="s">
        <v>7</v>
      </c>
      <c r="R45" t="str">
        <f t="shared" si="1"/>
        <v>yes</v>
      </c>
    </row>
    <row r="46" spans="1:18" ht="15" thickBot="1" x14ac:dyDescent="0.4">
      <c r="A46" s="176"/>
      <c r="B46" s="178"/>
      <c r="C46" s="28" t="s">
        <v>27</v>
      </c>
      <c r="D46" s="28">
        <v>7</v>
      </c>
      <c r="E46" s="28">
        <v>0</v>
      </c>
      <c r="F46" s="28">
        <v>0</v>
      </c>
      <c r="G46" s="28">
        <v>1</v>
      </c>
      <c r="H46" s="28">
        <v>0</v>
      </c>
      <c r="I46" s="28">
        <v>0</v>
      </c>
      <c r="J46" s="28">
        <v>0</v>
      </c>
      <c r="K46" s="28">
        <v>0</v>
      </c>
      <c r="L46" s="28">
        <v>0</v>
      </c>
      <c r="M46" s="28">
        <v>0</v>
      </c>
      <c r="N46" s="28">
        <v>8</v>
      </c>
      <c r="O46" s="31" t="s">
        <v>3</v>
      </c>
      <c r="P46" s="28" t="s">
        <v>7</v>
      </c>
      <c r="R46" t="str">
        <f t="shared" si="1"/>
        <v>yes</v>
      </c>
    </row>
    <row r="47" spans="1:18" x14ac:dyDescent="0.35">
      <c r="A47" s="176"/>
      <c r="B47" s="177" t="s">
        <v>8</v>
      </c>
      <c r="C47" s="28" t="s">
        <v>28</v>
      </c>
      <c r="D47" s="28">
        <v>777</v>
      </c>
      <c r="E47" s="28">
        <v>79</v>
      </c>
      <c r="F47" s="28">
        <v>121</v>
      </c>
      <c r="G47" s="28">
        <v>129</v>
      </c>
      <c r="H47" s="28">
        <v>103</v>
      </c>
      <c r="I47" s="28">
        <v>206</v>
      </c>
      <c r="J47" s="28">
        <v>117</v>
      </c>
      <c r="K47" s="28">
        <v>32</v>
      </c>
      <c r="L47" s="28">
        <v>241</v>
      </c>
      <c r="M47" s="28">
        <v>0</v>
      </c>
      <c r="N47" s="28">
        <v>1805</v>
      </c>
      <c r="O47" s="31" t="s">
        <v>3</v>
      </c>
      <c r="P47" s="28" t="s">
        <v>8</v>
      </c>
      <c r="R47" t="str">
        <f t="shared" si="1"/>
        <v>yes</v>
      </c>
    </row>
    <row r="48" spans="1:18" x14ac:dyDescent="0.35">
      <c r="A48" s="176"/>
      <c r="B48" s="178"/>
      <c r="C48" s="28" t="s">
        <v>29</v>
      </c>
      <c r="D48" s="28">
        <v>211</v>
      </c>
      <c r="E48" s="28">
        <v>10</v>
      </c>
      <c r="F48" s="28">
        <v>22</v>
      </c>
      <c r="G48" s="28">
        <v>19</v>
      </c>
      <c r="H48" s="28">
        <v>19</v>
      </c>
      <c r="I48" s="28">
        <v>11</v>
      </c>
      <c r="J48" s="28">
        <v>46</v>
      </c>
      <c r="K48" s="28">
        <v>1</v>
      </c>
      <c r="L48" s="28">
        <v>68</v>
      </c>
      <c r="M48" s="28">
        <v>0</v>
      </c>
      <c r="N48" s="28">
        <v>407</v>
      </c>
      <c r="O48" s="31" t="s">
        <v>3</v>
      </c>
      <c r="P48" s="28" t="s">
        <v>8</v>
      </c>
      <c r="R48" t="str">
        <f t="shared" si="1"/>
        <v>yes</v>
      </c>
    </row>
    <row r="49" spans="1:18" x14ac:dyDescent="0.35">
      <c r="A49" s="176"/>
      <c r="B49" s="178"/>
      <c r="C49" s="28" t="s">
        <v>30</v>
      </c>
      <c r="D49" s="28">
        <v>47</v>
      </c>
      <c r="E49" s="28">
        <v>16</v>
      </c>
      <c r="F49" s="28">
        <v>19</v>
      </c>
      <c r="G49" s="28">
        <v>9</v>
      </c>
      <c r="H49" s="28">
        <v>8</v>
      </c>
      <c r="I49" s="28">
        <v>41</v>
      </c>
      <c r="J49" s="28">
        <v>8</v>
      </c>
      <c r="K49" s="28">
        <v>6</v>
      </c>
      <c r="L49" s="28">
        <v>20</v>
      </c>
      <c r="M49" s="28">
        <v>0</v>
      </c>
      <c r="N49" s="28">
        <v>174</v>
      </c>
      <c r="O49" s="31" t="s">
        <v>3</v>
      </c>
      <c r="P49" s="28" t="s">
        <v>8</v>
      </c>
      <c r="R49" t="str">
        <f t="shared" si="1"/>
        <v>yes</v>
      </c>
    </row>
    <row r="50" spans="1:18" x14ac:dyDescent="0.35">
      <c r="A50" s="176"/>
      <c r="B50" s="178"/>
      <c r="C50" s="28" t="s">
        <v>31</v>
      </c>
      <c r="D50" s="28">
        <v>11</v>
      </c>
      <c r="E50" s="28">
        <v>0</v>
      </c>
      <c r="F50" s="28">
        <v>0</v>
      </c>
      <c r="G50" s="28">
        <v>1</v>
      </c>
      <c r="H50" s="28">
        <v>1</v>
      </c>
      <c r="I50" s="28">
        <v>1</v>
      </c>
      <c r="J50" s="28">
        <v>19</v>
      </c>
      <c r="K50" s="28">
        <v>0</v>
      </c>
      <c r="L50" s="28">
        <v>4</v>
      </c>
      <c r="M50" s="28">
        <v>0</v>
      </c>
      <c r="N50" s="28">
        <v>37</v>
      </c>
      <c r="O50" s="31" t="s">
        <v>3</v>
      </c>
      <c r="P50" s="28" t="s">
        <v>8</v>
      </c>
      <c r="R50" t="str">
        <f t="shared" si="1"/>
        <v>yes</v>
      </c>
    </row>
    <row r="51" spans="1:18" x14ac:dyDescent="0.35">
      <c r="A51" s="176"/>
      <c r="B51" s="178"/>
      <c r="C51" s="28" t="s">
        <v>32</v>
      </c>
      <c r="D51" s="28">
        <v>1297</v>
      </c>
      <c r="E51" s="28">
        <v>236</v>
      </c>
      <c r="F51" s="28">
        <v>170</v>
      </c>
      <c r="G51" s="28">
        <v>288</v>
      </c>
      <c r="H51" s="28">
        <v>173</v>
      </c>
      <c r="I51" s="28">
        <v>252</v>
      </c>
      <c r="J51" s="28">
        <v>188</v>
      </c>
      <c r="K51" s="28">
        <v>56</v>
      </c>
      <c r="L51" s="28">
        <v>289</v>
      </c>
      <c r="M51" s="28">
        <v>0</v>
      </c>
      <c r="N51" s="28">
        <v>2949</v>
      </c>
      <c r="O51" s="31" t="s">
        <v>3</v>
      </c>
      <c r="P51" s="28" t="s">
        <v>8</v>
      </c>
      <c r="R51" t="str">
        <f t="shared" si="1"/>
        <v>yes</v>
      </c>
    </row>
    <row r="52" spans="1:18" x14ac:dyDescent="0.35">
      <c r="A52" s="176"/>
      <c r="B52" s="178"/>
      <c r="C52" s="28" t="s">
        <v>33</v>
      </c>
      <c r="D52" s="28">
        <v>445</v>
      </c>
      <c r="E52" s="28">
        <v>44</v>
      </c>
      <c r="F52" s="28">
        <v>55</v>
      </c>
      <c r="G52" s="28">
        <v>132</v>
      </c>
      <c r="H52" s="28">
        <v>53</v>
      </c>
      <c r="I52" s="28">
        <v>141</v>
      </c>
      <c r="J52" s="28">
        <v>57</v>
      </c>
      <c r="K52" s="28">
        <v>48</v>
      </c>
      <c r="L52" s="28">
        <v>163</v>
      </c>
      <c r="M52" s="28">
        <v>0</v>
      </c>
      <c r="N52" s="28">
        <v>1138</v>
      </c>
      <c r="O52" s="31" t="s">
        <v>3</v>
      </c>
      <c r="P52" s="28" t="s">
        <v>8</v>
      </c>
      <c r="R52" t="str">
        <f t="shared" si="1"/>
        <v>yes</v>
      </c>
    </row>
    <row r="53" spans="1:18" ht="15" thickBot="1" x14ac:dyDescent="0.4">
      <c r="A53" s="176"/>
      <c r="B53" s="178"/>
      <c r="C53" s="28" t="s">
        <v>34</v>
      </c>
      <c r="D53" s="28">
        <v>518</v>
      </c>
      <c r="E53" s="28">
        <v>19</v>
      </c>
      <c r="F53" s="28">
        <v>20</v>
      </c>
      <c r="G53" s="28">
        <v>32</v>
      </c>
      <c r="H53" s="28">
        <v>54</v>
      </c>
      <c r="I53" s="28">
        <v>42</v>
      </c>
      <c r="J53" s="28">
        <v>33</v>
      </c>
      <c r="K53" s="28">
        <v>47</v>
      </c>
      <c r="L53" s="28">
        <v>27</v>
      </c>
      <c r="M53" s="28">
        <v>0</v>
      </c>
      <c r="N53" s="28">
        <v>792</v>
      </c>
      <c r="O53" s="31" t="s">
        <v>3</v>
      </c>
      <c r="P53" s="28" t="s">
        <v>8</v>
      </c>
      <c r="R53" t="str">
        <f t="shared" si="1"/>
        <v>yes</v>
      </c>
    </row>
    <row r="54" spans="1:18" x14ac:dyDescent="0.35">
      <c r="A54" s="173" t="s">
        <v>2</v>
      </c>
      <c r="B54" s="171" t="s">
        <v>7</v>
      </c>
      <c r="C54" s="33" t="s">
        <v>22</v>
      </c>
      <c r="D54" s="33">
        <v>86</v>
      </c>
      <c r="E54" s="33">
        <v>0</v>
      </c>
      <c r="F54" s="33">
        <v>8</v>
      </c>
      <c r="G54" s="33">
        <v>2</v>
      </c>
      <c r="H54" s="33">
        <v>2</v>
      </c>
      <c r="I54" s="33">
        <v>2</v>
      </c>
      <c r="J54" s="33">
        <v>0</v>
      </c>
      <c r="K54" s="33">
        <v>2</v>
      </c>
      <c r="L54" s="33">
        <v>1</v>
      </c>
      <c r="M54" s="33">
        <v>0</v>
      </c>
      <c r="N54" s="33">
        <v>103</v>
      </c>
      <c r="O54" s="34" t="s">
        <v>2</v>
      </c>
      <c r="P54" s="33" t="s">
        <v>7</v>
      </c>
      <c r="R54" t="str">
        <f t="shared" si="1"/>
        <v>yes</v>
      </c>
    </row>
    <row r="55" spans="1:18" x14ac:dyDescent="0.35">
      <c r="A55" s="173"/>
      <c r="B55" s="172"/>
      <c r="C55" s="33" t="s">
        <v>23</v>
      </c>
      <c r="D55" s="33">
        <v>43</v>
      </c>
      <c r="E55" s="33">
        <v>0</v>
      </c>
      <c r="F55" s="33">
        <v>0</v>
      </c>
      <c r="G55" s="33">
        <v>2</v>
      </c>
      <c r="H55" s="33">
        <v>1</v>
      </c>
      <c r="I55" s="33">
        <v>3</v>
      </c>
      <c r="J55" s="33">
        <v>0</v>
      </c>
      <c r="K55" s="33">
        <v>1</v>
      </c>
      <c r="L55" s="33">
        <v>0</v>
      </c>
      <c r="M55" s="33">
        <v>0</v>
      </c>
      <c r="N55" s="33">
        <v>50</v>
      </c>
      <c r="O55" s="34" t="s">
        <v>2</v>
      </c>
      <c r="P55" s="33" t="s">
        <v>7</v>
      </c>
      <c r="R55" t="str">
        <f t="shared" si="1"/>
        <v>yes</v>
      </c>
    </row>
    <row r="56" spans="1:18" x14ac:dyDescent="0.35">
      <c r="A56" s="173"/>
      <c r="B56" s="172"/>
      <c r="C56" s="33" t="s">
        <v>24</v>
      </c>
      <c r="D56" s="33">
        <v>24</v>
      </c>
      <c r="E56" s="33">
        <v>0</v>
      </c>
      <c r="F56" s="33">
        <v>0</v>
      </c>
      <c r="G56" s="33">
        <v>0</v>
      </c>
      <c r="H56" s="33">
        <v>0</v>
      </c>
      <c r="I56" s="33">
        <v>1</v>
      </c>
      <c r="J56" s="33">
        <v>0</v>
      </c>
      <c r="K56" s="33">
        <v>0</v>
      </c>
      <c r="L56" s="33">
        <v>0</v>
      </c>
      <c r="M56" s="33">
        <v>0</v>
      </c>
      <c r="N56" s="33">
        <v>25</v>
      </c>
      <c r="O56" s="34" t="s">
        <v>2</v>
      </c>
      <c r="P56" s="33" t="s">
        <v>7</v>
      </c>
      <c r="R56" t="str">
        <f t="shared" si="1"/>
        <v>yes</v>
      </c>
    </row>
    <row r="57" spans="1:18" x14ac:dyDescent="0.35">
      <c r="A57" s="173"/>
      <c r="B57" s="172"/>
      <c r="C57" s="33" t="s">
        <v>25</v>
      </c>
      <c r="D57" s="33">
        <v>21</v>
      </c>
      <c r="E57" s="33">
        <v>11</v>
      </c>
      <c r="F57" s="33">
        <v>4</v>
      </c>
      <c r="G57" s="33">
        <v>2</v>
      </c>
      <c r="H57" s="33">
        <v>8</v>
      </c>
      <c r="I57" s="33">
        <v>2</v>
      </c>
      <c r="J57" s="33">
        <v>2</v>
      </c>
      <c r="K57" s="33">
        <v>2</v>
      </c>
      <c r="L57" s="33">
        <v>4</v>
      </c>
      <c r="M57" s="33">
        <v>0</v>
      </c>
      <c r="N57" s="33">
        <v>56</v>
      </c>
      <c r="O57" s="34" t="s">
        <v>2</v>
      </c>
      <c r="P57" s="33" t="s">
        <v>7</v>
      </c>
      <c r="R57" t="str">
        <f t="shared" si="1"/>
        <v>yes</v>
      </c>
    </row>
    <row r="58" spans="1:18" x14ac:dyDescent="0.35">
      <c r="A58" s="173"/>
      <c r="B58" s="172"/>
      <c r="C58" s="33" t="s">
        <v>26</v>
      </c>
      <c r="D58" s="33">
        <v>0</v>
      </c>
      <c r="E58" s="33">
        <v>1</v>
      </c>
      <c r="F58" s="33">
        <v>0</v>
      </c>
      <c r="G58" s="33">
        <v>0</v>
      </c>
      <c r="H58" s="33">
        <v>0</v>
      </c>
      <c r="I58" s="33">
        <v>0</v>
      </c>
      <c r="J58" s="33">
        <v>1</v>
      </c>
      <c r="K58" s="33">
        <v>0</v>
      </c>
      <c r="L58" s="33">
        <v>0</v>
      </c>
      <c r="M58" s="33">
        <v>0</v>
      </c>
      <c r="N58" s="33">
        <v>2</v>
      </c>
      <c r="O58" s="34" t="s">
        <v>2</v>
      </c>
      <c r="P58" s="33" t="s">
        <v>7</v>
      </c>
      <c r="R58" t="str">
        <f t="shared" si="1"/>
        <v>yes</v>
      </c>
    </row>
    <row r="59" spans="1:18" ht="15" thickBot="1" x14ac:dyDescent="0.4">
      <c r="A59" s="173"/>
      <c r="B59" s="172"/>
      <c r="C59" s="33" t="s">
        <v>27</v>
      </c>
      <c r="D59" s="33">
        <v>18</v>
      </c>
      <c r="E59" s="33">
        <v>0</v>
      </c>
      <c r="F59" s="33">
        <v>0</v>
      </c>
      <c r="G59" s="33">
        <v>0</v>
      </c>
      <c r="H59" s="33">
        <v>0</v>
      </c>
      <c r="I59" s="33">
        <v>0</v>
      </c>
      <c r="J59" s="33">
        <v>0</v>
      </c>
      <c r="K59" s="33">
        <v>0</v>
      </c>
      <c r="L59" s="33">
        <v>0</v>
      </c>
      <c r="M59" s="33">
        <v>0</v>
      </c>
      <c r="N59" s="33">
        <v>18</v>
      </c>
      <c r="O59" s="34" t="s">
        <v>2</v>
      </c>
      <c r="P59" s="33" t="s">
        <v>7</v>
      </c>
      <c r="R59" t="str">
        <f t="shared" si="1"/>
        <v>yes</v>
      </c>
    </row>
    <row r="60" spans="1:18" x14ac:dyDescent="0.35">
      <c r="A60" s="173"/>
      <c r="B60" s="171" t="s">
        <v>8</v>
      </c>
      <c r="C60" s="33" t="s">
        <v>28</v>
      </c>
      <c r="D60" s="33">
        <v>974</v>
      </c>
      <c r="E60" s="33">
        <v>96</v>
      </c>
      <c r="F60" s="33">
        <v>112</v>
      </c>
      <c r="G60" s="33">
        <v>89</v>
      </c>
      <c r="H60" s="33">
        <v>45</v>
      </c>
      <c r="I60" s="33">
        <v>104</v>
      </c>
      <c r="J60" s="33">
        <v>62</v>
      </c>
      <c r="K60" s="33">
        <v>33</v>
      </c>
      <c r="L60" s="33">
        <v>100</v>
      </c>
      <c r="M60" s="33">
        <v>0</v>
      </c>
      <c r="N60" s="33">
        <v>1615</v>
      </c>
      <c r="O60" s="34" t="s">
        <v>2</v>
      </c>
      <c r="P60" s="33" t="s">
        <v>8</v>
      </c>
      <c r="R60" t="str">
        <f t="shared" si="1"/>
        <v>yes</v>
      </c>
    </row>
    <row r="61" spans="1:18" x14ac:dyDescent="0.35">
      <c r="A61" s="173"/>
      <c r="B61" s="172"/>
      <c r="C61" s="33" t="s">
        <v>29</v>
      </c>
      <c r="D61" s="33">
        <v>314</v>
      </c>
      <c r="E61" s="33">
        <v>23</v>
      </c>
      <c r="F61" s="33">
        <v>28</v>
      </c>
      <c r="G61" s="33">
        <v>15</v>
      </c>
      <c r="H61" s="33">
        <v>18</v>
      </c>
      <c r="I61" s="33">
        <v>19</v>
      </c>
      <c r="J61" s="33">
        <v>48</v>
      </c>
      <c r="K61" s="33">
        <v>13</v>
      </c>
      <c r="L61" s="33">
        <v>35</v>
      </c>
      <c r="M61" s="33">
        <v>0</v>
      </c>
      <c r="N61" s="33">
        <v>513</v>
      </c>
      <c r="O61" s="34" t="s">
        <v>2</v>
      </c>
      <c r="P61" s="33" t="s">
        <v>8</v>
      </c>
      <c r="R61" t="str">
        <f t="shared" si="1"/>
        <v>yes</v>
      </c>
    </row>
    <row r="62" spans="1:18" x14ac:dyDescent="0.35">
      <c r="A62" s="173"/>
      <c r="B62" s="172"/>
      <c r="C62" s="33" t="s">
        <v>30</v>
      </c>
      <c r="D62" s="33">
        <v>73</v>
      </c>
      <c r="E62" s="33">
        <v>6</v>
      </c>
      <c r="F62" s="33">
        <v>6</v>
      </c>
      <c r="G62" s="33">
        <v>11</v>
      </c>
      <c r="H62" s="33">
        <v>17</v>
      </c>
      <c r="I62" s="33">
        <v>29</v>
      </c>
      <c r="J62" s="33">
        <v>8</v>
      </c>
      <c r="K62" s="33">
        <v>7</v>
      </c>
      <c r="L62" s="33">
        <v>28</v>
      </c>
      <c r="M62" s="33">
        <v>0</v>
      </c>
      <c r="N62" s="33">
        <v>185</v>
      </c>
      <c r="O62" s="34" t="s">
        <v>2</v>
      </c>
      <c r="P62" s="33" t="s">
        <v>8</v>
      </c>
      <c r="R62" t="str">
        <f t="shared" si="1"/>
        <v>yes</v>
      </c>
    </row>
    <row r="63" spans="1:18" x14ac:dyDescent="0.35">
      <c r="A63" s="173"/>
      <c r="B63" s="172"/>
      <c r="C63" s="33" t="s">
        <v>31</v>
      </c>
      <c r="D63" s="33">
        <v>14</v>
      </c>
      <c r="E63" s="33">
        <v>3</v>
      </c>
      <c r="F63" s="33">
        <v>0</v>
      </c>
      <c r="G63" s="33">
        <v>0</v>
      </c>
      <c r="H63" s="33">
        <v>2</v>
      </c>
      <c r="I63" s="33">
        <v>1</v>
      </c>
      <c r="J63" s="33">
        <v>0</v>
      </c>
      <c r="K63" s="33">
        <v>0</v>
      </c>
      <c r="L63" s="33">
        <v>0</v>
      </c>
      <c r="M63" s="33">
        <v>0</v>
      </c>
      <c r="N63" s="33">
        <v>20</v>
      </c>
      <c r="O63" s="34" t="s">
        <v>2</v>
      </c>
      <c r="P63" s="33" t="s">
        <v>8</v>
      </c>
      <c r="R63" t="str">
        <f t="shared" si="1"/>
        <v>yes</v>
      </c>
    </row>
    <row r="64" spans="1:18" x14ac:dyDescent="0.35">
      <c r="A64" s="173"/>
      <c r="B64" s="172"/>
      <c r="C64" s="33" t="s">
        <v>32</v>
      </c>
      <c r="D64" s="33">
        <v>1669</v>
      </c>
      <c r="E64" s="33">
        <v>220</v>
      </c>
      <c r="F64" s="33">
        <v>258</v>
      </c>
      <c r="G64" s="33">
        <v>200</v>
      </c>
      <c r="H64" s="33">
        <v>192</v>
      </c>
      <c r="I64" s="33">
        <v>445</v>
      </c>
      <c r="J64" s="33">
        <v>107</v>
      </c>
      <c r="K64" s="33">
        <v>93</v>
      </c>
      <c r="L64" s="33">
        <v>161</v>
      </c>
      <c r="M64" s="33">
        <v>0</v>
      </c>
      <c r="N64" s="33">
        <v>3345</v>
      </c>
      <c r="O64" s="34" t="s">
        <v>2</v>
      </c>
      <c r="P64" s="33" t="s">
        <v>8</v>
      </c>
      <c r="R64" t="str">
        <f t="shared" si="1"/>
        <v>yes</v>
      </c>
    </row>
    <row r="65" spans="1:18" x14ac:dyDescent="0.35">
      <c r="A65" s="173"/>
      <c r="B65" s="172"/>
      <c r="C65" s="33" t="s">
        <v>33</v>
      </c>
      <c r="D65" s="33">
        <v>436</v>
      </c>
      <c r="E65" s="33">
        <v>48</v>
      </c>
      <c r="F65" s="33">
        <v>77</v>
      </c>
      <c r="G65" s="33">
        <v>88</v>
      </c>
      <c r="H65" s="33">
        <v>47</v>
      </c>
      <c r="I65" s="33">
        <v>146</v>
      </c>
      <c r="J65" s="33">
        <v>49</v>
      </c>
      <c r="K65" s="33">
        <v>36</v>
      </c>
      <c r="L65" s="33">
        <v>36</v>
      </c>
      <c r="M65" s="33">
        <v>0</v>
      </c>
      <c r="N65" s="33">
        <v>963</v>
      </c>
      <c r="O65" s="34" t="s">
        <v>2</v>
      </c>
      <c r="P65" s="33" t="s">
        <v>8</v>
      </c>
      <c r="R65" t="str">
        <f t="shared" si="1"/>
        <v>yes</v>
      </c>
    </row>
    <row r="66" spans="1:18" ht="15" thickBot="1" x14ac:dyDescent="0.4">
      <c r="A66" s="173"/>
      <c r="B66" s="172"/>
      <c r="C66" s="33" t="s">
        <v>34</v>
      </c>
      <c r="D66" s="33">
        <v>337</v>
      </c>
      <c r="E66" s="33">
        <v>35</v>
      </c>
      <c r="F66" s="33">
        <v>21</v>
      </c>
      <c r="G66" s="33">
        <v>113</v>
      </c>
      <c r="H66" s="33">
        <v>19</v>
      </c>
      <c r="I66" s="33">
        <v>36</v>
      </c>
      <c r="J66" s="33">
        <v>17</v>
      </c>
      <c r="K66" s="33">
        <v>31</v>
      </c>
      <c r="L66" s="33">
        <v>26</v>
      </c>
      <c r="M66" s="33">
        <v>0</v>
      </c>
      <c r="N66" s="33">
        <v>635</v>
      </c>
      <c r="O66" s="34" t="s">
        <v>2</v>
      </c>
      <c r="P66" s="33" t="s">
        <v>8</v>
      </c>
      <c r="R66" t="str">
        <f t="shared" ref="R66:R97" si="2">IF(C66=C79, "yes", "n")</f>
        <v>yes</v>
      </c>
    </row>
    <row r="67" spans="1:18" x14ac:dyDescent="0.35">
      <c r="A67" s="174" t="s">
        <v>1</v>
      </c>
      <c r="B67" s="169" t="s">
        <v>7</v>
      </c>
      <c r="C67" s="45" t="s">
        <v>22</v>
      </c>
      <c r="D67" s="45">
        <v>45</v>
      </c>
      <c r="E67" s="45">
        <v>0</v>
      </c>
      <c r="F67" s="45">
        <v>8</v>
      </c>
      <c r="G67" s="45">
        <v>0</v>
      </c>
      <c r="H67" s="45">
        <v>0</v>
      </c>
      <c r="I67" s="45">
        <v>6</v>
      </c>
      <c r="J67" s="45">
        <v>0</v>
      </c>
      <c r="K67" s="45">
        <v>1</v>
      </c>
      <c r="L67" s="45">
        <v>4</v>
      </c>
      <c r="M67" s="45">
        <v>0</v>
      </c>
      <c r="N67" s="45">
        <v>64</v>
      </c>
      <c r="O67" s="46" t="s">
        <v>1</v>
      </c>
      <c r="P67" s="45" t="s">
        <v>7</v>
      </c>
      <c r="R67" t="str">
        <f t="shared" si="2"/>
        <v>yes</v>
      </c>
    </row>
    <row r="68" spans="1:18" x14ac:dyDescent="0.35">
      <c r="A68" s="174"/>
      <c r="B68" s="170"/>
      <c r="C68" s="45" t="s">
        <v>23</v>
      </c>
      <c r="D68" s="45">
        <v>76</v>
      </c>
      <c r="E68" s="45">
        <v>0</v>
      </c>
      <c r="F68" s="45">
        <v>30</v>
      </c>
      <c r="G68" s="45">
        <v>0</v>
      </c>
      <c r="H68" s="45">
        <v>0</v>
      </c>
      <c r="I68" s="45">
        <v>7</v>
      </c>
      <c r="J68" s="45">
        <v>0</v>
      </c>
      <c r="K68" s="45">
        <v>3</v>
      </c>
      <c r="L68" s="45">
        <v>2</v>
      </c>
      <c r="M68" s="45">
        <v>0</v>
      </c>
      <c r="N68" s="45">
        <v>118</v>
      </c>
      <c r="O68" s="46" t="s">
        <v>1</v>
      </c>
      <c r="P68" s="45" t="s">
        <v>7</v>
      </c>
      <c r="R68" t="str">
        <f t="shared" si="2"/>
        <v>yes</v>
      </c>
    </row>
    <row r="69" spans="1:18" x14ac:dyDescent="0.35">
      <c r="A69" s="174"/>
      <c r="B69" s="170"/>
      <c r="C69" s="45" t="s">
        <v>24</v>
      </c>
      <c r="D69" s="45">
        <v>16</v>
      </c>
      <c r="E69" s="45">
        <v>0</v>
      </c>
      <c r="F69" s="45">
        <v>1</v>
      </c>
      <c r="G69" s="45">
        <v>1</v>
      </c>
      <c r="H69" s="45">
        <v>0</v>
      </c>
      <c r="I69" s="45">
        <v>1</v>
      </c>
      <c r="J69" s="45">
        <v>0</v>
      </c>
      <c r="K69" s="45">
        <v>2</v>
      </c>
      <c r="L69" s="45">
        <v>2</v>
      </c>
      <c r="M69" s="45">
        <v>0</v>
      </c>
      <c r="N69" s="45">
        <v>23</v>
      </c>
      <c r="O69" s="46" t="s">
        <v>1</v>
      </c>
      <c r="P69" s="45" t="s">
        <v>7</v>
      </c>
      <c r="R69" t="str">
        <f t="shared" si="2"/>
        <v>yes</v>
      </c>
    </row>
    <row r="70" spans="1:18" x14ac:dyDescent="0.35">
      <c r="A70" s="174"/>
      <c r="B70" s="170"/>
      <c r="C70" s="45" t="s">
        <v>25</v>
      </c>
      <c r="D70" s="45">
        <v>14</v>
      </c>
      <c r="E70" s="45">
        <v>2</v>
      </c>
      <c r="F70" s="45">
        <v>3</v>
      </c>
      <c r="G70" s="45">
        <v>3</v>
      </c>
      <c r="H70" s="45">
        <v>9</v>
      </c>
      <c r="I70" s="45">
        <v>6</v>
      </c>
      <c r="J70" s="45">
        <v>1</v>
      </c>
      <c r="K70" s="45">
        <v>0</v>
      </c>
      <c r="L70" s="45">
        <v>3</v>
      </c>
      <c r="M70" s="45">
        <v>0</v>
      </c>
      <c r="N70" s="45">
        <v>41</v>
      </c>
      <c r="O70" s="46" t="s">
        <v>1</v>
      </c>
      <c r="P70" s="45" t="s">
        <v>7</v>
      </c>
      <c r="R70" t="str">
        <f t="shared" si="2"/>
        <v>yes</v>
      </c>
    </row>
    <row r="71" spans="1:18" x14ac:dyDescent="0.35">
      <c r="A71" s="174"/>
      <c r="B71" s="170"/>
      <c r="C71" s="45" t="s">
        <v>26</v>
      </c>
      <c r="D71" s="45">
        <v>3</v>
      </c>
      <c r="E71" s="45">
        <v>0</v>
      </c>
      <c r="F71" s="45">
        <v>0</v>
      </c>
      <c r="G71" s="45">
        <v>0</v>
      </c>
      <c r="H71" s="45">
        <v>0</v>
      </c>
      <c r="I71" s="45">
        <v>0</v>
      </c>
      <c r="J71" s="45">
        <v>0</v>
      </c>
      <c r="K71" s="45">
        <v>0</v>
      </c>
      <c r="L71" s="45">
        <v>2</v>
      </c>
      <c r="M71" s="45">
        <v>0</v>
      </c>
      <c r="N71" s="45">
        <v>5</v>
      </c>
      <c r="O71" s="46" t="s">
        <v>1</v>
      </c>
      <c r="P71" s="45" t="s">
        <v>7</v>
      </c>
      <c r="R71" t="str">
        <f t="shared" si="2"/>
        <v>yes</v>
      </c>
    </row>
    <row r="72" spans="1:18" ht="15" thickBot="1" x14ac:dyDescent="0.4">
      <c r="A72" s="174"/>
      <c r="B72" s="170"/>
      <c r="C72" s="45" t="s">
        <v>27</v>
      </c>
      <c r="D72" s="45">
        <v>14</v>
      </c>
      <c r="E72" s="45">
        <v>1</v>
      </c>
      <c r="F72" s="45">
        <v>0</v>
      </c>
      <c r="G72" s="45">
        <v>0</v>
      </c>
      <c r="H72" s="45">
        <v>0</v>
      </c>
      <c r="I72" s="45">
        <v>0</v>
      </c>
      <c r="J72" s="45">
        <v>0</v>
      </c>
      <c r="K72" s="45">
        <v>0</v>
      </c>
      <c r="L72" s="45">
        <v>0</v>
      </c>
      <c r="M72" s="45">
        <v>0</v>
      </c>
      <c r="N72" s="45">
        <v>15</v>
      </c>
      <c r="O72" s="46" t="s">
        <v>1</v>
      </c>
      <c r="P72" s="45" t="s">
        <v>7</v>
      </c>
      <c r="R72" t="str">
        <f t="shared" si="2"/>
        <v>yes</v>
      </c>
    </row>
    <row r="73" spans="1:18" x14ac:dyDescent="0.35">
      <c r="A73" s="174"/>
      <c r="B73" s="169" t="s">
        <v>8</v>
      </c>
      <c r="C73" s="45" t="s">
        <v>28</v>
      </c>
      <c r="D73" s="45">
        <v>621</v>
      </c>
      <c r="E73" s="45">
        <v>107</v>
      </c>
      <c r="F73" s="45">
        <v>79</v>
      </c>
      <c r="G73" s="45">
        <v>132</v>
      </c>
      <c r="H73" s="45">
        <v>145</v>
      </c>
      <c r="I73" s="45">
        <v>81</v>
      </c>
      <c r="J73" s="45">
        <v>63</v>
      </c>
      <c r="K73" s="45">
        <v>25</v>
      </c>
      <c r="L73" s="45">
        <v>176</v>
      </c>
      <c r="M73" s="45">
        <v>0</v>
      </c>
      <c r="N73" s="45">
        <v>1429</v>
      </c>
      <c r="O73" s="46" t="s">
        <v>1</v>
      </c>
      <c r="P73" s="45" t="s">
        <v>8</v>
      </c>
      <c r="R73" t="str">
        <f t="shared" si="2"/>
        <v>yes</v>
      </c>
    </row>
    <row r="74" spans="1:18" x14ac:dyDescent="0.35">
      <c r="A74" s="174"/>
      <c r="B74" s="170"/>
      <c r="C74" s="45" t="s">
        <v>29</v>
      </c>
      <c r="D74" s="45">
        <v>207</v>
      </c>
      <c r="E74" s="45">
        <v>40</v>
      </c>
      <c r="F74" s="45">
        <v>21</v>
      </c>
      <c r="G74" s="45">
        <v>36</v>
      </c>
      <c r="H74" s="45">
        <v>28</v>
      </c>
      <c r="I74" s="45">
        <v>25</v>
      </c>
      <c r="J74" s="45">
        <v>30</v>
      </c>
      <c r="K74" s="45">
        <v>8</v>
      </c>
      <c r="L74" s="45">
        <v>28</v>
      </c>
      <c r="M74" s="45">
        <v>0</v>
      </c>
      <c r="N74" s="45">
        <v>423</v>
      </c>
      <c r="O74" s="46" t="s">
        <v>1</v>
      </c>
      <c r="P74" s="45" t="s">
        <v>8</v>
      </c>
      <c r="R74" t="str">
        <f t="shared" si="2"/>
        <v>yes</v>
      </c>
    </row>
    <row r="75" spans="1:18" x14ac:dyDescent="0.35">
      <c r="A75" s="174"/>
      <c r="B75" s="170"/>
      <c r="C75" s="45" t="s">
        <v>30</v>
      </c>
      <c r="D75" s="45">
        <v>51</v>
      </c>
      <c r="E75" s="45">
        <v>20</v>
      </c>
      <c r="F75" s="45">
        <v>37</v>
      </c>
      <c r="G75" s="45">
        <v>36</v>
      </c>
      <c r="H75" s="45">
        <v>12</v>
      </c>
      <c r="I75" s="45">
        <v>50</v>
      </c>
      <c r="J75" s="45">
        <v>20</v>
      </c>
      <c r="K75" s="45">
        <v>15</v>
      </c>
      <c r="L75" s="45">
        <v>24</v>
      </c>
      <c r="M75" s="45">
        <v>0</v>
      </c>
      <c r="N75" s="45">
        <v>265</v>
      </c>
      <c r="O75" s="46" t="s">
        <v>1</v>
      </c>
      <c r="P75" s="45" t="s">
        <v>8</v>
      </c>
      <c r="R75" t="str">
        <f t="shared" si="2"/>
        <v>yes</v>
      </c>
    </row>
    <row r="76" spans="1:18" x14ac:dyDescent="0.35">
      <c r="A76" s="174"/>
      <c r="B76" s="170"/>
      <c r="C76" s="45" t="s">
        <v>31</v>
      </c>
      <c r="D76" s="45">
        <v>37</v>
      </c>
      <c r="E76" s="45">
        <v>1</v>
      </c>
      <c r="F76" s="45">
        <v>0</v>
      </c>
      <c r="G76" s="45">
        <v>0</v>
      </c>
      <c r="H76" s="45">
        <v>0</v>
      </c>
      <c r="I76" s="45">
        <v>1</v>
      </c>
      <c r="J76" s="45">
        <v>1</v>
      </c>
      <c r="K76" s="45">
        <v>1</v>
      </c>
      <c r="L76" s="45">
        <v>21</v>
      </c>
      <c r="M76" s="45">
        <v>0</v>
      </c>
      <c r="N76" s="45">
        <v>62</v>
      </c>
      <c r="O76" s="46" t="s">
        <v>1</v>
      </c>
      <c r="P76" s="45" t="s">
        <v>8</v>
      </c>
      <c r="R76" t="str">
        <f t="shared" si="2"/>
        <v>yes</v>
      </c>
    </row>
    <row r="77" spans="1:18" x14ac:dyDescent="0.35">
      <c r="A77" s="174"/>
      <c r="B77" s="170"/>
      <c r="C77" s="45" t="s">
        <v>32</v>
      </c>
      <c r="D77" s="45">
        <v>1272</v>
      </c>
      <c r="E77" s="45">
        <v>272</v>
      </c>
      <c r="F77" s="45">
        <v>169</v>
      </c>
      <c r="G77" s="45">
        <v>304</v>
      </c>
      <c r="H77" s="45">
        <v>298</v>
      </c>
      <c r="I77" s="45">
        <v>168</v>
      </c>
      <c r="J77" s="45">
        <v>179</v>
      </c>
      <c r="K77" s="45">
        <v>74</v>
      </c>
      <c r="L77" s="45">
        <v>306</v>
      </c>
      <c r="M77" s="45">
        <v>0</v>
      </c>
      <c r="N77" s="45">
        <v>3042</v>
      </c>
      <c r="O77" s="46" t="s">
        <v>1</v>
      </c>
      <c r="P77" s="45" t="s">
        <v>8</v>
      </c>
      <c r="R77" t="str">
        <f t="shared" si="2"/>
        <v>yes</v>
      </c>
    </row>
    <row r="78" spans="1:18" x14ac:dyDescent="0.35">
      <c r="A78" s="174"/>
      <c r="B78" s="170"/>
      <c r="C78" s="45" t="s">
        <v>33</v>
      </c>
      <c r="D78" s="45">
        <v>444</v>
      </c>
      <c r="E78" s="45">
        <v>85</v>
      </c>
      <c r="F78" s="45">
        <v>140</v>
      </c>
      <c r="G78" s="45">
        <v>118</v>
      </c>
      <c r="H78" s="45">
        <v>200</v>
      </c>
      <c r="I78" s="45">
        <v>80</v>
      </c>
      <c r="J78" s="45">
        <v>126</v>
      </c>
      <c r="K78" s="45">
        <v>135</v>
      </c>
      <c r="L78" s="45">
        <v>93</v>
      </c>
      <c r="M78" s="45">
        <v>0</v>
      </c>
      <c r="N78" s="45">
        <v>1421</v>
      </c>
      <c r="O78" s="46" t="s">
        <v>1</v>
      </c>
      <c r="P78" s="45" t="s">
        <v>8</v>
      </c>
      <c r="R78" t="str">
        <f t="shared" si="2"/>
        <v>yes</v>
      </c>
    </row>
    <row r="79" spans="1:18" ht="15" thickBot="1" x14ac:dyDescent="0.4">
      <c r="A79" s="174"/>
      <c r="B79" s="170"/>
      <c r="C79" s="45" t="s">
        <v>34</v>
      </c>
      <c r="D79" s="45">
        <v>182</v>
      </c>
      <c r="E79" s="45">
        <v>24</v>
      </c>
      <c r="F79" s="45">
        <v>27</v>
      </c>
      <c r="G79" s="45">
        <v>54</v>
      </c>
      <c r="H79" s="45">
        <v>26</v>
      </c>
      <c r="I79" s="45">
        <v>23</v>
      </c>
      <c r="J79" s="45">
        <v>35</v>
      </c>
      <c r="K79" s="45">
        <v>18</v>
      </c>
      <c r="L79" s="45">
        <v>13</v>
      </c>
      <c r="M79" s="45">
        <v>0</v>
      </c>
      <c r="N79" s="45">
        <v>402</v>
      </c>
      <c r="O79" s="46" t="s">
        <v>1</v>
      </c>
      <c r="P79" s="45" t="s">
        <v>8</v>
      </c>
      <c r="R79" t="str">
        <f t="shared" si="2"/>
        <v>yes</v>
      </c>
    </row>
    <row r="80" spans="1:18" x14ac:dyDescent="0.35">
      <c r="A80" s="166" t="s">
        <v>0</v>
      </c>
      <c r="B80" s="167" t="s">
        <v>7</v>
      </c>
      <c r="C80" s="39" t="s">
        <v>22</v>
      </c>
      <c r="D80" s="39">
        <v>79</v>
      </c>
      <c r="E80" s="39">
        <v>0</v>
      </c>
      <c r="F80" s="39">
        <v>3</v>
      </c>
      <c r="G80" s="39">
        <v>1</v>
      </c>
      <c r="H80" s="39">
        <v>2</v>
      </c>
      <c r="I80" s="39">
        <v>5</v>
      </c>
      <c r="J80" s="39">
        <v>0</v>
      </c>
      <c r="K80" s="39">
        <v>1</v>
      </c>
      <c r="L80" s="39">
        <v>7</v>
      </c>
      <c r="M80" s="39">
        <v>0</v>
      </c>
      <c r="N80" s="39">
        <v>98</v>
      </c>
      <c r="O80" s="40" t="s">
        <v>0</v>
      </c>
      <c r="P80" s="39" t="s">
        <v>7</v>
      </c>
    </row>
    <row r="81" spans="1:16" x14ac:dyDescent="0.35">
      <c r="A81" s="166"/>
      <c r="B81" s="168"/>
      <c r="C81" s="39" t="s">
        <v>23</v>
      </c>
      <c r="D81" s="39">
        <v>77</v>
      </c>
      <c r="E81" s="39">
        <v>0</v>
      </c>
      <c r="F81" s="39">
        <v>1</v>
      </c>
      <c r="G81" s="39">
        <v>3</v>
      </c>
      <c r="H81" s="39">
        <v>0</v>
      </c>
      <c r="I81" s="39">
        <v>1</v>
      </c>
      <c r="J81" s="39">
        <v>0</v>
      </c>
      <c r="K81" s="39">
        <v>1</v>
      </c>
      <c r="L81" s="39">
        <v>0</v>
      </c>
      <c r="M81" s="39">
        <v>0</v>
      </c>
      <c r="N81" s="39">
        <v>83</v>
      </c>
      <c r="O81" s="40" t="s">
        <v>0</v>
      </c>
      <c r="P81" s="39" t="s">
        <v>7</v>
      </c>
    </row>
    <row r="82" spans="1:16" x14ac:dyDescent="0.35">
      <c r="A82" s="166"/>
      <c r="B82" s="168"/>
      <c r="C82" s="39" t="s">
        <v>24</v>
      </c>
      <c r="D82" s="39">
        <v>26</v>
      </c>
      <c r="E82" s="39">
        <v>0</v>
      </c>
      <c r="F82" s="39">
        <v>1</v>
      </c>
      <c r="G82" s="39">
        <v>2</v>
      </c>
      <c r="H82" s="39">
        <v>0</v>
      </c>
      <c r="I82" s="39">
        <v>2</v>
      </c>
      <c r="J82" s="39">
        <v>0</v>
      </c>
      <c r="K82" s="39">
        <v>1</v>
      </c>
      <c r="L82" s="39">
        <v>0</v>
      </c>
      <c r="M82" s="39">
        <v>0</v>
      </c>
      <c r="N82" s="39">
        <v>32</v>
      </c>
      <c r="O82" s="40" t="s">
        <v>0</v>
      </c>
      <c r="P82" s="39" t="s">
        <v>7</v>
      </c>
    </row>
    <row r="83" spans="1:16" x14ac:dyDescent="0.35">
      <c r="A83" s="166"/>
      <c r="B83" s="168"/>
      <c r="C83" s="39" t="s">
        <v>25</v>
      </c>
      <c r="D83" s="39">
        <v>15</v>
      </c>
      <c r="E83" s="39">
        <v>4</v>
      </c>
      <c r="F83" s="39">
        <v>3</v>
      </c>
      <c r="G83" s="39">
        <v>5</v>
      </c>
      <c r="H83" s="39">
        <v>9</v>
      </c>
      <c r="I83" s="39">
        <v>9</v>
      </c>
      <c r="J83" s="39">
        <v>0</v>
      </c>
      <c r="K83" s="39">
        <v>1</v>
      </c>
      <c r="L83" s="39">
        <v>5</v>
      </c>
      <c r="M83" s="39">
        <v>0</v>
      </c>
      <c r="N83" s="39">
        <v>51</v>
      </c>
      <c r="O83" s="40" t="s">
        <v>0</v>
      </c>
      <c r="P83" s="39" t="s">
        <v>7</v>
      </c>
    </row>
    <row r="84" spans="1:16" x14ac:dyDescent="0.35">
      <c r="A84" s="166"/>
      <c r="B84" s="168"/>
      <c r="C84" s="39" t="s">
        <v>26</v>
      </c>
      <c r="D84" s="39">
        <v>4</v>
      </c>
      <c r="E84" s="39">
        <v>0</v>
      </c>
      <c r="F84" s="39">
        <v>1</v>
      </c>
      <c r="G84" s="39">
        <v>1</v>
      </c>
      <c r="H84" s="39">
        <v>0</v>
      </c>
      <c r="I84" s="39">
        <v>0</v>
      </c>
      <c r="J84" s="39">
        <v>0</v>
      </c>
      <c r="K84" s="39">
        <v>0</v>
      </c>
      <c r="L84" s="39">
        <v>0</v>
      </c>
      <c r="M84" s="39">
        <v>0</v>
      </c>
      <c r="N84" s="39">
        <v>6</v>
      </c>
      <c r="O84" s="40" t="s">
        <v>0</v>
      </c>
      <c r="P84" s="39" t="s">
        <v>7</v>
      </c>
    </row>
    <row r="85" spans="1:16" ht="15" thickBot="1" x14ac:dyDescent="0.4">
      <c r="A85" s="166"/>
      <c r="B85" s="168"/>
      <c r="C85" s="39" t="s">
        <v>27</v>
      </c>
      <c r="D85" s="39">
        <v>12</v>
      </c>
      <c r="E85" s="39">
        <v>0</v>
      </c>
      <c r="F85" s="39">
        <v>2</v>
      </c>
      <c r="G85" s="39">
        <v>0</v>
      </c>
      <c r="H85" s="39">
        <v>0</v>
      </c>
      <c r="I85" s="39">
        <v>0</v>
      </c>
      <c r="J85" s="39">
        <v>0</v>
      </c>
      <c r="K85" s="39">
        <v>0</v>
      </c>
      <c r="L85" s="39">
        <v>0</v>
      </c>
      <c r="M85" s="39">
        <v>0</v>
      </c>
      <c r="N85" s="39">
        <v>14</v>
      </c>
      <c r="O85" s="40" t="s">
        <v>0</v>
      </c>
      <c r="P85" s="39" t="s">
        <v>7</v>
      </c>
    </row>
    <row r="86" spans="1:16" x14ac:dyDescent="0.35">
      <c r="A86" s="166"/>
      <c r="B86" s="167" t="s">
        <v>8</v>
      </c>
      <c r="C86" s="39" t="s">
        <v>28</v>
      </c>
      <c r="D86" s="39">
        <v>532</v>
      </c>
      <c r="E86" s="39">
        <v>123</v>
      </c>
      <c r="F86" s="39">
        <v>64</v>
      </c>
      <c r="G86" s="39">
        <v>110</v>
      </c>
      <c r="H86" s="39">
        <v>59</v>
      </c>
      <c r="I86" s="39">
        <v>62</v>
      </c>
      <c r="J86" s="39">
        <v>51</v>
      </c>
      <c r="K86" s="39">
        <v>26</v>
      </c>
      <c r="L86" s="39">
        <v>143</v>
      </c>
      <c r="M86" s="39">
        <v>0</v>
      </c>
      <c r="N86" s="39">
        <v>1170</v>
      </c>
      <c r="O86" s="40" t="s">
        <v>0</v>
      </c>
      <c r="P86" s="39" t="s">
        <v>8</v>
      </c>
    </row>
    <row r="87" spans="1:16" x14ac:dyDescent="0.35">
      <c r="A87" s="166"/>
      <c r="B87" s="168"/>
      <c r="C87" s="39" t="s">
        <v>29</v>
      </c>
      <c r="D87" s="39">
        <v>202</v>
      </c>
      <c r="E87" s="39">
        <v>16</v>
      </c>
      <c r="F87" s="39">
        <v>32</v>
      </c>
      <c r="G87" s="39">
        <v>23</v>
      </c>
      <c r="H87" s="39">
        <v>19</v>
      </c>
      <c r="I87" s="39">
        <v>26</v>
      </c>
      <c r="J87" s="39">
        <v>20</v>
      </c>
      <c r="K87" s="39">
        <v>7</v>
      </c>
      <c r="L87" s="39">
        <v>35</v>
      </c>
      <c r="M87" s="39">
        <v>0</v>
      </c>
      <c r="N87" s="39">
        <v>380</v>
      </c>
      <c r="O87" s="40" t="s">
        <v>0</v>
      </c>
      <c r="P87" s="39" t="s">
        <v>8</v>
      </c>
    </row>
    <row r="88" spans="1:16" x14ac:dyDescent="0.35">
      <c r="A88" s="166"/>
      <c r="B88" s="168"/>
      <c r="C88" s="39" t="s">
        <v>30</v>
      </c>
      <c r="D88" s="39">
        <v>117</v>
      </c>
      <c r="E88" s="39">
        <v>13</v>
      </c>
      <c r="F88" s="39">
        <v>14</v>
      </c>
      <c r="G88" s="39">
        <v>14</v>
      </c>
      <c r="H88" s="39">
        <v>24</v>
      </c>
      <c r="I88" s="39">
        <v>20</v>
      </c>
      <c r="J88" s="39">
        <v>5</v>
      </c>
      <c r="K88" s="39">
        <v>97</v>
      </c>
      <c r="L88" s="39">
        <v>12</v>
      </c>
      <c r="M88" s="39">
        <v>0</v>
      </c>
      <c r="N88" s="39">
        <v>316</v>
      </c>
      <c r="O88" s="40" t="s">
        <v>0</v>
      </c>
      <c r="P88" s="39" t="s">
        <v>8</v>
      </c>
    </row>
    <row r="89" spans="1:16" x14ac:dyDescent="0.35">
      <c r="A89" s="166"/>
      <c r="B89" s="168"/>
      <c r="C89" s="39" t="s">
        <v>31</v>
      </c>
      <c r="D89" s="39">
        <v>49</v>
      </c>
      <c r="E89" s="39">
        <v>5</v>
      </c>
      <c r="F89" s="39">
        <v>8</v>
      </c>
      <c r="G89" s="39">
        <v>6</v>
      </c>
      <c r="H89" s="39">
        <v>5</v>
      </c>
      <c r="I89" s="39">
        <v>0</v>
      </c>
      <c r="J89" s="39">
        <v>1</v>
      </c>
      <c r="K89" s="39">
        <v>0</v>
      </c>
      <c r="L89" s="39">
        <v>6</v>
      </c>
      <c r="M89" s="39">
        <v>0</v>
      </c>
      <c r="N89" s="39">
        <v>80</v>
      </c>
      <c r="O89" s="40" t="s">
        <v>0</v>
      </c>
      <c r="P89" s="39" t="s">
        <v>8</v>
      </c>
    </row>
    <row r="90" spans="1:16" x14ac:dyDescent="0.35">
      <c r="A90" s="166"/>
      <c r="B90" s="168"/>
      <c r="C90" s="39" t="s">
        <v>32</v>
      </c>
      <c r="D90" s="39">
        <v>1626</v>
      </c>
      <c r="E90" s="39">
        <v>186</v>
      </c>
      <c r="F90" s="39">
        <v>167</v>
      </c>
      <c r="G90" s="39">
        <v>246</v>
      </c>
      <c r="H90" s="39">
        <v>266</v>
      </c>
      <c r="I90" s="39">
        <v>118</v>
      </c>
      <c r="J90" s="39">
        <v>89</v>
      </c>
      <c r="K90" s="39">
        <v>63</v>
      </c>
      <c r="L90" s="39">
        <v>243</v>
      </c>
      <c r="M90" s="39">
        <v>0</v>
      </c>
      <c r="N90" s="39">
        <v>3004</v>
      </c>
      <c r="O90" s="40" t="s">
        <v>0</v>
      </c>
      <c r="P90" s="39" t="s">
        <v>8</v>
      </c>
    </row>
    <row r="91" spans="1:16" x14ac:dyDescent="0.35">
      <c r="A91" s="166"/>
      <c r="B91" s="168"/>
      <c r="C91" s="39" t="s">
        <v>33</v>
      </c>
      <c r="D91" s="39">
        <v>955</v>
      </c>
      <c r="E91" s="39">
        <v>56</v>
      </c>
      <c r="F91" s="39">
        <v>109</v>
      </c>
      <c r="G91" s="39">
        <v>154</v>
      </c>
      <c r="H91" s="39">
        <v>45</v>
      </c>
      <c r="I91" s="39">
        <v>65</v>
      </c>
      <c r="J91" s="39">
        <v>129</v>
      </c>
      <c r="K91" s="39">
        <v>62</v>
      </c>
      <c r="L91" s="39">
        <v>309</v>
      </c>
      <c r="M91" s="39">
        <v>0</v>
      </c>
      <c r="N91" s="39">
        <v>1884</v>
      </c>
      <c r="O91" s="40" t="s">
        <v>0</v>
      </c>
      <c r="P91" s="39" t="s">
        <v>8</v>
      </c>
    </row>
    <row r="92" spans="1:16" x14ac:dyDescent="0.35">
      <c r="A92" s="166"/>
      <c r="B92" s="168"/>
      <c r="C92" s="39" t="s">
        <v>34</v>
      </c>
      <c r="D92" s="39">
        <v>255</v>
      </c>
      <c r="E92" s="39">
        <v>27</v>
      </c>
      <c r="F92" s="39">
        <v>143</v>
      </c>
      <c r="G92" s="39">
        <v>24</v>
      </c>
      <c r="H92" s="39">
        <v>16</v>
      </c>
      <c r="I92" s="39">
        <v>24</v>
      </c>
      <c r="J92" s="39">
        <v>11</v>
      </c>
      <c r="K92" s="39">
        <v>49</v>
      </c>
      <c r="L92" s="39">
        <v>42</v>
      </c>
      <c r="M92" s="39">
        <v>0</v>
      </c>
      <c r="N92" s="39">
        <v>591</v>
      </c>
      <c r="O92" s="40" t="s">
        <v>0</v>
      </c>
      <c r="P92" s="39" t="s">
        <v>8</v>
      </c>
    </row>
  </sheetData>
  <mergeCells count="21">
    <mergeCell ref="B41:B46"/>
    <mergeCell ref="B34:B40"/>
    <mergeCell ref="B28:B33"/>
    <mergeCell ref="A2:A14"/>
    <mergeCell ref="A15:A27"/>
    <mergeCell ref="B21:B27"/>
    <mergeCell ref="B15:B20"/>
    <mergeCell ref="B8:B14"/>
    <mergeCell ref="A80:A92"/>
    <mergeCell ref="B2:B7"/>
    <mergeCell ref="B86:B92"/>
    <mergeCell ref="B80:B85"/>
    <mergeCell ref="B73:B79"/>
    <mergeCell ref="B67:B72"/>
    <mergeCell ref="B60:B66"/>
    <mergeCell ref="B54:B59"/>
    <mergeCell ref="A54:A66"/>
    <mergeCell ref="A67:A79"/>
    <mergeCell ref="A28:A40"/>
    <mergeCell ref="A41:A53"/>
    <mergeCell ref="B47:B53"/>
  </mergeCells>
  <phoneticPr fontId="4"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59E1E-61E2-4AE0-9B2D-D3A9BF25983A}">
  <dimension ref="A1:AC71"/>
  <sheetViews>
    <sheetView workbookViewId="0">
      <selection activeCell="S49" sqref="S49"/>
    </sheetView>
  </sheetViews>
  <sheetFormatPr defaultRowHeight="14.5" x14ac:dyDescent="0.35"/>
  <cols>
    <col min="1" max="1" width="26.08984375" bestFit="1" customWidth="1"/>
    <col min="2" max="3" width="14" bestFit="1" customWidth="1"/>
    <col min="12" max="12" width="13.7265625" customWidth="1"/>
    <col min="13" max="13" width="26.08984375" bestFit="1" customWidth="1"/>
    <col min="14" max="14" width="14" bestFit="1" customWidth="1"/>
    <col min="19" max="19" width="44.90625" customWidth="1"/>
    <col min="20" max="20" width="53.90625" customWidth="1"/>
    <col min="23" max="23" width="26.6328125" customWidth="1"/>
    <col min="25" max="25" width="24.36328125" customWidth="1"/>
  </cols>
  <sheetData>
    <row r="1" spans="1:29" ht="15" thickBot="1" x14ac:dyDescent="0.4">
      <c r="A1" s="28"/>
      <c r="B1" s="28"/>
      <c r="C1" s="28"/>
      <c r="D1" s="28"/>
      <c r="E1" s="28"/>
      <c r="F1" s="28"/>
      <c r="G1" s="28"/>
      <c r="H1" s="28"/>
      <c r="I1" s="28"/>
      <c r="J1" s="28"/>
      <c r="K1" s="28"/>
      <c r="L1" s="28"/>
      <c r="M1" s="28"/>
      <c r="N1" s="28"/>
      <c r="O1" s="28"/>
      <c r="P1" s="28"/>
      <c r="Q1" s="28"/>
      <c r="R1" s="28"/>
      <c r="S1" s="28"/>
      <c r="T1" s="28"/>
      <c r="U1" s="28"/>
      <c r="V1" s="28"/>
      <c r="W1" s="28"/>
      <c r="X1" s="28"/>
      <c r="Y1" s="28"/>
      <c r="Z1" s="28"/>
      <c r="AA1" s="28"/>
      <c r="AB1" s="28"/>
      <c r="AC1" s="28"/>
    </row>
    <row r="2" spans="1:29" ht="15" thickBot="1" x14ac:dyDescent="0.4">
      <c r="A2" s="28"/>
      <c r="B2" s="28"/>
      <c r="C2" s="28"/>
      <c r="D2" s="28"/>
      <c r="E2" s="28"/>
      <c r="F2" s="28"/>
      <c r="G2" s="28"/>
      <c r="H2" s="28"/>
      <c r="I2" s="28"/>
      <c r="J2" s="28"/>
      <c r="K2" s="28"/>
      <c r="L2" s="28"/>
      <c r="M2" s="214" t="s">
        <v>46</v>
      </c>
      <c r="N2" s="214" t="s">
        <v>135</v>
      </c>
      <c r="O2" s="28"/>
      <c r="P2" s="28"/>
      <c r="Q2" s="28"/>
      <c r="R2" s="28"/>
      <c r="S2" s="28"/>
      <c r="T2" s="28"/>
      <c r="U2" s="28"/>
      <c r="V2" s="28"/>
      <c r="W2" s="28"/>
      <c r="X2" s="28"/>
      <c r="Y2" s="28"/>
      <c r="Z2" s="28"/>
      <c r="AA2" s="28"/>
      <c r="AB2" s="28"/>
      <c r="AC2" s="28"/>
    </row>
    <row r="3" spans="1:29" x14ac:dyDescent="0.35">
      <c r="A3" s="28"/>
      <c r="B3" s="28"/>
      <c r="C3" s="28"/>
      <c r="D3" s="28"/>
      <c r="E3" s="28"/>
      <c r="F3" s="28"/>
      <c r="G3" s="28"/>
      <c r="H3" s="28"/>
      <c r="I3" s="28"/>
      <c r="J3" s="28"/>
      <c r="K3" s="28"/>
      <c r="L3" s="28"/>
      <c r="M3" s="215" t="s">
        <v>23</v>
      </c>
      <c r="N3" s="211">
        <v>60</v>
      </c>
      <c r="O3" s="28"/>
      <c r="P3" s="28"/>
      <c r="Q3" s="28"/>
      <c r="R3" s="28"/>
      <c r="S3" s="28"/>
      <c r="T3" s="28"/>
      <c r="U3" s="28"/>
      <c r="V3" s="28"/>
      <c r="W3" s="28"/>
      <c r="X3" s="28"/>
      <c r="Y3" s="28"/>
      <c r="Z3" s="28"/>
      <c r="AA3" s="28"/>
      <c r="AB3" s="28"/>
      <c r="AC3" s="28"/>
    </row>
    <row r="4" spans="1:29" x14ac:dyDescent="0.35">
      <c r="A4" s="28"/>
      <c r="B4" s="28"/>
      <c r="C4" s="28"/>
      <c r="D4" s="28"/>
      <c r="E4" s="28"/>
      <c r="F4" s="28"/>
      <c r="G4" s="28"/>
      <c r="H4" s="28"/>
      <c r="I4" s="28"/>
      <c r="J4" s="28"/>
      <c r="K4" s="28"/>
      <c r="L4" s="28"/>
      <c r="M4" s="216" t="s">
        <v>25</v>
      </c>
      <c r="N4" s="212">
        <v>29</v>
      </c>
      <c r="O4" s="28"/>
      <c r="P4" s="28"/>
      <c r="Q4" s="28" t="str">
        <f>_xlfn.XLOOKUP(B71,$B$59:$B$65,$A$59:$A$65,0,0,1)</f>
        <v>Murder</v>
      </c>
      <c r="R4" s="28"/>
      <c r="S4" s="28"/>
      <c r="T4" s="28"/>
      <c r="U4" s="28"/>
      <c r="V4" s="28"/>
      <c r="W4" s="28"/>
      <c r="X4" s="28"/>
      <c r="Y4" s="28"/>
      <c r="Z4" s="28"/>
      <c r="AA4" s="28"/>
      <c r="AB4" s="28"/>
      <c r="AC4" s="28"/>
    </row>
    <row r="5" spans="1:29" x14ac:dyDescent="0.35">
      <c r="A5" s="28"/>
      <c r="B5" s="28"/>
      <c r="C5" s="28"/>
      <c r="D5" s="28"/>
      <c r="E5" s="28"/>
      <c r="F5" s="28"/>
      <c r="G5" s="28"/>
      <c r="H5" s="28"/>
      <c r="I5" s="28"/>
      <c r="J5" s="28"/>
      <c r="K5" s="28"/>
      <c r="L5" s="28"/>
      <c r="M5" s="216" t="s">
        <v>24</v>
      </c>
      <c r="N5" s="212">
        <v>25</v>
      </c>
      <c r="O5" s="28"/>
      <c r="P5" s="28"/>
      <c r="Q5" s="28"/>
      <c r="R5" s="28"/>
      <c r="S5" s="28"/>
      <c r="T5" s="28"/>
      <c r="U5" s="28"/>
      <c r="V5" s="28"/>
      <c r="W5" s="28"/>
      <c r="X5" s="28"/>
      <c r="Y5" s="28"/>
      <c r="Z5" s="28"/>
      <c r="AA5" s="28"/>
      <c r="AB5" s="28"/>
      <c r="AC5" s="28"/>
    </row>
    <row r="6" spans="1:29" x14ac:dyDescent="0.35">
      <c r="A6" s="28"/>
      <c r="B6" s="28"/>
      <c r="C6" s="28"/>
      <c r="D6" s="28"/>
      <c r="E6" s="28"/>
      <c r="F6" s="28"/>
      <c r="G6" s="28"/>
      <c r="H6" s="28"/>
      <c r="I6" s="28"/>
      <c r="J6" s="28"/>
      <c r="K6" s="28"/>
      <c r="L6" s="28"/>
      <c r="M6" s="216" t="s">
        <v>22</v>
      </c>
      <c r="N6" s="212">
        <v>103</v>
      </c>
      <c r="O6" s="28"/>
      <c r="P6" s="28"/>
      <c r="Q6" s="28"/>
      <c r="R6" s="28"/>
      <c r="S6" s="28"/>
      <c r="T6" s="28"/>
      <c r="U6" s="28"/>
      <c r="V6" s="28"/>
      <c r="W6" s="28"/>
      <c r="X6" s="28"/>
      <c r="Y6" s="28"/>
      <c r="Z6" s="28"/>
      <c r="AA6" s="28"/>
      <c r="AB6" s="28"/>
      <c r="AC6" s="28"/>
    </row>
    <row r="7" spans="1:29" x14ac:dyDescent="0.35">
      <c r="A7" s="28"/>
      <c r="B7" s="28"/>
      <c r="C7" s="28"/>
      <c r="D7" s="28"/>
      <c r="E7" s="28"/>
      <c r="F7" s="28"/>
      <c r="G7" s="28"/>
      <c r="H7" s="28"/>
      <c r="I7" s="28"/>
      <c r="J7" s="28"/>
      <c r="K7" s="28"/>
      <c r="L7" s="28"/>
      <c r="M7" s="216" t="s">
        <v>27</v>
      </c>
      <c r="N7" s="212">
        <v>20</v>
      </c>
      <c r="O7" s="28"/>
      <c r="P7" s="28"/>
      <c r="Q7" s="28"/>
      <c r="R7" s="28"/>
      <c r="S7" s="28"/>
      <c r="T7" s="28"/>
      <c r="U7" s="28"/>
      <c r="V7" s="28"/>
      <c r="W7" s="28"/>
      <c r="X7" s="28"/>
      <c r="Y7" s="28"/>
      <c r="Z7" s="28"/>
      <c r="AA7" s="28"/>
      <c r="AB7" s="28"/>
      <c r="AC7" s="28"/>
    </row>
    <row r="8" spans="1:29" ht="15" thickBot="1" x14ac:dyDescent="0.4">
      <c r="A8" s="28"/>
      <c r="B8" s="28"/>
      <c r="C8" s="28"/>
      <c r="D8" s="28"/>
      <c r="E8" s="28"/>
      <c r="F8" s="28"/>
      <c r="G8" s="28"/>
      <c r="H8" s="28"/>
      <c r="I8" s="28"/>
      <c r="J8" s="28"/>
      <c r="K8" s="28"/>
      <c r="L8" s="28"/>
      <c r="M8" s="217" t="s">
        <v>26</v>
      </c>
      <c r="N8" s="212">
        <v>4</v>
      </c>
      <c r="O8" s="28"/>
      <c r="P8" s="28"/>
      <c r="Q8" s="28"/>
      <c r="R8" s="28"/>
      <c r="S8" s="28"/>
      <c r="T8" s="28"/>
      <c r="U8" s="28"/>
      <c r="V8" s="28"/>
      <c r="W8" s="28"/>
      <c r="X8" s="28"/>
      <c r="Y8" s="28"/>
      <c r="Z8" s="28"/>
      <c r="AA8" s="28"/>
      <c r="AB8" s="28"/>
      <c r="AC8" s="28"/>
    </row>
    <row r="9" spans="1:29" ht="15" thickBot="1" x14ac:dyDescent="0.4">
      <c r="A9" s="28"/>
      <c r="B9" s="28"/>
      <c r="C9" s="28"/>
      <c r="D9" s="28"/>
      <c r="E9" s="28"/>
      <c r="F9" s="28"/>
      <c r="G9" s="28"/>
      <c r="H9" s="28"/>
      <c r="I9" s="28"/>
      <c r="J9" s="28"/>
      <c r="K9" s="28"/>
      <c r="L9" s="28"/>
      <c r="M9" s="218" t="s">
        <v>21</v>
      </c>
      <c r="N9" s="213">
        <v>241</v>
      </c>
      <c r="O9" s="28"/>
      <c r="P9" s="28"/>
      <c r="Q9" s="28"/>
      <c r="R9" s="28"/>
      <c r="S9" s="28"/>
      <c r="T9" s="28"/>
      <c r="U9" s="28"/>
      <c r="V9" s="28"/>
      <c r="W9" s="28"/>
      <c r="X9" s="28"/>
      <c r="Y9" s="28"/>
      <c r="Z9" s="28"/>
      <c r="AA9" s="28"/>
      <c r="AB9" s="28"/>
      <c r="AC9" s="28"/>
    </row>
    <row r="10" spans="1:29" x14ac:dyDescent="0.35">
      <c r="A10" s="28"/>
      <c r="B10" s="28"/>
      <c r="C10" s="28"/>
      <c r="D10" s="28"/>
      <c r="E10" s="28"/>
      <c r="F10" s="28"/>
      <c r="G10" s="28"/>
      <c r="H10" s="28"/>
      <c r="I10" s="28"/>
      <c r="J10" s="28"/>
      <c r="K10" s="28"/>
      <c r="L10" s="28"/>
      <c r="M10" s="28"/>
      <c r="N10" s="28"/>
      <c r="O10" s="28"/>
      <c r="P10" s="28"/>
      <c r="Q10" s="28"/>
      <c r="R10" s="28"/>
      <c r="S10" s="28"/>
      <c r="T10" s="28"/>
      <c r="U10" s="28"/>
      <c r="V10" s="28"/>
      <c r="W10" s="28"/>
      <c r="X10" s="28"/>
      <c r="Y10" s="28"/>
      <c r="Z10" s="28"/>
      <c r="AA10" s="28"/>
      <c r="AB10" s="28"/>
      <c r="AC10" s="28"/>
    </row>
    <row r="11" spans="1:29" ht="18.5" x14ac:dyDescent="0.45">
      <c r="A11" s="28"/>
      <c r="B11" s="28"/>
      <c r="C11" s="28"/>
      <c r="D11" s="28"/>
      <c r="E11" s="28"/>
      <c r="F11" s="28"/>
      <c r="G11" s="28"/>
      <c r="H11" s="28"/>
      <c r="I11" s="28"/>
      <c r="J11" s="28"/>
      <c r="K11" s="28"/>
      <c r="L11" s="28"/>
      <c r="M11" s="28"/>
      <c r="N11" s="28"/>
      <c r="O11" s="28"/>
      <c r="P11" s="28"/>
      <c r="Q11" s="28"/>
      <c r="R11" s="28"/>
      <c r="S11" s="28"/>
      <c r="T11" s="28"/>
      <c r="U11" s="28"/>
      <c r="V11" s="28"/>
      <c r="W11" s="28"/>
      <c r="X11" s="28"/>
      <c r="Y11" s="28"/>
      <c r="Z11" s="28"/>
      <c r="AA11" s="28"/>
      <c r="AB11" s="28"/>
      <c r="AC11" s="28"/>
    </row>
    <row r="12" spans="1:29" ht="18.5" x14ac:dyDescent="0.45">
      <c r="A12" s="28"/>
      <c r="B12" s="28"/>
      <c r="C12" s="28"/>
      <c r="D12" s="28"/>
      <c r="E12" s="28"/>
      <c r="F12" s="28"/>
      <c r="G12" s="28"/>
      <c r="H12" s="28"/>
      <c r="I12" s="28"/>
      <c r="J12" s="28"/>
      <c r="K12" s="28"/>
      <c r="L12" s="28"/>
      <c r="M12" s="28"/>
      <c r="N12" s="28"/>
      <c r="O12" s="28"/>
      <c r="P12" s="28"/>
      <c r="Q12" s="28"/>
      <c r="R12" s="28"/>
      <c r="S12" s="28"/>
      <c r="T12" s="28"/>
      <c r="U12" s="28"/>
      <c r="V12" s="28"/>
      <c r="W12" s="28"/>
      <c r="X12" s="28"/>
      <c r="Y12" s="28"/>
      <c r="Z12" s="28"/>
      <c r="AA12" s="28"/>
      <c r="AB12" s="28"/>
      <c r="AC12" s="28"/>
    </row>
    <row r="13" spans="1:29" ht="18.5" x14ac:dyDescent="0.45">
      <c r="A13" s="28"/>
      <c r="B13" s="28"/>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row>
    <row r="14" spans="1:29" ht="18.5" x14ac:dyDescent="0.45">
      <c r="A14" s="28"/>
      <c r="B14" s="28"/>
      <c r="C14" s="28"/>
      <c r="D14" s="28"/>
      <c r="E14" s="28"/>
      <c r="F14" s="28"/>
      <c r="G14" s="28"/>
      <c r="H14" s="28"/>
      <c r="I14" s="28"/>
      <c r="J14" s="28"/>
      <c r="K14" s="28"/>
      <c r="L14" s="28"/>
      <c r="M14" s="28"/>
      <c r="N14" s="28"/>
      <c r="O14" s="28"/>
      <c r="P14" s="28"/>
      <c r="Q14" s="28"/>
      <c r="R14" s="28"/>
      <c r="S14" s="28"/>
      <c r="T14" s="28"/>
      <c r="U14" s="28"/>
      <c r="V14" s="28"/>
      <c r="W14" s="28"/>
      <c r="X14" s="28"/>
      <c r="Y14" s="28"/>
      <c r="Z14" s="28"/>
      <c r="AA14" s="28"/>
      <c r="AB14" s="28"/>
      <c r="AC14" s="28"/>
    </row>
    <row r="15" spans="1:29" ht="18.5" x14ac:dyDescent="0.45">
      <c r="A15" s="28"/>
      <c r="B15" s="28"/>
      <c r="C15" s="28"/>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row>
    <row r="16" spans="1:29" x14ac:dyDescent="0.35">
      <c r="A16" s="28"/>
      <c r="B16" s="28"/>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row>
    <row r="17" spans="1:29" x14ac:dyDescent="0.35">
      <c r="A17" s="28"/>
      <c r="B17" s="28"/>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row>
    <row r="18" spans="1:29" x14ac:dyDescent="0.35">
      <c r="A18" s="28"/>
      <c r="B18" s="28"/>
      <c r="C18" s="28"/>
      <c r="D18" s="28"/>
      <c r="E18" s="28"/>
      <c r="F18" s="28"/>
      <c r="G18" s="28"/>
      <c r="H18" s="28"/>
      <c r="I18" s="28"/>
      <c r="J18" s="28"/>
      <c r="K18" s="28"/>
      <c r="L18" s="28"/>
      <c r="M18" s="28"/>
      <c r="N18" s="28"/>
      <c r="O18" s="28"/>
      <c r="P18" s="28"/>
      <c r="Q18" s="28"/>
      <c r="R18" s="28"/>
      <c r="S18" s="28"/>
      <c r="T18" s="28"/>
      <c r="U18" s="28"/>
      <c r="V18" s="28"/>
      <c r="W18" s="28"/>
      <c r="X18" s="28"/>
      <c r="Y18" s="28"/>
      <c r="Z18" s="28"/>
      <c r="AA18" s="28"/>
      <c r="AB18" s="28"/>
      <c r="AC18" s="28"/>
    </row>
    <row r="19" spans="1:29" x14ac:dyDescent="0.35">
      <c r="A19" s="28"/>
      <c r="B19" s="28"/>
      <c r="C19" s="28"/>
      <c r="D19" s="28"/>
      <c r="E19" s="28"/>
      <c r="F19" s="28"/>
      <c r="G19" s="28"/>
      <c r="H19" s="28"/>
      <c r="I19" s="28"/>
      <c r="J19" s="28"/>
      <c r="K19" s="28"/>
      <c r="L19" s="28"/>
      <c r="M19" s="28"/>
      <c r="N19" s="28"/>
      <c r="O19" s="28"/>
      <c r="P19" s="28"/>
      <c r="Q19" s="28"/>
      <c r="R19" s="28"/>
      <c r="S19" s="28"/>
      <c r="T19" s="28"/>
      <c r="U19" s="28"/>
      <c r="V19" s="28"/>
      <c r="W19" s="28"/>
      <c r="X19" s="28"/>
      <c r="Y19" s="28"/>
      <c r="Z19" s="28"/>
      <c r="AA19" s="28"/>
      <c r="AB19" s="28"/>
      <c r="AC19" s="28"/>
    </row>
    <row r="20" spans="1:29" x14ac:dyDescent="0.35">
      <c r="A20" s="28"/>
      <c r="B20" s="28"/>
      <c r="C20" s="28"/>
      <c r="D20" s="28"/>
      <c r="E20" s="28"/>
      <c r="F20" s="28"/>
      <c r="G20" s="28"/>
      <c r="H20" s="28"/>
      <c r="I20" s="28"/>
      <c r="J20" s="28"/>
      <c r="K20" s="28"/>
      <c r="L20" s="28"/>
      <c r="M20" s="28"/>
      <c r="N20" s="28"/>
      <c r="O20" s="28"/>
      <c r="P20" s="28"/>
      <c r="Q20" s="28"/>
      <c r="R20" s="28"/>
      <c r="S20" s="28"/>
      <c r="T20" s="28"/>
      <c r="U20" s="28"/>
      <c r="V20" s="28"/>
      <c r="W20" s="28"/>
      <c r="X20" s="28"/>
      <c r="Y20" s="28"/>
      <c r="Z20" s="28"/>
      <c r="AA20" s="28"/>
      <c r="AB20" s="28"/>
      <c r="AC20" s="28"/>
    </row>
    <row r="21" spans="1:29" x14ac:dyDescent="0.35">
      <c r="A21" s="28"/>
      <c r="B21" s="28"/>
      <c r="C21" s="28"/>
      <c r="D21" s="28"/>
      <c r="E21" s="28"/>
      <c r="F21" s="28"/>
      <c r="G21" s="28"/>
      <c r="H21" s="28"/>
      <c r="I21" s="28"/>
      <c r="J21" s="28"/>
      <c r="K21" s="28"/>
      <c r="L21" s="28"/>
      <c r="M21" s="28"/>
      <c r="N21" s="28"/>
      <c r="O21" s="28"/>
      <c r="P21" s="28"/>
      <c r="Q21" s="28"/>
      <c r="R21" s="28"/>
      <c r="S21" s="28"/>
      <c r="T21" s="28"/>
      <c r="U21" s="28"/>
      <c r="V21" s="28"/>
      <c r="W21" s="28"/>
      <c r="X21" s="28"/>
      <c r="Y21" s="28"/>
      <c r="Z21" s="28"/>
      <c r="AA21" s="28"/>
      <c r="AB21" s="28"/>
      <c r="AC21" s="28"/>
    </row>
    <row r="22" spans="1:29" x14ac:dyDescent="0.35">
      <c r="A22" s="28"/>
      <c r="B22" s="28"/>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row>
    <row r="23" spans="1:29" x14ac:dyDescent="0.35">
      <c r="A23" s="28"/>
      <c r="B23" s="28"/>
      <c r="C23" s="28"/>
      <c r="D23" s="28"/>
      <c r="E23" s="28"/>
      <c r="F23" s="28"/>
      <c r="G23" s="28"/>
      <c r="H23" s="28"/>
      <c r="I23" s="28"/>
      <c r="J23" s="28"/>
      <c r="K23" s="28"/>
      <c r="L23" s="28"/>
      <c r="M23" s="28"/>
      <c r="N23" s="28"/>
      <c r="O23" s="28"/>
      <c r="P23" s="28"/>
      <c r="Q23" s="28"/>
      <c r="R23" s="28"/>
      <c r="S23" s="28"/>
      <c r="T23" s="28"/>
      <c r="U23" s="28"/>
      <c r="V23" s="28"/>
      <c r="W23" s="28"/>
      <c r="X23" s="28"/>
      <c r="Y23" s="28"/>
      <c r="Z23" s="28"/>
      <c r="AA23" s="28"/>
      <c r="AB23" s="28"/>
      <c r="AC23" s="28"/>
    </row>
    <row r="24" spans="1:29" x14ac:dyDescent="0.35">
      <c r="A24" s="28"/>
      <c r="B24" s="28"/>
      <c r="C24" s="28"/>
      <c r="D24" s="28"/>
      <c r="E24" s="28"/>
      <c r="F24" s="28"/>
      <c r="G24" s="28"/>
      <c r="H24" s="28"/>
      <c r="I24" s="28"/>
      <c r="J24" s="28"/>
      <c r="K24" s="28"/>
      <c r="L24" s="28"/>
      <c r="M24" s="28"/>
      <c r="N24" s="28"/>
      <c r="O24" s="28"/>
      <c r="P24" s="28"/>
      <c r="Q24" s="28"/>
      <c r="R24" s="28"/>
      <c r="S24" s="28"/>
      <c r="T24" s="28"/>
      <c r="U24" s="28"/>
      <c r="V24" s="28"/>
      <c r="W24" s="28"/>
      <c r="X24" s="28"/>
      <c r="Y24" s="28"/>
      <c r="Z24" s="28"/>
      <c r="AA24" s="28"/>
      <c r="AB24" s="28"/>
      <c r="AC24" s="28"/>
    </row>
    <row r="25" spans="1:29" x14ac:dyDescent="0.35">
      <c r="A25" s="28"/>
      <c r="B25" s="28"/>
      <c r="C25" s="28"/>
      <c r="D25" s="28"/>
      <c r="E25" s="28"/>
      <c r="F25" s="28"/>
      <c r="G25" s="28"/>
      <c r="H25" s="28"/>
      <c r="I25" s="28"/>
      <c r="J25" s="28"/>
      <c r="K25" s="28"/>
      <c r="L25" s="28"/>
      <c r="M25" s="28"/>
      <c r="N25" s="28"/>
      <c r="O25" s="28"/>
      <c r="P25" s="28"/>
      <c r="Q25" s="28"/>
      <c r="R25" s="28"/>
      <c r="S25" s="28"/>
      <c r="T25" s="28"/>
      <c r="U25" s="28"/>
      <c r="V25" s="28"/>
      <c r="W25" s="28"/>
      <c r="X25" s="28"/>
      <c r="Y25" s="28"/>
      <c r="Z25" s="28"/>
      <c r="AA25" s="28"/>
      <c r="AB25" s="28"/>
      <c r="AC25" s="28"/>
    </row>
    <row r="26" spans="1:29" x14ac:dyDescent="0.35">
      <c r="A26" s="28"/>
      <c r="B26" s="28"/>
      <c r="C26" s="28"/>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row>
    <row r="27" spans="1:29" x14ac:dyDescent="0.35">
      <c r="A27" s="28"/>
      <c r="B27" s="28"/>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row>
    <row r="28" spans="1:29" x14ac:dyDescent="0.35">
      <c r="A28" s="28"/>
      <c r="B28" s="28"/>
      <c r="C28" s="28"/>
      <c r="D28" s="28"/>
      <c r="E28" s="28"/>
      <c r="F28" s="28"/>
      <c r="G28" s="28"/>
      <c r="H28" s="28"/>
      <c r="I28" s="28"/>
      <c r="J28" s="28"/>
      <c r="K28" s="28"/>
      <c r="L28" s="28"/>
      <c r="M28" s="28"/>
      <c r="N28" s="28"/>
      <c r="O28" s="28"/>
      <c r="P28" s="28"/>
      <c r="Q28" s="28"/>
      <c r="R28" s="28"/>
      <c r="S28" s="28"/>
      <c r="T28" s="28"/>
      <c r="U28" s="28"/>
      <c r="V28" s="28"/>
      <c r="W28" s="28"/>
      <c r="X28" s="28"/>
      <c r="Y28" s="28"/>
      <c r="Z28" s="28"/>
      <c r="AA28" s="28"/>
      <c r="AB28" s="28"/>
      <c r="AC28" s="28"/>
    </row>
    <row r="29" spans="1:29" x14ac:dyDescent="0.35">
      <c r="A29" s="28"/>
      <c r="B29" s="28"/>
      <c r="C29" s="28"/>
      <c r="D29" s="28"/>
      <c r="E29" s="28"/>
      <c r="F29" s="28"/>
      <c r="G29" s="28"/>
      <c r="H29" s="28"/>
      <c r="I29" s="28"/>
      <c r="J29" s="28"/>
      <c r="K29" s="28"/>
      <c r="L29" s="28"/>
      <c r="M29" s="28"/>
      <c r="N29" s="28"/>
      <c r="O29" s="28"/>
      <c r="P29" s="28"/>
      <c r="Q29" s="28"/>
      <c r="R29" s="28"/>
      <c r="S29" s="28"/>
      <c r="T29" s="28"/>
      <c r="U29" s="28"/>
      <c r="V29" s="28"/>
      <c r="W29" s="28"/>
      <c r="X29" s="28"/>
      <c r="Y29" s="28"/>
      <c r="Z29" s="28"/>
      <c r="AA29" s="28"/>
      <c r="AB29" s="28"/>
      <c r="AC29" s="28"/>
    </row>
    <row r="30" spans="1:29" x14ac:dyDescent="0.35">
      <c r="A30" s="28"/>
      <c r="B30" s="28"/>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row>
    <row r="31" spans="1:29" x14ac:dyDescent="0.35">
      <c r="A31" s="28"/>
      <c r="B31" s="28"/>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row>
    <row r="32" spans="1:29" x14ac:dyDescent="0.35">
      <c r="A32" s="28"/>
      <c r="B32" s="28"/>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row>
    <row r="33" spans="1:29" x14ac:dyDescent="0.35">
      <c r="A33" s="28"/>
      <c r="B33" s="28"/>
      <c r="C33" s="28"/>
      <c r="D33" s="28"/>
      <c r="E33" s="28"/>
      <c r="F33" s="28"/>
      <c r="G33" s="28"/>
      <c r="H33" s="28"/>
      <c r="I33" s="28"/>
      <c r="J33" s="28"/>
      <c r="K33" s="28"/>
      <c r="L33" s="28"/>
      <c r="M33" s="28"/>
      <c r="N33" s="28"/>
      <c r="O33" s="28"/>
      <c r="P33" s="28"/>
      <c r="Q33" s="28"/>
      <c r="R33" s="28"/>
      <c r="S33" s="28"/>
      <c r="T33" s="28"/>
      <c r="U33" s="28"/>
      <c r="V33" s="28"/>
      <c r="W33" s="28"/>
      <c r="X33" s="28"/>
      <c r="Y33" s="28"/>
      <c r="Z33" s="28"/>
      <c r="AA33" s="28"/>
      <c r="AB33" s="28"/>
      <c r="AC33" s="28"/>
    </row>
    <row r="34" spans="1:29" x14ac:dyDescent="0.35">
      <c r="A34" s="28"/>
      <c r="B34" s="28"/>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row>
    <row r="35" spans="1:29" x14ac:dyDescent="0.35">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row>
    <row r="36" spans="1:29" x14ac:dyDescent="0.35">
      <c r="A36" s="28"/>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8"/>
      <c r="AC36" s="28"/>
    </row>
    <row r="37" spans="1:29" x14ac:dyDescent="0.35">
      <c r="A37" s="28"/>
      <c r="B37" s="28"/>
      <c r="C37" s="28"/>
      <c r="D37" s="28"/>
      <c r="E37" s="28"/>
      <c r="F37" s="28"/>
      <c r="G37" s="28"/>
      <c r="H37" s="28"/>
      <c r="I37" s="28"/>
      <c r="J37" s="28"/>
      <c r="K37" s="28"/>
      <c r="L37" s="28"/>
      <c r="M37" s="28"/>
      <c r="N37" s="28"/>
      <c r="O37" s="28"/>
      <c r="P37" s="28"/>
      <c r="Q37" s="28"/>
      <c r="R37" s="28"/>
      <c r="S37" s="28"/>
      <c r="T37" s="28"/>
      <c r="U37" s="28"/>
      <c r="V37" s="28"/>
      <c r="W37" s="28"/>
      <c r="X37" s="28"/>
      <c r="Y37" s="28"/>
      <c r="Z37" s="28"/>
      <c r="AA37" s="28"/>
      <c r="AB37" s="28"/>
      <c r="AC37" s="28"/>
    </row>
    <row r="38" spans="1:29" x14ac:dyDescent="0.35">
      <c r="A38" s="28"/>
      <c r="B38" s="28"/>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row>
    <row r="39" spans="1:29" x14ac:dyDescent="0.35">
      <c r="A39" s="28"/>
      <c r="B39" s="28"/>
      <c r="C39" s="28"/>
      <c r="D39" s="28"/>
      <c r="E39" s="28"/>
      <c r="F39" s="28"/>
      <c r="G39" s="28"/>
      <c r="H39" s="28"/>
      <c r="I39" s="28"/>
      <c r="J39" s="28"/>
      <c r="K39" s="28"/>
      <c r="L39" s="28"/>
      <c r="M39" s="28"/>
      <c r="N39" s="28"/>
      <c r="O39" s="28"/>
      <c r="P39" s="28"/>
      <c r="Q39" s="28"/>
      <c r="R39" s="28"/>
      <c r="S39" s="28"/>
      <c r="T39" s="28"/>
      <c r="U39" s="28"/>
      <c r="V39" s="28"/>
      <c r="W39" s="28"/>
      <c r="X39" s="28"/>
      <c r="Y39" s="28"/>
      <c r="Z39" s="28"/>
      <c r="AA39" s="28"/>
      <c r="AB39" s="28"/>
      <c r="AC39" s="28"/>
    </row>
    <row r="40" spans="1:29" x14ac:dyDescent="0.35">
      <c r="A40" s="28"/>
      <c r="B40" s="28"/>
      <c r="C40" s="28"/>
      <c r="D40" s="28"/>
      <c r="E40" s="28"/>
      <c r="F40" s="28"/>
      <c r="G40" s="28"/>
      <c r="H40" s="28"/>
      <c r="I40" s="28"/>
      <c r="J40" s="28"/>
      <c r="K40" s="28"/>
      <c r="L40" s="28"/>
      <c r="M40" s="28"/>
      <c r="N40" s="28"/>
      <c r="O40" s="28"/>
      <c r="P40" s="28"/>
      <c r="Q40" s="28"/>
      <c r="R40" s="28"/>
      <c r="S40" s="28"/>
      <c r="T40" s="28"/>
      <c r="U40" s="28"/>
      <c r="V40" s="28"/>
      <c r="W40" s="28"/>
      <c r="X40" s="28"/>
      <c r="Y40" s="28"/>
      <c r="Z40" s="28"/>
      <c r="AA40" s="28"/>
      <c r="AB40" s="28"/>
      <c r="AC40" s="28"/>
    </row>
    <row r="41" spans="1:29" x14ac:dyDescent="0.35">
      <c r="A41" s="28"/>
      <c r="B41" s="28"/>
      <c r="C41" s="28"/>
      <c r="D41" s="28"/>
      <c r="E41" s="28"/>
      <c r="F41" s="28"/>
      <c r="G41" s="28"/>
      <c r="H41" s="28"/>
      <c r="I41" s="28"/>
      <c r="J41" s="28"/>
      <c r="K41" s="28"/>
      <c r="L41" s="28"/>
      <c r="M41" s="28"/>
      <c r="N41" s="28"/>
      <c r="O41" s="28"/>
      <c r="P41" s="28"/>
      <c r="Q41" s="28"/>
      <c r="R41" s="28"/>
      <c r="S41" s="28"/>
      <c r="T41" s="28"/>
      <c r="U41" s="28"/>
      <c r="V41" s="28"/>
      <c r="W41" s="28"/>
      <c r="X41" s="28"/>
      <c r="Y41" s="28"/>
      <c r="Z41" s="28"/>
      <c r="AA41" s="28"/>
      <c r="AB41" s="28"/>
      <c r="AC41" s="28"/>
    </row>
    <row r="42" spans="1:29" x14ac:dyDescent="0.35">
      <c r="A42" s="28"/>
      <c r="B42" s="28"/>
      <c r="C42" s="28"/>
      <c r="D42" s="28"/>
      <c r="E42" s="28"/>
      <c r="F42" s="28"/>
      <c r="G42" s="28"/>
      <c r="H42" s="28"/>
      <c r="I42" s="28"/>
      <c r="J42" s="28"/>
      <c r="K42" s="28"/>
      <c r="L42" s="28"/>
      <c r="M42" s="28"/>
      <c r="N42" s="28"/>
      <c r="O42" s="28"/>
      <c r="P42" s="28"/>
      <c r="Q42" s="28"/>
      <c r="R42" s="28"/>
      <c r="S42" s="28"/>
      <c r="T42" s="28"/>
      <c r="U42" s="28"/>
      <c r="V42" s="28"/>
      <c r="W42" s="28"/>
      <c r="X42" s="28"/>
      <c r="Y42" s="28"/>
      <c r="Z42" s="28"/>
      <c r="AA42" s="28"/>
      <c r="AB42" s="28"/>
      <c r="AC42" s="28"/>
    </row>
    <row r="43" spans="1:29" x14ac:dyDescent="0.35">
      <c r="A43" s="28"/>
      <c r="B43" s="28"/>
      <c r="C43" s="28"/>
      <c r="D43" s="28"/>
      <c r="E43" s="28"/>
      <c r="F43" s="28"/>
      <c r="G43" s="28"/>
      <c r="H43" s="28"/>
      <c r="I43" s="28"/>
      <c r="J43" s="28"/>
      <c r="K43" s="28"/>
      <c r="L43" s="28"/>
      <c r="M43" s="28"/>
      <c r="N43" s="28"/>
      <c r="O43" s="28"/>
      <c r="P43" s="28"/>
      <c r="Q43" s="28"/>
      <c r="R43" s="28"/>
      <c r="S43" s="28"/>
      <c r="T43" s="28"/>
      <c r="U43" s="28"/>
      <c r="V43" s="28"/>
      <c r="W43" s="28"/>
      <c r="X43" s="28"/>
      <c r="Y43" s="28"/>
      <c r="Z43" s="28"/>
      <c r="AA43" s="28"/>
      <c r="AB43" s="28"/>
      <c r="AC43" s="28"/>
    </row>
    <row r="44" spans="1:29" x14ac:dyDescent="0.35">
      <c r="A44" s="28"/>
      <c r="B44" s="28"/>
      <c r="C44" s="28"/>
      <c r="D44" s="28"/>
      <c r="E44" s="28"/>
      <c r="F44" s="28"/>
      <c r="G44" s="28"/>
      <c r="H44" s="28"/>
      <c r="I44" s="28"/>
      <c r="J44" s="28"/>
      <c r="K44" s="28"/>
      <c r="L44" s="28"/>
      <c r="M44" s="28"/>
      <c r="N44" s="28"/>
      <c r="O44" s="28"/>
      <c r="P44" s="28"/>
      <c r="Q44" s="28"/>
      <c r="R44" s="28"/>
      <c r="S44" s="28"/>
      <c r="T44" s="28"/>
      <c r="U44" s="28"/>
      <c r="V44" s="28"/>
      <c r="W44" s="28"/>
      <c r="X44" s="28"/>
      <c r="Y44" s="28"/>
      <c r="Z44" s="28"/>
      <c r="AA44" s="28"/>
      <c r="AB44" s="28"/>
      <c r="AC44" s="28"/>
    </row>
    <row r="45" spans="1:29" x14ac:dyDescent="0.35">
      <c r="A45" s="28"/>
      <c r="B45" s="28"/>
      <c r="C45" s="28"/>
      <c r="D45" s="28"/>
      <c r="E45" s="28"/>
      <c r="F45" s="28"/>
      <c r="G45" s="28"/>
      <c r="H45" s="28"/>
      <c r="I45" s="28"/>
      <c r="J45" s="28"/>
      <c r="K45" s="28"/>
      <c r="L45" s="28"/>
      <c r="M45" s="28"/>
      <c r="N45" s="28"/>
      <c r="O45" s="28"/>
      <c r="P45" s="28"/>
      <c r="Q45" s="28"/>
      <c r="R45" s="28"/>
      <c r="S45" s="28"/>
      <c r="T45" s="28"/>
      <c r="U45" s="28"/>
      <c r="V45" s="28"/>
      <c r="W45" s="28"/>
      <c r="X45" s="28"/>
      <c r="Y45" s="28"/>
      <c r="Z45" s="28"/>
      <c r="AA45" s="28"/>
      <c r="AB45" s="28"/>
      <c r="AC45" s="28"/>
    </row>
    <row r="46" spans="1:29" x14ac:dyDescent="0.35">
      <c r="A46" s="28"/>
      <c r="B46" s="28"/>
      <c r="C46" s="28"/>
      <c r="D46" s="28"/>
      <c r="E46" s="28"/>
      <c r="F46" s="28"/>
      <c r="G46" s="28"/>
      <c r="H46" s="28"/>
      <c r="I46" s="28"/>
      <c r="J46" s="28"/>
      <c r="K46" s="28"/>
      <c r="L46" s="28"/>
      <c r="M46" s="28"/>
      <c r="N46" s="28"/>
      <c r="O46" s="28"/>
      <c r="P46" s="28"/>
      <c r="Q46" s="28"/>
      <c r="R46" s="28"/>
      <c r="S46" s="28"/>
      <c r="T46" s="28"/>
      <c r="U46" s="28"/>
      <c r="V46" s="28"/>
      <c r="W46" s="28"/>
      <c r="X46" s="28"/>
      <c r="Y46" s="28"/>
      <c r="Z46" s="28"/>
      <c r="AA46" s="28"/>
      <c r="AB46" s="28"/>
      <c r="AC46" s="28"/>
    </row>
    <row r="47" spans="1:29" x14ac:dyDescent="0.35">
      <c r="A47" s="28"/>
      <c r="B47" s="28"/>
      <c r="C47" s="28"/>
      <c r="D47" s="28"/>
      <c r="E47" s="28"/>
      <c r="F47" s="28"/>
      <c r="G47" s="28"/>
      <c r="H47" s="28"/>
      <c r="I47" s="28"/>
      <c r="J47" s="28"/>
      <c r="K47" s="28"/>
      <c r="L47" s="28"/>
      <c r="M47" s="28"/>
      <c r="N47" s="28"/>
      <c r="O47" s="28"/>
      <c r="P47" s="28"/>
      <c r="Q47" s="28"/>
      <c r="R47" s="28"/>
      <c r="S47" s="28"/>
      <c r="T47" s="28"/>
      <c r="U47" s="28"/>
      <c r="V47" s="28"/>
      <c r="W47" s="28"/>
      <c r="X47" s="28"/>
      <c r="Y47" s="28"/>
      <c r="Z47" s="28"/>
      <c r="AA47" s="28"/>
      <c r="AB47" s="28"/>
      <c r="AC47" s="28"/>
    </row>
    <row r="48" spans="1:29" x14ac:dyDescent="0.35">
      <c r="A48" s="28"/>
      <c r="B48" s="28"/>
      <c r="C48" s="28"/>
      <c r="D48" s="28"/>
      <c r="E48" s="28"/>
      <c r="F48" s="28"/>
      <c r="G48" s="28"/>
      <c r="H48" s="28"/>
      <c r="I48" s="28"/>
      <c r="J48" s="28"/>
      <c r="K48" s="28"/>
      <c r="L48" s="28"/>
      <c r="M48" s="28"/>
      <c r="N48" s="28"/>
      <c r="O48" s="28"/>
      <c r="P48" s="28"/>
      <c r="Q48" s="28"/>
      <c r="R48" s="28"/>
      <c r="S48" s="28"/>
      <c r="T48" s="28"/>
      <c r="U48" s="28"/>
      <c r="V48" s="28"/>
      <c r="W48" s="28"/>
      <c r="X48" s="28"/>
      <c r="Y48" s="28"/>
      <c r="Z48" s="28"/>
      <c r="AA48" s="28"/>
      <c r="AB48" s="28"/>
      <c r="AC48" s="28"/>
    </row>
    <row r="49" spans="1:29" x14ac:dyDescent="0.35">
      <c r="A49" s="28"/>
      <c r="B49" s="28"/>
      <c r="C49" s="28"/>
      <c r="D49" s="28"/>
      <c r="E49" s="28"/>
      <c r="F49" s="28"/>
      <c r="G49" s="28"/>
      <c r="H49" s="28"/>
      <c r="I49" s="28"/>
      <c r="J49" s="28"/>
      <c r="K49" s="28"/>
      <c r="L49" s="28"/>
      <c r="M49" s="28"/>
      <c r="N49" s="28"/>
      <c r="O49" s="28"/>
      <c r="P49" s="28"/>
      <c r="Q49" s="28"/>
      <c r="R49" s="28"/>
      <c r="S49" s="28"/>
      <c r="T49" s="28"/>
      <c r="U49" s="28"/>
      <c r="V49" s="28"/>
      <c r="W49" s="28"/>
      <c r="X49" s="28"/>
      <c r="Y49" s="28"/>
      <c r="Z49" s="28"/>
      <c r="AA49" s="28"/>
      <c r="AB49" s="28"/>
      <c r="AC49" s="28"/>
    </row>
    <row r="50" spans="1:29" x14ac:dyDescent="0.35">
      <c r="A50" s="28"/>
      <c r="B50" s="28"/>
      <c r="C50" s="28"/>
      <c r="D50" s="28"/>
      <c r="E50" s="28"/>
      <c r="F50" s="28"/>
      <c r="G50" s="28"/>
      <c r="H50" s="28"/>
      <c r="I50" s="28"/>
      <c r="J50" s="28"/>
      <c r="K50" s="28"/>
      <c r="L50" s="28"/>
      <c r="M50" s="28"/>
      <c r="N50" s="28"/>
      <c r="O50" s="28"/>
      <c r="P50" s="28"/>
      <c r="Q50" s="28"/>
      <c r="R50" s="28"/>
      <c r="S50" s="28"/>
      <c r="T50" s="28"/>
      <c r="U50" s="28"/>
      <c r="V50" s="28"/>
      <c r="W50" s="28"/>
      <c r="X50" s="28"/>
      <c r="Y50" s="28"/>
      <c r="Z50" s="28"/>
      <c r="AA50" s="28"/>
      <c r="AB50" s="28"/>
      <c r="AC50" s="28"/>
    </row>
    <row r="51" spans="1:29" x14ac:dyDescent="0.35">
      <c r="A51" s="28"/>
      <c r="B51" s="28"/>
      <c r="C51" s="28"/>
      <c r="D51" s="28"/>
      <c r="E51" s="28"/>
      <c r="F51" s="28"/>
      <c r="G51" s="28"/>
      <c r="H51" s="28"/>
      <c r="I51" s="28"/>
      <c r="J51" s="28"/>
      <c r="K51" s="28"/>
      <c r="L51" s="28"/>
      <c r="M51" s="28"/>
      <c r="N51" s="28"/>
      <c r="O51" s="28"/>
      <c r="P51" s="28"/>
      <c r="Q51" s="28"/>
      <c r="R51" s="28"/>
      <c r="S51" s="28"/>
      <c r="T51" s="28"/>
      <c r="U51" s="28"/>
      <c r="V51" s="28"/>
      <c r="W51" s="28"/>
      <c r="X51" s="28"/>
      <c r="Y51" s="28"/>
      <c r="Z51" s="28"/>
      <c r="AA51" s="28"/>
      <c r="AB51" s="28"/>
      <c r="AC51" s="28"/>
    </row>
    <row r="52" spans="1:29" x14ac:dyDescent="0.35">
      <c r="A52" s="28"/>
      <c r="B52" s="28"/>
      <c r="C52" s="28"/>
      <c r="D52" s="28"/>
      <c r="E52" s="28"/>
      <c r="F52" s="28"/>
      <c r="G52" s="28"/>
      <c r="H52" s="28"/>
      <c r="I52" s="28"/>
      <c r="J52" s="28"/>
      <c r="K52" s="28"/>
      <c r="L52" s="28"/>
      <c r="M52" s="28"/>
      <c r="N52" s="28"/>
      <c r="O52" s="28"/>
      <c r="P52" s="28"/>
      <c r="Q52" s="28"/>
      <c r="R52" s="28"/>
      <c r="S52" s="28"/>
      <c r="T52" s="28"/>
      <c r="U52" s="28"/>
      <c r="V52" s="28"/>
      <c r="W52" s="28"/>
      <c r="X52" s="28"/>
      <c r="Y52" s="28"/>
      <c r="Z52" s="28"/>
      <c r="AA52" s="28"/>
      <c r="AB52" s="28"/>
      <c r="AC52" s="28"/>
    </row>
    <row r="53" spans="1:29" x14ac:dyDescent="0.35">
      <c r="A53" s="28"/>
      <c r="B53" s="28"/>
      <c r="C53" s="28"/>
      <c r="D53" s="28"/>
      <c r="E53" s="28"/>
      <c r="F53" s="28"/>
      <c r="G53" s="28"/>
      <c r="H53" s="28"/>
      <c r="I53" s="28"/>
      <c r="J53" s="28"/>
      <c r="K53" s="28"/>
      <c r="L53" s="28"/>
      <c r="M53" s="28"/>
      <c r="N53" s="28"/>
      <c r="O53" s="28"/>
      <c r="P53" s="28"/>
      <c r="Q53" s="28"/>
      <c r="R53" s="28"/>
      <c r="S53" s="28"/>
      <c r="T53" s="28"/>
      <c r="U53" s="28"/>
      <c r="V53" s="28"/>
      <c r="W53" s="28"/>
      <c r="X53" s="28"/>
      <c r="Y53" s="28"/>
      <c r="Z53" s="28"/>
      <c r="AA53" s="28"/>
      <c r="AB53" s="28"/>
      <c r="AC53" s="28"/>
    </row>
    <row r="54" spans="1:29" x14ac:dyDescent="0.35">
      <c r="A54" s="28"/>
      <c r="B54" s="28"/>
      <c r="C54" s="28"/>
      <c r="D54" s="28"/>
      <c r="E54" s="28"/>
      <c r="F54" s="28"/>
      <c r="G54" s="28"/>
      <c r="H54" s="28"/>
      <c r="I54" s="28"/>
      <c r="J54" s="28"/>
      <c r="K54" s="28"/>
      <c r="L54" s="28"/>
      <c r="M54" s="28"/>
      <c r="N54" s="28"/>
      <c r="O54" s="28"/>
      <c r="P54" s="28"/>
      <c r="Q54" s="28"/>
      <c r="R54" s="28"/>
      <c r="S54" s="28"/>
      <c r="T54" s="28"/>
      <c r="U54" s="28"/>
      <c r="V54" s="28"/>
      <c r="W54" s="28"/>
      <c r="X54" s="28"/>
      <c r="Y54" s="28"/>
      <c r="Z54" s="28"/>
      <c r="AA54" s="28"/>
      <c r="AB54" s="28"/>
      <c r="AC54" s="28"/>
    </row>
    <row r="55" spans="1:29" x14ac:dyDescent="0.35">
      <c r="A55" s="28"/>
      <c r="B55" s="28"/>
      <c r="C55" s="28"/>
      <c r="D55" s="28"/>
      <c r="E55" s="28"/>
      <c r="F55" s="28"/>
      <c r="G55" s="28"/>
      <c r="H55" s="28"/>
      <c r="I55" s="28"/>
      <c r="J55" s="28"/>
      <c r="K55" s="28"/>
      <c r="L55" s="28"/>
      <c r="M55" s="28"/>
      <c r="N55" s="28"/>
      <c r="O55" s="28"/>
      <c r="P55" s="28"/>
      <c r="Q55" s="28"/>
      <c r="R55" s="28"/>
      <c r="S55" s="28"/>
      <c r="T55" s="28"/>
      <c r="U55" s="28"/>
      <c r="V55" s="28"/>
      <c r="W55" s="28"/>
      <c r="X55" s="28"/>
      <c r="Y55" s="28"/>
      <c r="Z55" s="28"/>
      <c r="AA55" s="28"/>
      <c r="AB55" s="28"/>
      <c r="AC55" s="28"/>
    </row>
    <row r="56" spans="1:29" x14ac:dyDescent="0.35">
      <c r="A56" s="28"/>
      <c r="B56" s="28"/>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row>
    <row r="57" spans="1:29" x14ac:dyDescent="0.35">
      <c r="A57" s="28"/>
      <c r="B57" s="28"/>
      <c r="C57" s="28"/>
      <c r="D57" s="28"/>
      <c r="E57" s="28"/>
      <c r="F57" s="28"/>
      <c r="G57" s="28"/>
      <c r="H57" s="28"/>
      <c r="I57" s="28"/>
      <c r="J57" s="28"/>
      <c r="K57" s="28"/>
      <c r="L57" s="28"/>
      <c r="M57" s="28"/>
      <c r="N57" s="28"/>
      <c r="O57" s="28"/>
      <c r="P57" s="28"/>
      <c r="Q57" s="28"/>
      <c r="R57" s="28"/>
      <c r="S57" s="28"/>
      <c r="T57" s="28"/>
      <c r="U57" s="28"/>
      <c r="V57" s="28"/>
      <c r="W57" s="28"/>
      <c r="X57" s="28"/>
      <c r="Y57" s="28"/>
      <c r="Z57" s="28"/>
      <c r="AA57" s="28"/>
      <c r="AB57" s="28"/>
      <c r="AC57" s="28"/>
    </row>
    <row r="58" spans="1:29" x14ac:dyDescent="0.35">
      <c r="A58" s="33" t="s">
        <v>46</v>
      </c>
      <c r="B58" s="33" t="s">
        <v>135</v>
      </c>
    </row>
    <row r="59" spans="1:29" x14ac:dyDescent="0.35">
      <c r="A59" s="202" t="s">
        <v>23</v>
      </c>
      <c r="B59" s="203">
        <v>60</v>
      </c>
    </row>
    <row r="60" spans="1:29" x14ac:dyDescent="0.35">
      <c r="A60" s="202" t="s">
        <v>25</v>
      </c>
      <c r="B60" s="203">
        <v>29</v>
      </c>
    </row>
    <row r="61" spans="1:29" x14ac:dyDescent="0.35">
      <c r="A61" s="202" t="s">
        <v>24</v>
      </c>
      <c r="B61" s="203">
        <v>25</v>
      </c>
    </row>
    <row r="62" spans="1:29" x14ac:dyDescent="0.35">
      <c r="A62" s="202" t="s">
        <v>22</v>
      </c>
      <c r="B62" s="203">
        <v>103</v>
      </c>
    </row>
    <row r="63" spans="1:29" x14ac:dyDescent="0.35">
      <c r="A63" s="202" t="s">
        <v>27</v>
      </c>
      <c r="B63" s="203">
        <v>20</v>
      </c>
    </row>
    <row r="64" spans="1:29" x14ac:dyDescent="0.35">
      <c r="A64" s="202" t="s">
        <v>26</v>
      </c>
      <c r="B64" s="203">
        <v>4</v>
      </c>
      <c r="F64" t="str">
        <f>_xlfn.XLOOKUP(B71,$B$59:$B$65,$A$59:$A$65,0,0,1)</f>
        <v>Murder</v>
      </c>
    </row>
    <row r="65" spans="1:2" x14ac:dyDescent="0.35">
      <c r="A65" s="202" t="s">
        <v>21</v>
      </c>
      <c r="B65" s="203">
        <v>241</v>
      </c>
    </row>
    <row r="70" spans="1:2" x14ac:dyDescent="0.35">
      <c r="B70">
        <f>IF(A64 = "Striking causing death", SUM(B59:B64), SUM(B59:B65))</f>
        <v>241</v>
      </c>
    </row>
    <row r="71" spans="1:2" x14ac:dyDescent="0.35">
      <c r="B71">
        <f>IF(A64 = "Striking causing death", MAX(B59:B64), MAX(B59:B65))</f>
        <v>103</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48895-7DD4-4BA2-A6BC-A2E904607C39}">
  <dimension ref="A1:B8"/>
  <sheetViews>
    <sheetView workbookViewId="0">
      <selection activeCell="B2" sqref="B2"/>
    </sheetView>
  </sheetViews>
  <sheetFormatPr defaultRowHeight="14.5" x14ac:dyDescent="0.35"/>
  <cols>
    <col min="1" max="1" width="26.08984375" bestFit="1" customWidth="1"/>
    <col min="2" max="2" width="36" bestFit="1" customWidth="1"/>
    <col min="3" max="3" width="32.81640625" bestFit="1" customWidth="1"/>
  </cols>
  <sheetData>
    <row r="1" spans="1:2" x14ac:dyDescent="0.35">
      <c r="A1" s="2" t="s">
        <v>46</v>
      </c>
      <c r="B1" t="s">
        <v>137</v>
      </c>
    </row>
    <row r="2" spans="1:2" x14ac:dyDescent="0.35">
      <c r="A2" s="3" t="s">
        <v>23</v>
      </c>
      <c r="B2" s="201">
        <v>3.8297872340425534</v>
      </c>
    </row>
    <row r="3" spans="1:2" x14ac:dyDescent="0.35">
      <c r="A3" s="3" t="s">
        <v>25</v>
      </c>
      <c r="B3" s="201">
        <v>19.444444444444446</v>
      </c>
    </row>
    <row r="4" spans="1:2" x14ac:dyDescent="0.35">
      <c r="A4" s="3" t="s">
        <v>24</v>
      </c>
      <c r="B4" s="201">
        <v>-20.294117647058822</v>
      </c>
    </row>
    <row r="5" spans="1:2" x14ac:dyDescent="0.35">
      <c r="A5" s="3" t="s">
        <v>22</v>
      </c>
      <c r="B5" s="201">
        <v>4.6638554216867467</v>
      </c>
    </row>
    <row r="6" spans="1:2" x14ac:dyDescent="0.35">
      <c r="A6" s="3" t="s">
        <v>27</v>
      </c>
      <c r="B6" s="201">
        <v>31.628571428571426</v>
      </c>
    </row>
    <row r="7" spans="1:2" x14ac:dyDescent="0.35">
      <c r="A7" s="3" t="s">
        <v>26</v>
      </c>
      <c r="B7" s="201">
        <v>-13.333333333333334</v>
      </c>
    </row>
    <row r="8" spans="1:2" x14ac:dyDescent="0.35">
      <c r="A8" s="3" t="s">
        <v>21</v>
      </c>
      <c r="B8" s="201">
        <v>4.3232012580588348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1E4F8-76E7-46CF-8CE3-EF8DD34AAAB6}">
  <dimension ref="A3:B10"/>
  <sheetViews>
    <sheetView workbookViewId="0">
      <selection activeCell="A3" sqref="A3:B17"/>
    </sheetView>
  </sheetViews>
  <sheetFormatPr defaultRowHeight="14.5" x14ac:dyDescent="0.35"/>
  <cols>
    <col min="1" max="1" width="26.08984375" bestFit="1" customWidth="1"/>
    <col min="2" max="2" width="32.26953125" bestFit="1" customWidth="1"/>
  </cols>
  <sheetData>
    <row r="3" spans="1:2" x14ac:dyDescent="0.35">
      <c r="A3" s="2" t="s">
        <v>46</v>
      </c>
      <c r="B3" t="s">
        <v>139</v>
      </c>
    </row>
    <row r="4" spans="1:2" x14ac:dyDescent="0.35">
      <c r="A4" s="3" t="s">
        <v>23</v>
      </c>
      <c r="B4" s="201">
        <v>3.8297872340425534</v>
      </c>
    </row>
    <row r="5" spans="1:2" x14ac:dyDescent="0.35">
      <c r="A5" s="3" t="s">
        <v>25</v>
      </c>
      <c r="B5" s="201">
        <v>19.444444444444446</v>
      </c>
    </row>
    <row r="6" spans="1:2" x14ac:dyDescent="0.35">
      <c r="A6" s="3" t="s">
        <v>24</v>
      </c>
      <c r="B6" s="201">
        <v>-20.294117647058822</v>
      </c>
    </row>
    <row r="7" spans="1:2" x14ac:dyDescent="0.35">
      <c r="A7" s="3" t="s">
        <v>22</v>
      </c>
      <c r="B7" s="201">
        <v>4.6638554216867467</v>
      </c>
    </row>
    <row r="8" spans="1:2" x14ac:dyDescent="0.35">
      <c r="A8" s="3" t="s">
        <v>27</v>
      </c>
      <c r="B8" s="201">
        <v>31.628571428571426</v>
      </c>
    </row>
    <row r="9" spans="1:2" x14ac:dyDescent="0.35">
      <c r="A9" s="3" t="s">
        <v>26</v>
      </c>
      <c r="B9" s="201">
        <v>-13.333333333333334</v>
      </c>
    </row>
    <row r="10" spans="1:2" x14ac:dyDescent="0.35">
      <c r="A10" s="3" t="s">
        <v>21</v>
      </c>
      <c r="B10" s="201">
        <v>4.3232012580588348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5AC3E-9402-4D49-8E4F-1A0E7DE6F7D1}">
  <dimension ref="A1"/>
  <sheetViews>
    <sheetView workbookViewId="0"/>
  </sheetViews>
  <sheetFormatPr defaultRowHeight="14.5" x14ac:dyDescent="0.3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FDE8A-A092-4524-8128-A58515B9D4B6}">
  <sheetPr codeName="Sheet11"/>
  <dimension ref="A1:H820"/>
  <sheetViews>
    <sheetView topLeftCell="A755" workbookViewId="0">
      <selection activeCell="G790" sqref="G790"/>
    </sheetView>
  </sheetViews>
  <sheetFormatPr defaultRowHeight="14.5" x14ac:dyDescent="0.35"/>
  <cols>
    <col min="6" max="6" width="28.6328125" bestFit="1" customWidth="1"/>
    <col min="7" max="7" width="9.453125" style="204" bestFit="1" customWidth="1"/>
    <col min="8" max="8" width="9.453125" bestFit="1" customWidth="1"/>
  </cols>
  <sheetData>
    <row r="1" spans="1:8" x14ac:dyDescent="0.35">
      <c r="A1" t="s">
        <v>133</v>
      </c>
      <c r="B1" t="s">
        <v>128</v>
      </c>
      <c r="C1" t="s">
        <v>134</v>
      </c>
      <c r="D1" t="s">
        <v>45</v>
      </c>
      <c r="E1" t="s">
        <v>44</v>
      </c>
      <c r="F1" t="s">
        <v>136</v>
      </c>
      <c r="G1" s="204" t="s">
        <v>138</v>
      </c>
    </row>
    <row r="2" spans="1:8" x14ac:dyDescent="0.35">
      <c r="A2">
        <v>101</v>
      </c>
      <c r="B2" t="s">
        <v>10</v>
      </c>
      <c r="C2" t="s">
        <v>22</v>
      </c>
      <c r="D2" t="s">
        <v>6</v>
      </c>
      <c r="E2" t="s">
        <v>7</v>
      </c>
      <c r="F2">
        <v>16.091954022988507</v>
      </c>
      <c r="G2" s="204">
        <v>44927</v>
      </c>
      <c r="H2" s="204" t="e">
        <f>DATE(G2,1,1)</f>
        <v>#NUM!</v>
      </c>
    </row>
    <row r="3" spans="1:8" x14ac:dyDescent="0.35">
      <c r="A3">
        <v>1</v>
      </c>
      <c r="B3" t="s">
        <v>11</v>
      </c>
      <c r="C3" t="s">
        <v>22</v>
      </c>
      <c r="D3" t="s">
        <v>6</v>
      </c>
      <c r="E3" t="s">
        <v>7</v>
      </c>
      <c r="F3">
        <v>-50</v>
      </c>
      <c r="G3" s="204">
        <v>44927</v>
      </c>
      <c r="H3" s="204" t="e">
        <f t="shared" ref="G3:H66" si="0">DATE(G3,1,1)</f>
        <v>#NUM!</v>
      </c>
    </row>
    <row r="4" spans="1:8" x14ac:dyDescent="0.35">
      <c r="A4">
        <v>4</v>
      </c>
      <c r="B4" t="s">
        <v>12</v>
      </c>
      <c r="C4" t="s">
        <v>22</v>
      </c>
      <c r="D4" t="s">
        <v>6</v>
      </c>
      <c r="E4" t="s">
        <v>7</v>
      </c>
      <c r="F4">
        <v>33.333333333333329</v>
      </c>
      <c r="G4" s="204">
        <v>44927</v>
      </c>
      <c r="H4" s="204" t="e">
        <f t="shared" si="0"/>
        <v>#NUM!</v>
      </c>
    </row>
    <row r="5" spans="1:8" x14ac:dyDescent="0.35">
      <c r="A5">
        <v>9</v>
      </c>
      <c r="B5" t="s">
        <v>13</v>
      </c>
      <c r="C5" t="s">
        <v>22</v>
      </c>
      <c r="D5" t="s">
        <v>6</v>
      </c>
      <c r="E5" t="s">
        <v>7</v>
      </c>
      <c r="F5">
        <v>28.571428571428569</v>
      </c>
      <c r="G5" s="204">
        <v>44927</v>
      </c>
      <c r="H5" s="204" t="e">
        <f t="shared" si="0"/>
        <v>#NUM!</v>
      </c>
    </row>
    <row r="6" spans="1:8" x14ac:dyDescent="0.35">
      <c r="A6">
        <v>1</v>
      </c>
      <c r="B6" t="s">
        <v>14</v>
      </c>
      <c r="C6" t="s">
        <v>22</v>
      </c>
      <c r="D6" t="s">
        <v>6</v>
      </c>
      <c r="E6" t="s">
        <v>7</v>
      </c>
      <c r="F6">
        <v>-75</v>
      </c>
      <c r="G6" s="204">
        <v>44927</v>
      </c>
      <c r="H6" s="204" t="e">
        <f t="shared" si="0"/>
        <v>#NUM!</v>
      </c>
    </row>
    <row r="7" spans="1:8" x14ac:dyDescent="0.35">
      <c r="A7">
        <v>1</v>
      </c>
      <c r="B7" t="s">
        <v>15</v>
      </c>
      <c r="C7" t="s">
        <v>22</v>
      </c>
      <c r="D7" t="s">
        <v>6</v>
      </c>
      <c r="E7" t="s">
        <v>7</v>
      </c>
      <c r="F7">
        <v>-80</v>
      </c>
      <c r="G7" s="204">
        <v>44927</v>
      </c>
      <c r="H7" s="204" t="e">
        <f t="shared" si="0"/>
        <v>#NUM!</v>
      </c>
    </row>
    <row r="8" spans="1:8" x14ac:dyDescent="0.35">
      <c r="A8">
        <v>0</v>
      </c>
      <c r="B8" t="s">
        <v>16</v>
      </c>
      <c r="C8" t="s">
        <v>22</v>
      </c>
      <c r="D8" t="s">
        <v>6</v>
      </c>
      <c r="E8" t="s">
        <v>7</v>
      </c>
      <c r="F8">
        <v>-100</v>
      </c>
      <c r="G8" s="204">
        <v>44927</v>
      </c>
      <c r="H8" s="204" t="e">
        <f t="shared" si="0"/>
        <v>#NUM!</v>
      </c>
    </row>
    <row r="9" spans="1:8" x14ac:dyDescent="0.35">
      <c r="A9">
        <v>4</v>
      </c>
      <c r="B9" t="s">
        <v>17</v>
      </c>
      <c r="C9" t="s">
        <v>22</v>
      </c>
      <c r="D9" t="s">
        <v>6</v>
      </c>
      <c r="E9" t="s">
        <v>7</v>
      </c>
      <c r="F9">
        <v>300</v>
      </c>
      <c r="G9" s="204">
        <v>44927</v>
      </c>
      <c r="H9" s="204" t="e">
        <f t="shared" si="0"/>
        <v>#NUM!</v>
      </c>
    </row>
    <row r="10" spans="1:8" x14ac:dyDescent="0.35">
      <c r="A10">
        <v>6</v>
      </c>
      <c r="B10" t="s">
        <v>18</v>
      </c>
      <c r="C10" t="s">
        <v>22</v>
      </c>
      <c r="D10" t="s">
        <v>6</v>
      </c>
      <c r="E10" t="s">
        <v>7</v>
      </c>
      <c r="F10">
        <v>100</v>
      </c>
      <c r="G10" s="204">
        <v>44927</v>
      </c>
      <c r="H10" s="204" t="e">
        <f t="shared" si="0"/>
        <v>#NUM!</v>
      </c>
    </row>
    <row r="11" spans="1:8" x14ac:dyDescent="0.35">
      <c r="A11">
        <v>100</v>
      </c>
      <c r="B11" t="s">
        <v>10</v>
      </c>
      <c r="C11" t="s">
        <v>23</v>
      </c>
      <c r="D11" t="s">
        <v>6</v>
      </c>
      <c r="E11" t="s">
        <v>7</v>
      </c>
      <c r="F11">
        <v>78.571428571428569</v>
      </c>
      <c r="G11" s="204">
        <v>44927</v>
      </c>
      <c r="H11" s="204" t="e">
        <f t="shared" si="0"/>
        <v>#NUM!</v>
      </c>
    </row>
    <row r="12" spans="1:8" x14ac:dyDescent="0.35">
      <c r="A12">
        <v>0</v>
      </c>
      <c r="B12" t="s">
        <v>11</v>
      </c>
      <c r="C12" t="s">
        <v>23</v>
      </c>
      <c r="D12" t="s">
        <v>6</v>
      </c>
      <c r="E12" t="s">
        <v>7</v>
      </c>
      <c r="F12">
        <v>0</v>
      </c>
      <c r="G12" s="204">
        <v>44927</v>
      </c>
      <c r="H12" s="204" t="e">
        <f t="shared" si="0"/>
        <v>#NUM!</v>
      </c>
    </row>
    <row r="13" spans="1:8" x14ac:dyDescent="0.35">
      <c r="A13">
        <v>0</v>
      </c>
      <c r="B13" t="s">
        <v>12</v>
      </c>
      <c r="C13" t="s">
        <v>23</v>
      </c>
      <c r="D13" t="s">
        <v>6</v>
      </c>
      <c r="E13" t="s">
        <v>7</v>
      </c>
      <c r="F13">
        <v>0</v>
      </c>
      <c r="G13" s="204">
        <v>44927</v>
      </c>
      <c r="H13" s="204" t="e">
        <f t="shared" si="0"/>
        <v>#NUM!</v>
      </c>
    </row>
    <row r="14" spans="1:8" x14ac:dyDescent="0.35">
      <c r="A14">
        <v>10</v>
      </c>
      <c r="B14" t="s">
        <v>13</v>
      </c>
      <c r="C14" t="s">
        <v>23</v>
      </c>
      <c r="D14" t="s">
        <v>6</v>
      </c>
      <c r="E14" t="s">
        <v>7</v>
      </c>
      <c r="F14">
        <v>150</v>
      </c>
      <c r="G14" s="204">
        <v>44927</v>
      </c>
      <c r="H14" s="204" t="e">
        <f t="shared" si="0"/>
        <v>#NUM!</v>
      </c>
    </row>
    <row r="15" spans="1:8" x14ac:dyDescent="0.35">
      <c r="A15">
        <v>1</v>
      </c>
      <c r="B15" t="s">
        <v>14</v>
      </c>
      <c r="C15" t="s">
        <v>23</v>
      </c>
      <c r="D15" t="s">
        <v>6</v>
      </c>
      <c r="E15" t="s">
        <v>7</v>
      </c>
      <c r="F15">
        <v>1</v>
      </c>
      <c r="G15" s="204">
        <v>44927</v>
      </c>
      <c r="H15" s="204" t="e">
        <f t="shared" si="0"/>
        <v>#NUM!</v>
      </c>
    </row>
    <row r="16" spans="1:8" x14ac:dyDescent="0.35">
      <c r="A16">
        <v>5</v>
      </c>
      <c r="B16" t="s">
        <v>15</v>
      </c>
      <c r="C16" t="s">
        <v>23</v>
      </c>
      <c r="D16" t="s">
        <v>6</v>
      </c>
      <c r="E16" t="s">
        <v>7</v>
      </c>
      <c r="F16">
        <v>25</v>
      </c>
      <c r="G16" s="204">
        <v>44927</v>
      </c>
      <c r="H16" s="204" t="e">
        <f t="shared" si="0"/>
        <v>#NUM!</v>
      </c>
    </row>
    <row r="17" spans="1:8" x14ac:dyDescent="0.35">
      <c r="A17">
        <v>0</v>
      </c>
      <c r="B17" t="s">
        <v>16</v>
      </c>
      <c r="C17" t="s">
        <v>23</v>
      </c>
      <c r="D17" t="s">
        <v>6</v>
      </c>
      <c r="E17" t="s">
        <v>7</v>
      </c>
      <c r="F17">
        <v>0</v>
      </c>
      <c r="G17" s="204">
        <v>44927</v>
      </c>
      <c r="H17" s="204" t="e">
        <f t="shared" si="0"/>
        <v>#NUM!</v>
      </c>
    </row>
    <row r="18" spans="1:8" x14ac:dyDescent="0.35">
      <c r="A18">
        <v>1</v>
      </c>
      <c r="B18" t="s">
        <v>17</v>
      </c>
      <c r="C18" t="s">
        <v>23</v>
      </c>
      <c r="D18" t="s">
        <v>6</v>
      </c>
      <c r="E18" t="s">
        <v>7</v>
      </c>
      <c r="F18">
        <v>1</v>
      </c>
      <c r="G18" s="204">
        <v>44927</v>
      </c>
      <c r="H18" s="204" t="e">
        <f t="shared" si="0"/>
        <v>#NUM!</v>
      </c>
    </row>
    <row r="19" spans="1:8" x14ac:dyDescent="0.35">
      <c r="A19">
        <v>2</v>
      </c>
      <c r="B19" t="s">
        <v>18</v>
      </c>
      <c r="C19" t="s">
        <v>23</v>
      </c>
      <c r="D19" t="s">
        <v>6</v>
      </c>
      <c r="E19" t="s">
        <v>7</v>
      </c>
      <c r="F19">
        <v>2</v>
      </c>
      <c r="G19" s="204">
        <v>44927</v>
      </c>
      <c r="H19" s="204" t="e">
        <f t="shared" si="0"/>
        <v>#NUM!</v>
      </c>
    </row>
    <row r="20" spans="1:8" x14ac:dyDescent="0.35">
      <c r="A20">
        <v>17</v>
      </c>
      <c r="B20" t="s">
        <v>10</v>
      </c>
      <c r="C20" t="s">
        <v>24</v>
      </c>
      <c r="D20" t="s">
        <v>6</v>
      </c>
      <c r="E20" t="s">
        <v>7</v>
      </c>
      <c r="F20">
        <v>-19.047619047619047</v>
      </c>
      <c r="G20" s="204">
        <v>44927</v>
      </c>
      <c r="H20" s="204" t="e">
        <f t="shared" si="0"/>
        <v>#NUM!</v>
      </c>
    </row>
    <row r="21" spans="1:8" x14ac:dyDescent="0.35">
      <c r="A21">
        <v>0</v>
      </c>
      <c r="B21" t="s">
        <v>11</v>
      </c>
      <c r="C21" t="s">
        <v>24</v>
      </c>
      <c r="D21" t="s">
        <v>6</v>
      </c>
      <c r="E21" t="s">
        <v>7</v>
      </c>
      <c r="F21">
        <v>0</v>
      </c>
      <c r="G21" s="204">
        <v>44927</v>
      </c>
      <c r="H21" s="204" t="e">
        <f t="shared" si="0"/>
        <v>#NUM!</v>
      </c>
    </row>
    <row r="22" spans="1:8" x14ac:dyDescent="0.35">
      <c r="A22">
        <v>1</v>
      </c>
      <c r="B22" t="s">
        <v>12</v>
      </c>
      <c r="C22" t="s">
        <v>24</v>
      </c>
      <c r="D22" t="s">
        <v>6</v>
      </c>
      <c r="E22" t="s">
        <v>7</v>
      </c>
      <c r="F22">
        <v>-66.666666666666657</v>
      </c>
      <c r="G22" s="204">
        <v>44927</v>
      </c>
      <c r="H22" s="204" t="e">
        <f t="shared" si="0"/>
        <v>#NUM!</v>
      </c>
    </row>
    <row r="23" spans="1:8" x14ac:dyDescent="0.35">
      <c r="A23">
        <v>0</v>
      </c>
      <c r="B23" t="s">
        <v>13</v>
      </c>
      <c r="C23" t="s">
        <v>24</v>
      </c>
      <c r="D23" t="s">
        <v>6</v>
      </c>
      <c r="E23" t="s">
        <v>7</v>
      </c>
      <c r="F23">
        <v>-100</v>
      </c>
      <c r="G23" s="204">
        <v>44927</v>
      </c>
      <c r="H23" s="204" t="e">
        <f t="shared" si="0"/>
        <v>#NUM!</v>
      </c>
    </row>
    <row r="24" spans="1:8" x14ac:dyDescent="0.35">
      <c r="A24">
        <v>0</v>
      </c>
      <c r="B24" t="s">
        <v>14</v>
      </c>
      <c r="C24" t="s">
        <v>24</v>
      </c>
      <c r="D24" t="s">
        <v>6</v>
      </c>
      <c r="E24" t="s">
        <v>7</v>
      </c>
      <c r="F24">
        <v>0</v>
      </c>
      <c r="G24" s="204">
        <v>44927</v>
      </c>
      <c r="H24" s="204" t="e">
        <f t="shared" si="0"/>
        <v>#NUM!</v>
      </c>
    </row>
    <row r="25" spans="1:8" x14ac:dyDescent="0.35">
      <c r="A25">
        <v>1</v>
      </c>
      <c r="B25" t="s">
        <v>15</v>
      </c>
      <c r="C25" t="s">
        <v>24</v>
      </c>
      <c r="D25" t="s">
        <v>6</v>
      </c>
      <c r="E25" t="s">
        <v>7</v>
      </c>
      <c r="F25">
        <v>1</v>
      </c>
      <c r="G25" s="204">
        <v>44927</v>
      </c>
      <c r="H25" s="204" t="e">
        <f t="shared" si="0"/>
        <v>#NUM!</v>
      </c>
    </row>
    <row r="26" spans="1:8" x14ac:dyDescent="0.35">
      <c r="A26">
        <v>1</v>
      </c>
      <c r="B26" t="s">
        <v>16</v>
      </c>
      <c r="C26" t="s">
        <v>24</v>
      </c>
      <c r="D26" t="s">
        <v>6</v>
      </c>
      <c r="E26" t="s">
        <v>7</v>
      </c>
      <c r="F26">
        <v>0</v>
      </c>
      <c r="G26" s="204">
        <v>44927</v>
      </c>
      <c r="H26" s="204" t="e">
        <f t="shared" si="0"/>
        <v>#NUM!</v>
      </c>
    </row>
    <row r="27" spans="1:8" x14ac:dyDescent="0.35">
      <c r="A27">
        <v>0</v>
      </c>
      <c r="B27" t="s">
        <v>17</v>
      </c>
      <c r="C27" t="s">
        <v>24</v>
      </c>
      <c r="D27" t="s">
        <v>6</v>
      </c>
      <c r="E27" t="s">
        <v>7</v>
      </c>
      <c r="F27">
        <v>0</v>
      </c>
      <c r="G27" s="204">
        <v>44927</v>
      </c>
      <c r="H27" s="204" t="e">
        <f t="shared" si="0"/>
        <v>#NUM!</v>
      </c>
    </row>
    <row r="28" spans="1:8" x14ac:dyDescent="0.35">
      <c r="A28">
        <v>4</v>
      </c>
      <c r="B28" t="s">
        <v>18</v>
      </c>
      <c r="C28" t="s">
        <v>24</v>
      </c>
      <c r="D28" t="s">
        <v>6</v>
      </c>
      <c r="E28" t="s">
        <v>7</v>
      </c>
      <c r="F28">
        <v>100</v>
      </c>
      <c r="G28" s="204">
        <v>44927</v>
      </c>
      <c r="H28" s="204" t="e">
        <f t="shared" si="0"/>
        <v>#NUM!</v>
      </c>
    </row>
    <row r="29" spans="1:8" x14ac:dyDescent="0.35">
      <c r="A29">
        <v>15</v>
      </c>
      <c r="B29" t="s">
        <v>10</v>
      </c>
      <c r="C29" t="s">
        <v>25</v>
      </c>
      <c r="D29" t="s">
        <v>6</v>
      </c>
      <c r="E29" t="s">
        <v>7</v>
      </c>
      <c r="F29">
        <v>-6.25</v>
      </c>
      <c r="G29" s="204">
        <v>44927</v>
      </c>
      <c r="H29" s="204" t="e">
        <f t="shared" si="0"/>
        <v>#NUM!</v>
      </c>
    </row>
    <row r="30" spans="1:8" x14ac:dyDescent="0.35">
      <c r="A30">
        <v>3</v>
      </c>
      <c r="B30" t="s">
        <v>11</v>
      </c>
      <c r="C30" t="s">
        <v>25</v>
      </c>
      <c r="D30" t="s">
        <v>6</v>
      </c>
      <c r="E30" t="s">
        <v>7</v>
      </c>
      <c r="F30">
        <v>-40</v>
      </c>
      <c r="G30" s="204">
        <v>44927</v>
      </c>
      <c r="H30" s="204" t="e">
        <f t="shared" si="0"/>
        <v>#NUM!</v>
      </c>
    </row>
    <row r="31" spans="1:8" x14ac:dyDescent="0.35">
      <c r="A31">
        <v>3</v>
      </c>
      <c r="B31" t="s">
        <v>12</v>
      </c>
      <c r="C31" t="s">
        <v>25</v>
      </c>
      <c r="D31" t="s">
        <v>6</v>
      </c>
      <c r="E31" t="s">
        <v>7</v>
      </c>
      <c r="F31">
        <v>0</v>
      </c>
      <c r="G31" s="204">
        <v>44927</v>
      </c>
      <c r="H31" s="204" t="e">
        <f t="shared" si="0"/>
        <v>#NUM!</v>
      </c>
    </row>
    <row r="32" spans="1:8" x14ac:dyDescent="0.35">
      <c r="A32">
        <v>3</v>
      </c>
      <c r="B32" t="s">
        <v>13</v>
      </c>
      <c r="C32" t="s">
        <v>25</v>
      </c>
      <c r="D32" t="s">
        <v>6</v>
      </c>
      <c r="E32" t="s">
        <v>7</v>
      </c>
      <c r="F32">
        <v>0</v>
      </c>
      <c r="G32" s="204">
        <v>44927</v>
      </c>
      <c r="H32" s="204" t="e">
        <f t="shared" si="0"/>
        <v>#NUM!</v>
      </c>
    </row>
    <row r="33" spans="1:8" x14ac:dyDescent="0.35">
      <c r="A33">
        <v>7</v>
      </c>
      <c r="B33" t="s">
        <v>14</v>
      </c>
      <c r="C33" t="s">
        <v>25</v>
      </c>
      <c r="D33" t="s">
        <v>6</v>
      </c>
      <c r="E33" t="s">
        <v>7</v>
      </c>
      <c r="F33">
        <v>250</v>
      </c>
      <c r="G33" s="204">
        <v>44927</v>
      </c>
      <c r="H33" s="204" t="e">
        <f t="shared" si="0"/>
        <v>#NUM!</v>
      </c>
    </row>
    <row r="34" spans="1:8" x14ac:dyDescent="0.35">
      <c r="A34">
        <v>9</v>
      </c>
      <c r="B34" t="s">
        <v>15</v>
      </c>
      <c r="C34" t="s">
        <v>25</v>
      </c>
      <c r="D34" t="s">
        <v>6</v>
      </c>
      <c r="E34" t="s">
        <v>7</v>
      </c>
      <c r="F34">
        <v>-18.181818181818183</v>
      </c>
      <c r="G34" s="204">
        <v>44927</v>
      </c>
      <c r="H34" s="204" t="e">
        <f t="shared" si="0"/>
        <v>#NUM!</v>
      </c>
    </row>
    <row r="35" spans="1:8" x14ac:dyDescent="0.35">
      <c r="A35">
        <v>1</v>
      </c>
      <c r="B35" t="s">
        <v>16</v>
      </c>
      <c r="C35" t="s">
        <v>25</v>
      </c>
      <c r="D35" t="s">
        <v>6</v>
      </c>
      <c r="E35" t="s">
        <v>7</v>
      </c>
      <c r="F35">
        <v>0</v>
      </c>
      <c r="G35" s="204">
        <v>44927</v>
      </c>
      <c r="H35" s="204" t="e">
        <f t="shared" si="0"/>
        <v>#NUM!</v>
      </c>
    </row>
    <row r="36" spans="1:8" x14ac:dyDescent="0.35">
      <c r="A36">
        <v>2</v>
      </c>
      <c r="B36" t="s">
        <v>17</v>
      </c>
      <c r="C36" t="s">
        <v>25</v>
      </c>
      <c r="D36" t="s">
        <v>6</v>
      </c>
      <c r="E36" t="s">
        <v>7</v>
      </c>
      <c r="F36">
        <v>-33.333333333333329</v>
      </c>
      <c r="G36" s="204">
        <v>44927</v>
      </c>
      <c r="H36" s="204" t="e">
        <f t="shared" si="0"/>
        <v>#NUM!</v>
      </c>
    </row>
    <row r="37" spans="1:8" x14ac:dyDescent="0.35">
      <c r="A37">
        <v>3</v>
      </c>
      <c r="B37" t="s">
        <v>18</v>
      </c>
      <c r="C37" t="s">
        <v>25</v>
      </c>
      <c r="D37" t="s">
        <v>6</v>
      </c>
      <c r="E37" t="s">
        <v>7</v>
      </c>
      <c r="F37">
        <v>-50</v>
      </c>
      <c r="G37" s="204">
        <v>44927</v>
      </c>
      <c r="H37" s="204" t="e">
        <f t="shared" si="0"/>
        <v>#NUM!</v>
      </c>
    </row>
    <row r="38" spans="1:8" x14ac:dyDescent="0.35">
      <c r="A38">
        <v>3</v>
      </c>
      <c r="B38" t="s">
        <v>10</v>
      </c>
      <c r="C38" t="s">
        <v>26</v>
      </c>
      <c r="D38" t="s">
        <v>6</v>
      </c>
      <c r="E38" t="s">
        <v>7</v>
      </c>
      <c r="F38">
        <v>-25</v>
      </c>
      <c r="G38" s="204">
        <v>44927</v>
      </c>
      <c r="H38" s="204" t="e">
        <f t="shared" si="0"/>
        <v>#NUM!</v>
      </c>
    </row>
    <row r="39" spans="1:8" x14ac:dyDescent="0.35">
      <c r="A39">
        <v>0</v>
      </c>
      <c r="B39" t="s">
        <v>11</v>
      </c>
      <c r="C39" t="s">
        <v>26</v>
      </c>
      <c r="D39" t="s">
        <v>6</v>
      </c>
      <c r="E39" t="s">
        <v>7</v>
      </c>
      <c r="F39">
        <v>0</v>
      </c>
      <c r="G39" s="204">
        <v>44927</v>
      </c>
      <c r="H39" s="204" t="e">
        <f t="shared" si="0"/>
        <v>#NUM!</v>
      </c>
    </row>
    <row r="40" spans="1:8" x14ac:dyDescent="0.35">
      <c r="A40">
        <v>0</v>
      </c>
      <c r="B40" t="s">
        <v>12</v>
      </c>
      <c r="C40" t="s">
        <v>26</v>
      </c>
      <c r="D40" t="s">
        <v>6</v>
      </c>
      <c r="E40" t="s">
        <v>7</v>
      </c>
      <c r="F40">
        <v>0</v>
      </c>
      <c r="G40" s="204">
        <v>44927</v>
      </c>
      <c r="H40" s="204" t="e">
        <f t="shared" si="0"/>
        <v>#NUM!</v>
      </c>
    </row>
    <row r="41" spans="1:8" x14ac:dyDescent="0.35">
      <c r="A41">
        <v>0</v>
      </c>
      <c r="B41" t="s">
        <v>13</v>
      </c>
      <c r="C41" t="s">
        <v>26</v>
      </c>
      <c r="D41" t="s">
        <v>6</v>
      </c>
      <c r="E41" t="s">
        <v>7</v>
      </c>
      <c r="F41">
        <v>0</v>
      </c>
      <c r="G41" s="204">
        <v>44927</v>
      </c>
      <c r="H41" s="204" t="e">
        <f t="shared" si="0"/>
        <v>#NUM!</v>
      </c>
    </row>
    <row r="42" spans="1:8" x14ac:dyDescent="0.35">
      <c r="A42">
        <v>0</v>
      </c>
      <c r="B42" t="s">
        <v>14</v>
      </c>
      <c r="C42" t="s">
        <v>26</v>
      </c>
      <c r="D42" t="s">
        <v>6</v>
      </c>
      <c r="E42" t="s">
        <v>7</v>
      </c>
      <c r="F42">
        <v>0</v>
      </c>
      <c r="G42" s="204">
        <v>44927</v>
      </c>
      <c r="H42" s="204" t="e">
        <f t="shared" si="0"/>
        <v>#NUM!</v>
      </c>
    </row>
    <row r="43" spans="1:8" x14ac:dyDescent="0.35">
      <c r="A43">
        <v>0</v>
      </c>
      <c r="B43" t="s">
        <v>15</v>
      </c>
      <c r="C43" t="s">
        <v>26</v>
      </c>
      <c r="D43" t="s">
        <v>6</v>
      </c>
      <c r="E43" t="s">
        <v>7</v>
      </c>
      <c r="F43">
        <v>0</v>
      </c>
      <c r="G43" s="204">
        <v>44927</v>
      </c>
      <c r="H43" s="204" t="e">
        <f t="shared" si="0"/>
        <v>#NUM!</v>
      </c>
    </row>
    <row r="44" spans="1:8" x14ac:dyDescent="0.35">
      <c r="A44">
        <v>0</v>
      </c>
      <c r="B44" t="s">
        <v>16</v>
      </c>
      <c r="C44" t="s">
        <v>26</v>
      </c>
      <c r="D44" t="s">
        <v>6</v>
      </c>
      <c r="E44" t="s">
        <v>7</v>
      </c>
      <c r="F44">
        <v>0</v>
      </c>
      <c r="G44" s="204">
        <v>44927</v>
      </c>
      <c r="H44" s="204" t="e">
        <f t="shared" si="0"/>
        <v>#NUM!</v>
      </c>
    </row>
    <row r="45" spans="1:8" x14ac:dyDescent="0.35">
      <c r="A45">
        <v>0</v>
      </c>
      <c r="B45" t="s">
        <v>17</v>
      </c>
      <c r="C45" t="s">
        <v>26</v>
      </c>
      <c r="D45" t="s">
        <v>6</v>
      </c>
      <c r="E45" t="s">
        <v>7</v>
      </c>
      <c r="F45">
        <v>0</v>
      </c>
      <c r="G45" s="204">
        <v>44927</v>
      </c>
      <c r="H45" s="204" t="e">
        <f t="shared" si="0"/>
        <v>#NUM!</v>
      </c>
    </row>
    <row r="46" spans="1:8" x14ac:dyDescent="0.35">
      <c r="A46">
        <v>0</v>
      </c>
      <c r="B46" t="s">
        <v>18</v>
      </c>
      <c r="C46" t="s">
        <v>26</v>
      </c>
      <c r="D46" t="s">
        <v>6</v>
      </c>
      <c r="E46" t="s">
        <v>7</v>
      </c>
      <c r="F46">
        <v>0</v>
      </c>
      <c r="G46" s="204">
        <v>44927</v>
      </c>
      <c r="H46" s="204" t="e">
        <f t="shared" si="0"/>
        <v>#NUM!</v>
      </c>
    </row>
    <row r="47" spans="1:8" x14ac:dyDescent="0.35">
      <c r="A47">
        <v>12</v>
      </c>
      <c r="B47" t="s">
        <v>10</v>
      </c>
      <c r="C47" t="s">
        <v>27</v>
      </c>
      <c r="D47" t="s">
        <v>6</v>
      </c>
      <c r="E47" t="s">
        <v>7</v>
      </c>
      <c r="F47">
        <v>-33.333333333333329</v>
      </c>
      <c r="G47" s="204">
        <v>44927</v>
      </c>
      <c r="H47" s="204" t="e">
        <f t="shared" si="0"/>
        <v>#NUM!</v>
      </c>
    </row>
    <row r="48" spans="1:8" x14ac:dyDescent="0.35">
      <c r="A48">
        <v>3</v>
      </c>
      <c r="B48" t="s">
        <v>11</v>
      </c>
      <c r="C48" t="s">
        <v>27</v>
      </c>
      <c r="D48" t="s">
        <v>6</v>
      </c>
      <c r="E48" t="s">
        <v>7</v>
      </c>
      <c r="F48">
        <v>200</v>
      </c>
      <c r="G48" s="204">
        <v>44927</v>
      </c>
      <c r="H48" s="204" t="e">
        <f t="shared" si="0"/>
        <v>#NUM!</v>
      </c>
    </row>
    <row r="49" spans="1:8" x14ac:dyDescent="0.35">
      <c r="A49">
        <v>1</v>
      </c>
      <c r="B49" t="s">
        <v>12</v>
      </c>
      <c r="C49" t="s">
        <v>27</v>
      </c>
      <c r="D49" t="s">
        <v>6</v>
      </c>
      <c r="E49" t="s">
        <v>7</v>
      </c>
      <c r="F49">
        <v>1</v>
      </c>
      <c r="G49" s="204">
        <v>44927</v>
      </c>
      <c r="H49" s="204" t="e">
        <f t="shared" si="0"/>
        <v>#NUM!</v>
      </c>
    </row>
    <row r="50" spans="1:8" x14ac:dyDescent="0.35">
      <c r="A50">
        <v>2</v>
      </c>
      <c r="B50" t="s">
        <v>13</v>
      </c>
      <c r="C50" t="s">
        <v>27</v>
      </c>
      <c r="D50" t="s">
        <v>6</v>
      </c>
      <c r="E50" t="s">
        <v>7</v>
      </c>
      <c r="F50">
        <v>2</v>
      </c>
      <c r="G50" s="204">
        <v>44927</v>
      </c>
      <c r="H50" s="204" t="e">
        <f t="shared" si="0"/>
        <v>#NUM!</v>
      </c>
    </row>
    <row r="51" spans="1:8" x14ac:dyDescent="0.35">
      <c r="A51">
        <v>0</v>
      </c>
      <c r="B51" t="s">
        <v>14</v>
      </c>
      <c r="C51" t="s">
        <v>27</v>
      </c>
      <c r="D51" t="s">
        <v>6</v>
      </c>
      <c r="E51" t="s">
        <v>7</v>
      </c>
      <c r="F51">
        <v>-100</v>
      </c>
      <c r="G51" s="204">
        <v>44927</v>
      </c>
      <c r="H51" s="204" t="e">
        <f t="shared" si="0"/>
        <v>#NUM!</v>
      </c>
    </row>
    <row r="52" spans="1:8" x14ac:dyDescent="0.35">
      <c r="A52">
        <v>0</v>
      </c>
      <c r="B52" t="s">
        <v>15</v>
      </c>
      <c r="C52" t="s">
        <v>27</v>
      </c>
      <c r="D52" t="s">
        <v>6</v>
      </c>
      <c r="E52" t="s">
        <v>7</v>
      </c>
      <c r="F52">
        <v>0</v>
      </c>
      <c r="G52" s="204">
        <v>44927</v>
      </c>
      <c r="H52" s="204" t="e">
        <f t="shared" si="0"/>
        <v>#NUM!</v>
      </c>
    </row>
    <row r="53" spans="1:8" x14ac:dyDescent="0.35">
      <c r="A53">
        <v>0</v>
      </c>
      <c r="B53" t="s">
        <v>16</v>
      </c>
      <c r="C53" t="s">
        <v>27</v>
      </c>
      <c r="D53" t="s">
        <v>6</v>
      </c>
      <c r="E53" t="s">
        <v>7</v>
      </c>
      <c r="F53">
        <v>0</v>
      </c>
      <c r="G53" s="204">
        <v>44927</v>
      </c>
      <c r="H53" s="204" t="e">
        <f t="shared" si="0"/>
        <v>#NUM!</v>
      </c>
    </row>
    <row r="54" spans="1:8" x14ac:dyDescent="0.35">
      <c r="A54">
        <v>2</v>
      </c>
      <c r="B54" t="s">
        <v>17</v>
      </c>
      <c r="C54" t="s">
        <v>27</v>
      </c>
      <c r="D54" t="s">
        <v>6</v>
      </c>
      <c r="E54" t="s">
        <v>7</v>
      </c>
      <c r="F54">
        <v>2</v>
      </c>
      <c r="G54" s="204">
        <v>44927</v>
      </c>
      <c r="H54" s="204" t="e">
        <f t="shared" si="0"/>
        <v>#NUM!</v>
      </c>
    </row>
    <row r="55" spans="1:8" x14ac:dyDescent="0.35">
      <c r="A55">
        <v>1</v>
      </c>
      <c r="B55" t="s">
        <v>18</v>
      </c>
      <c r="C55" t="s">
        <v>27</v>
      </c>
      <c r="D55" t="s">
        <v>6</v>
      </c>
      <c r="E55" t="s">
        <v>7</v>
      </c>
      <c r="F55">
        <v>1</v>
      </c>
      <c r="G55" s="204">
        <v>44927</v>
      </c>
      <c r="H55" s="204" t="e">
        <f t="shared" si="0"/>
        <v>#NUM!</v>
      </c>
    </row>
    <row r="56" spans="1:8" x14ac:dyDescent="0.35">
      <c r="A56">
        <v>1664</v>
      </c>
      <c r="B56" t="s">
        <v>10</v>
      </c>
      <c r="C56" t="s">
        <v>28</v>
      </c>
      <c r="D56" t="s">
        <v>6</v>
      </c>
      <c r="E56" t="s">
        <v>8</v>
      </c>
      <c r="F56">
        <v>75.342465753424662</v>
      </c>
      <c r="G56" s="204">
        <v>44927</v>
      </c>
      <c r="H56" s="204" t="e">
        <f t="shared" si="0"/>
        <v>#NUM!</v>
      </c>
    </row>
    <row r="57" spans="1:8" x14ac:dyDescent="0.35">
      <c r="A57">
        <v>124</v>
      </c>
      <c r="B57" t="s">
        <v>11</v>
      </c>
      <c r="C57" t="s">
        <v>28</v>
      </c>
      <c r="D57" t="s">
        <v>6</v>
      </c>
      <c r="E57" t="s">
        <v>8</v>
      </c>
      <c r="F57">
        <v>-9.4890510948905096</v>
      </c>
      <c r="G57" s="204">
        <v>44927</v>
      </c>
      <c r="H57" s="204" t="e">
        <f t="shared" si="0"/>
        <v>#NUM!</v>
      </c>
    </row>
    <row r="58" spans="1:8" x14ac:dyDescent="0.35">
      <c r="A58">
        <v>94</v>
      </c>
      <c r="B58" t="s">
        <v>12</v>
      </c>
      <c r="C58" t="s">
        <v>28</v>
      </c>
      <c r="D58" t="s">
        <v>6</v>
      </c>
      <c r="E58" t="s">
        <v>8</v>
      </c>
      <c r="F58">
        <v>-29.323308270676691</v>
      </c>
      <c r="G58" s="204">
        <v>44927</v>
      </c>
      <c r="H58" s="204" t="e">
        <f t="shared" si="0"/>
        <v>#NUM!</v>
      </c>
    </row>
    <row r="59" spans="1:8" x14ac:dyDescent="0.35">
      <c r="A59">
        <v>178</v>
      </c>
      <c r="B59" t="s">
        <v>13</v>
      </c>
      <c r="C59" t="s">
        <v>28</v>
      </c>
      <c r="D59" t="s">
        <v>6</v>
      </c>
      <c r="E59" t="s">
        <v>8</v>
      </c>
      <c r="F59">
        <v>2.8901734104046244</v>
      </c>
      <c r="G59" s="204">
        <v>44927</v>
      </c>
      <c r="H59" s="204" t="e">
        <f t="shared" si="0"/>
        <v>#NUM!</v>
      </c>
    </row>
    <row r="60" spans="1:8" x14ac:dyDescent="0.35">
      <c r="A60">
        <v>120</v>
      </c>
      <c r="B60" t="s">
        <v>14</v>
      </c>
      <c r="C60" t="s">
        <v>28</v>
      </c>
      <c r="D60" t="s">
        <v>6</v>
      </c>
      <c r="E60" t="s">
        <v>8</v>
      </c>
      <c r="F60">
        <v>30.434782608695656</v>
      </c>
      <c r="G60" s="204">
        <v>44927</v>
      </c>
      <c r="H60" s="204" t="e">
        <f t="shared" si="0"/>
        <v>#NUM!</v>
      </c>
    </row>
    <row r="61" spans="1:8" x14ac:dyDescent="0.35">
      <c r="A61">
        <v>103</v>
      </c>
      <c r="B61" t="s">
        <v>15</v>
      </c>
      <c r="C61" t="s">
        <v>28</v>
      </c>
      <c r="D61" t="s">
        <v>6</v>
      </c>
      <c r="E61" t="s">
        <v>8</v>
      </c>
      <c r="F61">
        <v>-5.5045871559633035</v>
      </c>
      <c r="G61" s="204">
        <v>44927</v>
      </c>
      <c r="H61" s="204" t="e">
        <f t="shared" si="0"/>
        <v>#NUM!</v>
      </c>
    </row>
    <row r="62" spans="1:8" x14ac:dyDescent="0.35">
      <c r="A62">
        <v>153</v>
      </c>
      <c r="B62" t="s">
        <v>16</v>
      </c>
      <c r="C62" t="s">
        <v>28</v>
      </c>
      <c r="D62" t="s">
        <v>6</v>
      </c>
      <c r="E62" t="s">
        <v>8</v>
      </c>
      <c r="F62">
        <v>28.571428571428569</v>
      </c>
      <c r="G62" s="204">
        <v>44927</v>
      </c>
      <c r="H62" s="204" t="e">
        <f t="shared" si="0"/>
        <v>#NUM!</v>
      </c>
    </row>
    <row r="63" spans="1:8" x14ac:dyDescent="0.35">
      <c r="A63">
        <v>229</v>
      </c>
      <c r="B63" t="s">
        <v>17</v>
      </c>
      <c r="C63" t="s">
        <v>28</v>
      </c>
      <c r="D63" t="s">
        <v>6</v>
      </c>
      <c r="E63" t="s">
        <v>8</v>
      </c>
      <c r="F63">
        <v>222.53521126760566</v>
      </c>
      <c r="G63" s="204">
        <v>44927</v>
      </c>
      <c r="H63" s="204" t="e">
        <f t="shared" si="0"/>
        <v>#NUM!</v>
      </c>
    </row>
    <row r="64" spans="1:8" x14ac:dyDescent="0.35">
      <c r="A64">
        <v>126</v>
      </c>
      <c r="B64" t="s">
        <v>18</v>
      </c>
      <c r="C64" t="s">
        <v>28</v>
      </c>
      <c r="D64" t="s">
        <v>6</v>
      </c>
      <c r="E64" t="s">
        <v>8</v>
      </c>
      <c r="F64">
        <v>-13.698630136986301</v>
      </c>
      <c r="G64" s="204">
        <v>44927</v>
      </c>
      <c r="H64" s="204" t="e">
        <f t="shared" si="0"/>
        <v>#NUM!</v>
      </c>
    </row>
    <row r="65" spans="1:8" x14ac:dyDescent="0.35">
      <c r="A65">
        <v>374</v>
      </c>
      <c r="B65" t="s">
        <v>10</v>
      </c>
      <c r="C65" t="s">
        <v>29</v>
      </c>
      <c r="D65" t="s">
        <v>6</v>
      </c>
      <c r="E65" t="s">
        <v>8</v>
      </c>
      <c r="F65">
        <v>6.25</v>
      </c>
      <c r="G65" s="204">
        <v>44927</v>
      </c>
      <c r="H65" s="204" t="e">
        <f t="shared" si="0"/>
        <v>#NUM!</v>
      </c>
    </row>
    <row r="66" spans="1:8" x14ac:dyDescent="0.35">
      <c r="A66">
        <v>53</v>
      </c>
      <c r="B66" t="s">
        <v>11</v>
      </c>
      <c r="C66" t="s">
        <v>29</v>
      </c>
      <c r="D66" t="s">
        <v>6</v>
      </c>
      <c r="E66" t="s">
        <v>8</v>
      </c>
      <c r="F66">
        <v>55.882352941176471</v>
      </c>
      <c r="G66" s="204">
        <v>44927</v>
      </c>
      <c r="H66" s="204" t="e">
        <f t="shared" si="0"/>
        <v>#NUM!</v>
      </c>
    </row>
    <row r="67" spans="1:8" x14ac:dyDescent="0.35">
      <c r="A67">
        <v>74</v>
      </c>
      <c r="B67" t="s">
        <v>12</v>
      </c>
      <c r="C67" t="s">
        <v>29</v>
      </c>
      <c r="D67" t="s">
        <v>6</v>
      </c>
      <c r="E67" t="s">
        <v>8</v>
      </c>
      <c r="F67">
        <v>117.64705882352942</v>
      </c>
      <c r="G67" s="204">
        <v>44927</v>
      </c>
      <c r="H67" s="204" t="e">
        <f t="shared" ref="G67:H130" si="1">DATE(G67,1,1)</f>
        <v>#NUM!</v>
      </c>
    </row>
    <row r="68" spans="1:8" x14ac:dyDescent="0.35">
      <c r="A68">
        <v>37</v>
      </c>
      <c r="B68" t="s">
        <v>13</v>
      </c>
      <c r="C68" t="s">
        <v>29</v>
      </c>
      <c r="D68" t="s">
        <v>6</v>
      </c>
      <c r="E68" t="s">
        <v>8</v>
      </c>
      <c r="F68">
        <v>-22.916666666666664</v>
      </c>
      <c r="G68" s="204">
        <v>44927</v>
      </c>
      <c r="H68" s="204" t="e">
        <f t="shared" si="1"/>
        <v>#NUM!</v>
      </c>
    </row>
    <row r="69" spans="1:8" x14ac:dyDescent="0.35">
      <c r="A69">
        <v>17</v>
      </c>
      <c r="B69" t="s">
        <v>14</v>
      </c>
      <c r="C69" t="s">
        <v>29</v>
      </c>
      <c r="D69" t="s">
        <v>6</v>
      </c>
      <c r="E69" t="s">
        <v>8</v>
      </c>
      <c r="F69">
        <v>-10.526315789473683</v>
      </c>
      <c r="G69" s="204">
        <v>44927</v>
      </c>
      <c r="H69" s="204" t="e">
        <f t="shared" si="1"/>
        <v>#NUM!</v>
      </c>
    </row>
    <row r="70" spans="1:8" x14ac:dyDescent="0.35">
      <c r="A70">
        <v>25</v>
      </c>
      <c r="B70" t="s">
        <v>15</v>
      </c>
      <c r="C70" t="s">
        <v>29</v>
      </c>
      <c r="D70" t="s">
        <v>6</v>
      </c>
      <c r="E70" t="s">
        <v>8</v>
      </c>
      <c r="F70">
        <v>-21.875</v>
      </c>
      <c r="G70" s="204">
        <v>44927</v>
      </c>
      <c r="H70" s="204" t="e">
        <f t="shared" si="1"/>
        <v>#NUM!</v>
      </c>
    </row>
    <row r="71" spans="1:8" x14ac:dyDescent="0.35">
      <c r="A71">
        <v>53</v>
      </c>
      <c r="B71" t="s">
        <v>16</v>
      </c>
      <c r="C71" t="s">
        <v>29</v>
      </c>
      <c r="D71" t="s">
        <v>6</v>
      </c>
      <c r="E71" t="s">
        <v>8</v>
      </c>
      <c r="F71">
        <v>-17.1875</v>
      </c>
      <c r="G71" s="204">
        <v>44927</v>
      </c>
      <c r="H71" s="204" t="e">
        <f t="shared" si="1"/>
        <v>#NUM!</v>
      </c>
    </row>
    <row r="72" spans="1:8" x14ac:dyDescent="0.35">
      <c r="A72">
        <v>25</v>
      </c>
      <c r="B72" t="s">
        <v>17</v>
      </c>
      <c r="C72" t="s">
        <v>29</v>
      </c>
      <c r="D72" t="s">
        <v>6</v>
      </c>
      <c r="E72" t="s">
        <v>8</v>
      </c>
      <c r="F72">
        <v>13.636363636363635</v>
      </c>
      <c r="G72" s="204">
        <v>44927</v>
      </c>
      <c r="H72" s="204" t="e">
        <f t="shared" si="1"/>
        <v>#NUM!</v>
      </c>
    </row>
    <row r="73" spans="1:8" x14ac:dyDescent="0.35">
      <c r="A73">
        <v>34</v>
      </c>
      <c r="B73" t="s">
        <v>18</v>
      </c>
      <c r="C73" t="s">
        <v>29</v>
      </c>
      <c r="D73" t="s">
        <v>6</v>
      </c>
      <c r="E73" t="s">
        <v>8</v>
      </c>
      <c r="F73">
        <v>-24.444444444444443</v>
      </c>
      <c r="G73" s="204">
        <v>44927</v>
      </c>
      <c r="H73" s="204" t="e">
        <f t="shared" si="1"/>
        <v>#NUM!</v>
      </c>
    </row>
    <row r="74" spans="1:8" x14ac:dyDescent="0.35">
      <c r="A74">
        <v>88</v>
      </c>
      <c r="B74" t="s">
        <v>10</v>
      </c>
      <c r="C74" t="s">
        <v>30</v>
      </c>
      <c r="D74" t="s">
        <v>6</v>
      </c>
      <c r="E74" t="s">
        <v>8</v>
      </c>
      <c r="F74">
        <v>72.549019607843135</v>
      </c>
      <c r="G74" s="204">
        <v>44927</v>
      </c>
      <c r="H74" s="204" t="e">
        <f t="shared" si="1"/>
        <v>#NUM!</v>
      </c>
    </row>
    <row r="75" spans="1:8" x14ac:dyDescent="0.35">
      <c r="A75">
        <v>6</v>
      </c>
      <c r="B75" t="s">
        <v>11</v>
      </c>
      <c r="C75" t="s">
        <v>30</v>
      </c>
      <c r="D75" t="s">
        <v>6</v>
      </c>
      <c r="E75" t="s">
        <v>8</v>
      </c>
      <c r="F75">
        <v>-71.428571428571431</v>
      </c>
      <c r="G75" s="204">
        <v>44927</v>
      </c>
      <c r="H75" s="204" t="e">
        <f t="shared" si="1"/>
        <v>#NUM!</v>
      </c>
    </row>
    <row r="76" spans="1:8" x14ac:dyDescent="0.35">
      <c r="A76">
        <v>4</v>
      </c>
      <c r="B76" t="s">
        <v>12</v>
      </c>
      <c r="C76" t="s">
        <v>30</v>
      </c>
      <c r="D76" t="s">
        <v>6</v>
      </c>
      <c r="E76" t="s">
        <v>8</v>
      </c>
      <c r="F76">
        <v>-60</v>
      </c>
      <c r="G76" s="204">
        <v>44927</v>
      </c>
      <c r="H76" s="204" t="e">
        <f t="shared" si="1"/>
        <v>#NUM!</v>
      </c>
    </row>
    <row r="77" spans="1:8" x14ac:dyDescent="0.35">
      <c r="A77">
        <v>12</v>
      </c>
      <c r="B77" t="s">
        <v>13</v>
      </c>
      <c r="C77" t="s">
        <v>30</v>
      </c>
      <c r="D77" t="s">
        <v>6</v>
      </c>
      <c r="E77" t="s">
        <v>8</v>
      </c>
      <c r="F77">
        <v>71.428571428571431</v>
      </c>
      <c r="G77" s="204">
        <v>44927</v>
      </c>
      <c r="H77" s="204" t="e">
        <f t="shared" si="1"/>
        <v>#NUM!</v>
      </c>
    </row>
    <row r="78" spans="1:8" x14ac:dyDescent="0.35">
      <c r="A78">
        <v>15</v>
      </c>
      <c r="B78" t="s">
        <v>14</v>
      </c>
      <c r="C78" t="s">
        <v>30</v>
      </c>
      <c r="D78" t="s">
        <v>6</v>
      </c>
      <c r="E78" t="s">
        <v>8</v>
      </c>
      <c r="F78">
        <v>66.666666666666657</v>
      </c>
      <c r="G78" s="204">
        <v>44927</v>
      </c>
      <c r="H78" s="204" t="e">
        <f t="shared" si="1"/>
        <v>#NUM!</v>
      </c>
    </row>
    <row r="79" spans="1:8" x14ac:dyDescent="0.35">
      <c r="A79">
        <v>9</v>
      </c>
      <c r="B79" t="s">
        <v>15</v>
      </c>
      <c r="C79" t="s">
        <v>30</v>
      </c>
      <c r="D79" t="s">
        <v>6</v>
      </c>
      <c r="E79" t="s">
        <v>8</v>
      </c>
      <c r="F79">
        <v>-50</v>
      </c>
      <c r="G79" s="204">
        <v>44927</v>
      </c>
      <c r="H79" s="204" t="e">
        <f t="shared" si="1"/>
        <v>#NUM!</v>
      </c>
    </row>
    <row r="80" spans="1:8" x14ac:dyDescent="0.35">
      <c r="A80">
        <v>23</v>
      </c>
      <c r="B80" t="s">
        <v>16</v>
      </c>
      <c r="C80" t="s">
        <v>30</v>
      </c>
      <c r="D80" t="s">
        <v>6</v>
      </c>
      <c r="E80" t="s">
        <v>8</v>
      </c>
      <c r="F80">
        <v>109.09090909090908</v>
      </c>
      <c r="G80" s="204">
        <v>44927</v>
      </c>
      <c r="H80" s="204" t="e">
        <f t="shared" si="1"/>
        <v>#NUM!</v>
      </c>
    </row>
    <row r="81" spans="1:8" x14ac:dyDescent="0.35">
      <c r="A81">
        <v>6</v>
      </c>
      <c r="B81" t="s">
        <v>17</v>
      </c>
      <c r="C81" t="s">
        <v>30</v>
      </c>
      <c r="D81" t="s">
        <v>6</v>
      </c>
      <c r="E81" t="s">
        <v>8</v>
      </c>
      <c r="F81">
        <v>-53.846153846153847</v>
      </c>
      <c r="G81" s="204">
        <v>44927</v>
      </c>
      <c r="H81" s="204" t="e">
        <f t="shared" si="1"/>
        <v>#NUM!</v>
      </c>
    </row>
    <row r="82" spans="1:8" x14ac:dyDescent="0.35">
      <c r="A82">
        <v>16</v>
      </c>
      <c r="B82" t="s">
        <v>18</v>
      </c>
      <c r="C82" t="s">
        <v>30</v>
      </c>
      <c r="D82" t="s">
        <v>6</v>
      </c>
      <c r="E82" t="s">
        <v>8</v>
      </c>
      <c r="F82">
        <v>-5.8823529411764701</v>
      </c>
      <c r="G82" s="204">
        <v>44927</v>
      </c>
      <c r="H82" s="204" t="e">
        <f t="shared" si="1"/>
        <v>#NUM!</v>
      </c>
    </row>
    <row r="83" spans="1:8" x14ac:dyDescent="0.35">
      <c r="A83">
        <v>5</v>
      </c>
      <c r="B83" t="s">
        <v>10</v>
      </c>
      <c r="C83" t="s">
        <v>31</v>
      </c>
      <c r="D83" t="s">
        <v>6</v>
      </c>
      <c r="E83" t="s">
        <v>8</v>
      </c>
      <c r="F83">
        <v>-66.666666666666657</v>
      </c>
      <c r="G83" s="204">
        <v>44927</v>
      </c>
      <c r="H83" s="204" t="e">
        <f t="shared" si="1"/>
        <v>#NUM!</v>
      </c>
    </row>
    <row r="84" spans="1:8" x14ac:dyDescent="0.35">
      <c r="A84">
        <v>9</v>
      </c>
      <c r="B84" t="s">
        <v>11</v>
      </c>
      <c r="C84" t="s">
        <v>31</v>
      </c>
      <c r="D84" t="s">
        <v>6</v>
      </c>
      <c r="E84" t="s">
        <v>8</v>
      </c>
      <c r="F84">
        <v>80</v>
      </c>
      <c r="G84" s="204">
        <v>44927</v>
      </c>
      <c r="H84" s="204" t="e">
        <f t="shared" si="1"/>
        <v>#NUM!</v>
      </c>
    </row>
    <row r="85" spans="1:8" x14ac:dyDescent="0.35">
      <c r="A85">
        <v>0</v>
      </c>
      <c r="B85" t="s">
        <v>12</v>
      </c>
      <c r="C85" t="s">
        <v>31</v>
      </c>
      <c r="D85" t="s">
        <v>6</v>
      </c>
      <c r="E85" t="s">
        <v>8</v>
      </c>
      <c r="F85">
        <v>-100</v>
      </c>
      <c r="G85" s="204">
        <v>44927</v>
      </c>
      <c r="H85" s="204" t="e">
        <f t="shared" si="1"/>
        <v>#NUM!</v>
      </c>
    </row>
    <row r="86" spans="1:8" x14ac:dyDescent="0.35">
      <c r="A86">
        <v>0</v>
      </c>
      <c r="B86" t="s">
        <v>13</v>
      </c>
      <c r="C86" t="s">
        <v>31</v>
      </c>
      <c r="D86" t="s">
        <v>6</v>
      </c>
      <c r="E86" t="s">
        <v>8</v>
      </c>
      <c r="F86">
        <v>0</v>
      </c>
      <c r="G86" s="204">
        <v>44927</v>
      </c>
      <c r="H86" s="204" t="e">
        <f t="shared" si="1"/>
        <v>#NUM!</v>
      </c>
    </row>
    <row r="87" spans="1:8" x14ac:dyDescent="0.35">
      <c r="A87">
        <v>1</v>
      </c>
      <c r="B87" t="s">
        <v>14</v>
      </c>
      <c r="C87" t="s">
        <v>31</v>
      </c>
      <c r="D87" t="s">
        <v>6</v>
      </c>
      <c r="E87" t="s">
        <v>8</v>
      </c>
      <c r="F87">
        <v>1</v>
      </c>
      <c r="G87" s="204">
        <v>44927</v>
      </c>
      <c r="H87" s="204" t="e">
        <f t="shared" si="1"/>
        <v>#NUM!</v>
      </c>
    </row>
    <row r="88" spans="1:8" x14ac:dyDescent="0.35">
      <c r="A88">
        <v>0</v>
      </c>
      <c r="B88" t="s">
        <v>15</v>
      </c>
      <c r="C88" t="s">
        <v>31</v>
      </c>
      <c r="D88" t="s">
        <v>6</v>
      </c>
      <c r="E88" t="s">
        <v>8</v>
      </c>
      <c r="F88">
        <v>0</v>
      </c>
      <c r="G88" s="204">
        <v>44927</v>
      </c>
      <c r="H88" s="204" t="e">
        <f t="shared" si="1"/>
        <v>#NUM!</v>
      </c>
    </row>
    <row r="89" spans="1:8" x14ac:dyDescent="0.35">
      <c r="A89">
        <v>3</v>
      </c>
      <c r="B89" t="s">
        <v>16</v>
      </c>
      <c r="C89" t="s">
        <v>31</v>
      </c>
      <c r="D89" t="s">
        <v>6</v>
      </c>
      <c r="E89" t="s">
        <v>8</v>
      </c>
      <c r="F89">
        <v>3</v>
      </c>
      <c r="G89" s="204">
        <v>44927</v>
      </c>
      <c r="H89" s="204" t="e">
        <f t="shared" si="1"/>
        <v>#NUM!</v>
      </c>
    </row>
    <row r="90" spans="1:8" x14ac:dyDescent="0.35">
      <c r="A90">
        <v>0</v>
      </c>
      <c r="B90" t="s">
        <v>17</v>
      </c>
      <c r="C90" t="s">
        <v>31</v>
      </c>
      <c r="D90" t="s">
        <v>6</v>
      </c>
      <c r="E90" t="s">
        <v>8</v>
      </c>
      <c r="F90">
        <v>-100</v>
      </c>
      <c r="G90" s="204">
        <v>44927</v>
      </c>
      <c r="H90" s="204" t="e">
        <f t="shared" si="1"/>
        <v>#NUM!</v>
      </c>
    </row>
    <row r="91" spans="1:8" x14ac:dyDescent="0.35">
      <c r="A91">
        <v>1</v>
      </c>
      <c r="B91" t="s">
        <v>18</v>
      </c>
      <c r="C91" t="s">
        <v>31</v>
      </c>
      <c r="D91" t="s">
        <v>6</v>
      </c>
      <c r="E91" t="s">
        <v>8</v>
      </c>
      <c r="F91">
        <v>1</v>
      </c>
      <c r="G91" s="204">
        <v>44927</v>
      </c>
      <c r="H91" s="204" t="e">
        <f t="shared" si="1"/>
        <v>#NUM!</v>
      </c>
    </row>
    <row r="92" spans="1:8" x14ac:dyDescent="0.35">
      <c r="A92">
        <v>1833</v>
      </c>
      <c r="B92" t="s">
        <v>10</v>
      </c>
      <c r="C92" t="s">
        <v>32</v>
      </c>
      <c r="D92" t="s">
        <v>6</v>
      </c>
      <c r="E92" t="s">
        <v>8</v>
      </c>
      <c r="F92">
        <v>41.763341067285381</v>
      </c>
      <c r="G92" s="204">
        <v>44927</v>
      </c>
      <c r="H92" s="204" t="e">
        <f t="shared" si="1"/>
        <v>#NUM!</v>
      </c>
    </row>
    <row r="93" spans="1:8" x14ac:dyDescent="0.35">
      <c r="A93">
        <v>288</v>
      </c>
      <c r="B93" t="s">
        <v>11</v>
      </c>
      <c r="C93" t="s">
        <v>32</v>
      </c>
      <c r="D93" t="s">
        <v>6</v>
      </c>
      <c r="E93" t="s">
        <v>8</v>
      </c>
      <c r="F93">
        <v>-14.285714285714285</v>
      </c>
      <c r="G93" s="204">
        <v>44927</v>
      </c>
      <c r="H93" s="204" t="e">
        <f t="shared" si="1"/>
        <v>#NUM!</v>
      </c>
    </row>
    <row r="94" spans="1:8" x14ac:dyDescent="0.35">
      <c r="A94">
        <v>205</v>
      </c>
      <c r="B94" t="s">
        <v>12</v>
      </c>
      <c r="C94" t="s">
        <v>32</v>
      </c>
      <c r="D94" t="s">
        <v>6</v>
      </c>
      <c r="E94" t="s">
        <v>8</v>
      </c>
      <c r="F94">
        <v>0</v>
      </c>
      <c r="G94" s="204">
        <v>44927</v>
      </c>
      <c r="H94" s="204" t="e">
        <f t="shared" si="1"/>
        <v>#NUM!</v>
      </c>
    </row>
    <row r="95" spans="1:8" x14ac:dyDescent="0.35">
      <c r="A95">
        <v>258</v>
      </c>
      <c r="B95" t="s">
        <v>13</v>
      </c>
      <c r="C95" t="s">
        <v>32</v>
      </c>
      <c r="D95" t="s">
        <v>6</v>
      </c>
      <c r="E95" t="s">
        <v>8</v>
      </c>
      <c r="F95">
        <v>-2.6415094339622645</v>
      </c>
      <c r="G95" s="204">
        <v>44927</v>
      </c>
      <c r="H95" s="204" t="e">
        <f t="shared" si="1"/>
        <v>#NUM!</v>
      </c>
    </row>
    <row r="96" spans="1:8" x14ac:dyDescent="0.35">
      <c r="A96">
        <v>258</v>
      </c>
      <c r="B96" t="s">
        <v>14</v>
      </c>
      <c r="C96" t="s">
        <v>32</v>
      </c>
      <c r="D96" t="s">
        <v>6</v>
      </c>
      <c r="E96" t="s">
        <v>8</v>
      </c>
      <c r="F96">
        <v>7.9497907949790791</v>
      </c>
      <c r="G96" s="204">
        <v>44927</v>
      </c>
      <c r="H96" s="204" t="e">
        <f t="shared" si="1"/>
        <v>#NUM!</v>
      </c>
    </row>
    <row r="97" spans="1:8" x14ac:dyDescent="0.35">
      <c r="A97">
        <v>187</v>
      </c>
      <c r="B97" t="s">
        <v>15</v>
      </c>
      <c r="C97" t="s">
        <v>32</v>
      </c>
      <c r="D97" t="s">
        <v>6</v>
      </c>
      <c r="E97" t="s">
        <v>8</v>
      </c>
      <c r="F97">
        <v>-6.0301507537688437</v>
      </c>
      <c r="G97" s="204">
        <v>44927</v>
      </c>
      <c r="H97" s="204" t="e">
        <f t="shared" si="1"/>
        <v>#NUM!</v>
      </c>
    </row>
    <row r="98" spans="1:8" x14ac:dyDescent="0.35">
      <c r="A98">
        <v>258</v>
      </c>
      <c r="B98" t="s">
        <v>16</v>
      </c>
      <c r="C98" t="s">
        <v>32</v>
      </c>
      <c r="D98" t="s">
        <v>6</v>
      </c>
      <c r="E98" t="s">
        <v>8</v>
      </c>
      <c r="F98">
        <v>10.256410256410255</v>
      </c>
      <c r="G98" s="204">
        <v>44927</v>
      </c>
      <c r="H98" s="204" t="e">
        <f t="shared" si="1"/>
        <v>#NUM!</v>
      </c>
    </row>
    <row r="99" spans="1:8" x14ac:dyDescent="0.35">
      <c r="A99">
        <v>204</v>
      </c>
      <c r="B99" t="s">
        <v>17</v>
      </c>
      <c r="C99" t="s">
        <v>32</v>
      </c>
      <c r="D99" t="s">
        <v>6</v>
      </c>
      <c r="E99" t="s">
        <v>8</v>
      </c>
      <c r="F99">
        <v>68.59504132231406</v>
      </c>
      <c r="G99" s="204">
        <v>44927</v>
      </c>
      <c r="H99" s="204" t="e">
        <f t="shared" si="1"/>
        <v>#NUM!</v>
      </c>
    </row>
    <row r="100" spans="1:8" x14ac:dyDescent="0.35">
      <c r="A100">
        <v>246</v>
      </c>
      <c r="B100" t="s">
        <v>18</v>
      </c>
      <c r="C100" t="s">
        <v>32</v>
      </c>
      <c r="D100" t="s">
        <v>6</v>
      </c>
      <c r="E100" t="s">
        <v>8</v>
      </c>
      <c r="F100">
        <v>-28.901734104046245</v>
      </c>
      <c r="G100" s="204">
        <v>44927</v>
      </c>
      <c r="H100" s="204" t="e">
        <f t="shared" si="1"/>
        <v>#NUM!</v>
      </c>
    </row>
    <row r="101" spans="1:8" x14ac:dyDescent="0.35">
      <c r="A101">
        <v>462</v>
      </c>
      <c r="B101" t="s">
        <v>10</v>
      </c>
      <c r="C101" t="s">
        <v>33</v>
      </c>
      <c r="D101" t="s">
        <v>6</v>
      </c>
      <c r="E101" t="s">
        <v>8</v>
      </c>
      <c r="F101">
        <v>-14.285714285714285</v>
      </c>
      <c r="G101" s="204">
        <v>44927</v>
      </c>
      <c r="H101" s="204" t="e">
        <f t="shared" si="1"/>
        <v>#NUM!</v>
      </c>
    </row>
    <row r="102" spans="1:8" x14ac:dyDescent="0.35">
      <c r="A102">
        <v>20</v>
      </c>
      <c r="B102" t="s">
        <v>11</v>
      </c>
      <c r="C102" t="s">
        <v>33</v>
      </c>
      <c r="D102" t="s">
        <v>6</v>
      </c>
      <c r="E102" t="s">
        <v>8</v>
      </c>
      <c r="F102">
        <v>-72.222222222222214</v>
      </c>
      <c r="G102" s="204">
        <v>44927</v>
      </c>
      <c r="H102" s="204" t="e">
        <f t="shared" si="1"/>
        <v>#NUM!</v>
      </c>
    </row>
    <row r="103" spans="1:8" x14ac:dyDescent="0.35">
      <c r="A103">
        <v>139</v>
      </c>
      <c r="B103" t="s">
        <v>12</v>
      </c>
      <c r="C103" t="s">
        <v>33</v>
      </c>
      <c r="D103" t="s">
        <v>6</v>
      </c>
      <c r="E103" t="s">
        <v>8</v>
      </c>
      <c r="F103">
        <v>71.604938271604937</v>
      </c>
      <c r="G103" s="204">
        <v>44927</v>
      </c>
      <c r="H103" s="204" t="e">
        <f t="shared" si="1"/>
        <v>#NUM!</v>
      </c>
    </row>
    <row r="104" spans="1:8" x14ac:dyDescent="0.35">
      <c r="A104">
        <v>44</v>
      </c>
      <c r="B104" t="s">
        <v>13</v>
      </c>
      <c r="C104" t="s">
        <v>33</v>
      </c>
      <c r="D104" t="s">
        <v>6</v>
      </c>
      <c r="E104" t="s">
        <v>8</v>
      </c>
      <c r="F104">
        <v>10</v>
      </c>
      <c r="G104" s="204">
        <v>44927</v>
      </c>
      <c r="H104" s="204" t="e">
        <f t="shared" si="1"/>
        <v>#NUM!</v>
      </c>
    </row>
    <row r="105" spans="1:8" x14ac:dyDescent="0.35">
      <c r="A105">
        <v>65</v>
      </c>
      <c r="B105" t="s">
        <v>14</v>
      </c>
      <c r="C105" t="s">
        <v>33</v>
      </c>
      <c r="D105" t="s">
        <v>6</v>
      </c>
      <c r="E105" t="s">
        <v>8</v>
      </c>
      <c r="F105">
        <v>-33.673469387755098</v>
      </c>
      <c r="G105" s="204">
        <v>44927</v>
      </c>
      <c r="H105" s="204" t="e">
        <f t="shared" si="1"/>
        <v>#NUM!</v>
      </c>
    </row>
    <row r="106" spans="1:8" x14ac:dyDescent="0.35">
      <c r="A106">
        <v>62</v>
      </c>
      <c r="B106" t="s">
        <v>15</v>
      </c>
      <c r="C106" t="s">
        <v>33</v>
      </c>
      <c r="D106" t="s">
        <v>6</v>
      </c>
      <c r="E106" t="s">
        <v>8</v>
      </c>
      <c r="F106">
        <v>-31.868131868131865</v>
      </c>
      <c r="G106" s="204">
        <v>44927</v>
      </c>
      <c r="H106" s="204" t="e">
        <f t="shared" si="1"/>
        <v>#NUM!</v>
      </c>
    </row>
    <row r="107" spans="1:8" x14ac:dyDescent="0.35">
      <c r="A107">
        <v>55</v>
      </c>
      <c r="B107" t="s">
        <v>16</v>
      </c>
      <c r="C107" t="s">
        <v>33</v>
      </c>
      <c r="D107" t="s">
        <v>6</v>
      </c>
      <c r="E107" t="s">
        <v>8</v>
      </c>
      <c r="F107">
        <v>-1.7857142857142856</v>
      </c>
      <c r="G107" s="204">
        <v>44927</v>
      </c>
      <c r="H107" s="204" t="e">
        <f t="shared" si="1"/>
        <v>#NUM!</v>
      </c>
    </row>
    <row r="108" spans="1:8" x14ac:dyDescent="0.35">
      <c r="A108">
        <v>20</v>
      </c>
      <c r="B108" t="s">
        <v>17</v>
      </c>
      <c r="C108" t="s">
        <v>33</v>
      </c>
      <c r="D108" t="s">
        <v>6</v>
      </c>
      <c r="E108" t="s">
        <v>8</v>
      </c>
      <c r="F108">
        <v>-89.304812834224606</v>
      </c>
      <c r="G108" s="204">
        <v>44927</v>
      </c>
      <c r="H108" s="204" t="e">
        <f t="shared" si="1"/>
        <v>#NUM!</v>
      </c>
    </row>
    <row r="109" spans="1:8" x14ac:dyDescent="0.35">
      <c r="A109">
        <v>110</v>
      </c>
      <c r="B109" t="s">
        <v>18</v>
      </c>
      <c r="C109" t="s">
        <v>33</v>
      </c>
      <c r="D109" t="s">
        <v>6</v>
      </c>
      <c r="E109" t="s">
        <v>8</v>
      </c>
      <c r="F109">
        <v>-25.675675675675674</v>
      </c>
      <c r="G109" s="204">
        <v>44927</v>
      </c>
      <c r="H109" s="204" t="e">
        <f t="shared" si="1"/>
        <v>#NUM!</v>
      </c>
    </row>
    <row r="110" spans="1:8" x14ac:dyDescent="0.35">
      <c r="A110">
        <v>402</v>
      </c>
      <c r="B110" t="s">
        <v>10</v>
      </c>
      <c r="C110" t="s">
        <v>34</v>
      </c>
      <c r="D110" t="s">
        <v>6</v>
      </c>
      <c r="E110" t="s">
        <v>8</v>
      </c>
      <c r="F110">
        <v>-3.132530120481928</v>
      </c>
      <c r="G110" s="204">
        <v>44927</v>
      </c>
      <c r="H110" s="204" t="e">
        <f t="shared" si="1"/>
        <v>#NUM!</v>
      </c>
    </row>
    <row r="111" spans="1:8" x14ac:dyDescent="0.35">
      <c r="A111">
        <v>38</v>
      </c>
      <c r="B111" t="s">
        <v>11</v>
      </c>
      <c r="C111" t="s">
        <v>34</v>
      </c>
      <c r="D111" t="s">
        <v>6</v>
      </c>
      <c r="E111" t="s">
        <v>8</v>
      </c>
      <c r="F111">
        <v>153.33333333333334</v>
      </c>
      <c r="G111" s="204">
        <v>44927</v>
      </c>
      <c r="H111" s="204" t="e">
        <f t="shared" si="1"/>
        <v>#NUM!</v>
      </c>
    </row>
    <row r="112" spans="1:8" x14ac:dyDescent="0.35">
      <c r="A112">
        <v>54</v>
      </c>
      <c r="B112" t="s">
        <v>12</v>
      </c>
      <c r="C112" t="s">
        <v>34</v>
      </c>
      <c r="D112" t="s">
        <v>6</v>
      </c>
      <c r="E112" t="s">
        <v>8</v>
      </c>
      <c r="F112">
        <v>1.8867924528301887</v>
      </c>
      <c r="G112" s="204">
        <v>44927</v>
      </c>
      <c r="H112" s="204" t="e">
        <f t="shared" si="1"/>
        <v>#NUM!</v>
      </c>
    </row>
    <row r="113" spans="1:8" x14ac:dyDescent="0.35">
      <c r="A113">
        <v>45</v>
      </c>
      <c r="B113" t="s">
        <v>13</v>
      </c>
      <c r="C113" t="s">
        <v>34</v>
      </c>
      <c r="D113" t="s">
        <v>6</v>
      </c>
      <c r="E113" t="s">
        <v>8</v>
      </c>
      <c r="F113">
        <v>-4.2553191489361701</v>
      </c>
      <c r="G113" s="204">
        <v>44927</v>
      </c>
      <c r="H113" s="204" t="e">
        <f t="shared" si="1"/>
        <v>#NUM!</v>
      </c>
    </row>
    <row r="114" spans="1:8" x14ac:dyDescent="0.35">
      <c r="A114">
        <v>8</v>
      </c>
      <c r="B114" t="s">
        <v>14</v>
      </c>
      <c r="C114" t="s">
        <v>34</v>
      </c>
      <c r="D114" t="s">
        <v>6</v>
      </c>
      <c r="E114" t="s">
        <v>8</v>
      </c>
      <c r="F114">
        <v>-90.243902439024396</v>
      </c>
      <c r="G114" s="204">
        <v>44927</v>
      </c>
      <c r="H114" s="204" t="e">
        <f t="shared" si="1"/>
        <v>#NUM!</v>
      </c>
    </row>
    <row r="115" spans="1:8" x14ac:dyDescent="0.35">
      <c r="A115">
        <v>78</v>
      </c>
      <c r="B115" t="s">
        <v>15</v>
      </c>
      <c r="C115" t="s">
        <v>34</v>
      </c>
      <c r="D115" t="s">
        <v>6</v>
      </c>
      <c r="E115" t="s">
        <v>8</v>
      </c>
      <c r="F115">
        <v>143.75</v>
      </c>
      <c r="G115" s="204">
        <v>44927</v>
      </c>
      <c r="H115" s="204" t="e">
        <f t="shared" si="1"/>
        <v>#NUM!</v>
      </c>
    </row>
    <row r="116" spans="1:8" x14ac:dyDescent="0.35">
      <c r="A116">
        <v>29</v>
      </c>
      <c r="B116" t="s">
        <v>16</v>
      </c>
      <c r="C116" t="s">
        <v>34</v>
      </c>
      <c r="D116" t="s">
        <v>6</v>
      </c>
      <c r="E116" t="s">
        <v>8</v>
      </c>
      <c r="F116">
        <v>-60.810810810810814</v>
      </c>
      <c r="G116" s="204">
        <v>44927</v>
      </c>
      <c r="H116" s="204" t="e">
        <f t="shared" si="1"/>
        <v>#NUM!</v>
      </c>
    </row>
    <row r="117" spans="1:8" x14ac:dyDescent="0.35">
      <c r="A117">
        <v>110</v>
      </c>
      <c r="B117" t="s">
        <v>17</v>
      </c>
      <c r="C117" t="s">
        <v>34</v>
      </c>
      <c r="D117" t="s">
        <v>6</v>
      </c>
      <c r="E117" t="s">
        <v>8</v>
      </c>
      <c r="F117">
        <v>1275</v>
      </c>
      <c r="G117" s="204">
        <v>44927</v>
      </c>
      <c r="H117" s="204" t="e">
        <f t="shared" si="1"/>
        <v>#NUM!</v>
      </c>
    </row>
    <row r="118" spans="1:8" x14ac:dyDescent="0.35">
      <c r="A118">
        <v>22</v>
      </c>
      <c r="B118" t="s">
        <v>18</v>
      </c>
      <c r="C118" t="s">
        <v>34</v>
      </c>
      <c r="D118" t="s">
        <v>6</v>
      </c>
      <c r="E118" t="s">
        <v>8</v>
      </c>
      <c r="F118">
        <v>-65.625</v>
      </c>
      <c r="G118" s="204">
        <v>44927</v>
      </c>
      <c r="H118" s="204" t="e">
        <f t="shared" si="1"/>
        <v>#NUM!</v>
      </c>
    </row>
    <row r="119" spans="1:8" x14ac:dyDescent="0.35">
      <c r="A119">
        <v>87</v>
      </c>
      <c r="B119" t="s">
        <v>10</v>
      </c>
      <c r="C119" t="s">
        <v>22</v>
      </c>
      <c r="D119" t="s">
        <v>5</v>
      </c>
      <c r="E119" t="s">
        <v>7</v>
      </c>
      <c r="F119">
        <v>4.8192771084337354</v>
      </c>
      <c r="G119" s="204">
        <v>44562</v>
      </c>
      <c r="H119" s="204" t="e">
        <f t="shared" si="1"/>
        <v>#NUM!</v>
      </c>
    </row>
    <row r="120" spans="1:8" x14ac:dyDescent="0.35">
      <c r="A120">
        <v>2</v>
      </c>
      <c r="B120" t="s">
        <v>11</v>
      </c>
      <c r="C120" t="s">
        <v>22</v>
      </c>
      <c r="D120" t="s">
        <v>5</v>
      </c>
      <c r="E120" t="s">
        <v>7</v>
      </c>
      <c r="F120">
        <v>2</v>
      </c>
      <c r="G120" s="204">
        <v>44562</v>
      </c>
      <c r="H120" s="204" t="e">
        <f t="shared" si="1"/>
        <v>#NUM!</v>
      </c>
    </row>
    <row r="121" spans="1:8" x14ac:dyDescent="0.35">
      <c r="A121">
        <v>3</v>
      </c>
      <c r="B121" t="s">
        <v>12</v>
      </c>
      <c r="C121" t="s">
        <v>22</v>
      </c>
      <c r="D121" t="s">
        <v>5</v>
      </c>
      <c r="E121" t="s">
        <v>7</v>
      </c>
      <c r="F121">
        <v>-62.5</v>
      </c>
      <c r="G121" s="204">
        <v>44562</v>
      </c>
      <c r="H121" s="204" t="e">
        <f t="shared" si="1"/>
        <v>#NUM!</v>
      </c>
    </row>
    <row r="122" spans="1:8" x14ac:dyDescent="0.35">
      <c r="A122">
        <v>7</v>
      </c>
      <c r="B122" t="s">
        <v>13</v>
      </c>
      <c r="C122" t="s">
        <v>22</v>
      </c>
      <c r="D122" t="s">
        <v>5</v>
      </c>
      <c r="E122" t="s">
        <v>7</v>
      </c>
      <c r="F122">
        <v>75</v>
      </c>
      <c r="G122" s="204">
        <v>44562</v>
      </c>
      <c r="H122" s="204" t="e">
        <f t="shared" si="1"/>
        <v>#NUM!</v>
      </c>
    </row>
    <row r="123" spans="1:8" x14ac:dyDescent="0.35">
      <c r="A123">
        <v>4</v>
      </c>
      <c r="B123" t="s">
        <v>14</v>
      </c>
      <c r="C123" t="s">
        <v>22</v>
      </c>
      <c r="D123" t="s">
        <v>5</v>
      </c>
      <c r="E123" t="s">
        <v>7</v>
      </c>
      <c r="F123">
        <v>4</v>
      </c>
      <c r="G123" s="204">
        <v>44562</v>
      </c>
      <c r="H123" s="204" t="e">
        <f t="shared" si="1"/>
        <v>#NUM!</v>
      </c>
    </row>
    <row r="124" spans="1:8" x14ac:dyDescent="0.35">
      <c r="A124">
        <v>5</v>
      </c>
      <c r="B124" t="s">
        <v>15</v>
      </c>
      <c r="C124" t="s">
        <v>22</v>
      </c>
      <c r="D124" t="s">
        <v>5</v>
      </c>
      <c r="E124" t="s">
        <v>7</v>
      </c>
      <c r="F124">
        <v>66.666666666666657</v>
      </c>
      <c r="G124" s="204">
        <v>44562</v>
      </c>
      <c r="H124" s="204" t="e">
        <f t="shared" si="1"/>
        <v>#NUM!</v>
      </c>
    </row>
    <row r="125" spans="1:8" x14ac:dyDescent="0.35">
      <c r="A125">
        <v>5</v>
      </c>
      <c r="B125" t="s">
        <v>16</v>
      </c>
      <c r="C125" t="s">
        <v>22</v>
      </c>
      <c r="D125" t="s">
        <v>5</v>
      </c>
      <c r="E125" t="s">
        <v>7</v>
      </c>
      <c r="F125">
        <v>66.666666666666657</v>
      </c>
      <c r="G125" s="204">
        <v>44562</v>
      </c>
      <c r="H125" s="204" t="e">
        <f t="shared" si="1"/>
        <v>#NUM!</v>
      </c>
    </row>
    <row r="126" spans="1:8" x14ac:dyDescent="0.35">
      <c r="A126">
        <v>1</v>
      </c>
      <c r="B126" t="s">
        <v>17</v>
      </c>
      <c r="C126" t="s">
        <v>22</v>
      </c>
      <c r="D126" t="s">
        <v>5</v>
      </c>
      <c r="E126" t="s">
        <v>7</v>
      </c>
      <c r="F126">
        <v>1</v>
      </c>
      <c r="G126" s="204">
        <v>44562</v>
      </c>
      <c r="H126" s="204" t="e">
        <f t="shared" si="1"/>
        <v>#NUM!</v>
      </c>
    </row>
    <row r="127" spans="1:8" x14ac:dyDescent="0.35">
      <c r="A127">
        <v>3</v>
      </c>
      <c r="B127" t="s">
        <v>18</v>
      </c>
      <c r="C127" t="s">
        <v>22</v>
      </c>
      <c r="D127" t="s">
        <v>5</v>
      </c>
      <c r="E127" t="s">
        <v>7</v>
      </c>
      <c r="F127">
        <v>200</v>
      </c>
      <c r="G127" s="204">
        <v>44562</v>
      </c>
      <c r="H127" s="204" t="e">
        <f t="shared" si="1"/>
        <v>#NUM!</v>
      </c>
    </row>
    <row r="128" spans="1:8" x14ac:dyDescent="0.35">
      <c r="A128">
        <v>56</v>
      </c>
      <c r="B128" t="s">
        <v>10</v>
      </c>
      <c r="C128" t="s">
        <v>23</v>
      </c>
      <c r="D128" t="s">
        <v>5</v>
      </c>
      <c r="E128" t="s">
        <v>7</v>
      </c>
      <c r="F128">
        <v>19.148936170212767</v>
      </c>
      <c r="G128" s="204">
        <v>44562</v>
      </c>
      <c r="H128" s="204" t="e">
        <f t="shared" si="1"/>
        <v>#NUM!</v>
      </c>
    </row>
    <row r="129" spans="1:8" x14ac:dyDescent="0.35">
      <c r="A129">
        <v>0</v>
      </c>
      <c r="B129" t="s">
        <v>11</v>
      </c>
      <c r="C129" t="s">
        <v>23</v>
      </c>
      <c r="D129" t="s">
        <v>5</v>
      </c>
      <c r="E129" t="s">
        <v>7</v>
      </c>
      <c r="F129">
        <v>0</v>
      </c>
      <c r="G129" s="204">
        <v>44562</v>
      </c>
      <c r="H129" s="204" t="e">
        <f t="shared" si="1"/>
        <v>#NUM!</v>
      </c>
    </row>
    <row r="130" spans="1:8" x14ac:dyDescent="0.35">
      <c r="A130">
        <v>0</v>
      </c>
      <c r="B130" t="s">
        <v>12</v>
      </c>
      <c r="C130" t="s">
        <v>23</v>
      </c>
      <c r="D130" t="s">
        <v>5</v>
      </c>
      <c r="E130" t="s">
        <v>7</v>
      </c>
      <c r="F130">
        <v>-100</v>
      </c>
      <c r="G130" s="204">
        <v>44562</v>
      </c>
      <c r="H130" s="204" t="e">
        <f t="shared" si="1"/>
        <v>#NUM!</v>
      </c>
    </row>
    <row r="131" spans="1:8" x14ac:dyDescent="0.35">
      <c r="A131">
        <v>4</v>
      </c>
      <c r="B131" t="s">
        <v>13</v>
      </c>
      <c r="C131" t="s">
        <v>23</v>
      </c>
      <c r="D131" t="s">
        <v>5</v>
      </c>
      <c r="E131" t="s">
        <v>7</v>
      </c>
      <c r="F131">
        <v>100</v>
      </c>
      <c r="G131" s="204">
        <v>44562</v>
      </c>
      <c r="H131" s="204" t="e">
        <f t="shared" ref="G131:H194" si="2">DATE(G131,1,1)</f>
        <v>#NUM!</v>
      </c>
    </row>
    <row r="132" spans="1:8" x14ac:dyDescent="0.35">
      <c r="A132">
        <v>0</v>
      </c>
      <c r="B132" t="s">
        <v>14</v>
      </c>
      <c r="C132" t="s">
        <v>23</v>
      </c>
      <c r="D132" t="s">
        <v>5</v>
      </c>
      <c r="E132" t="s">
        <v>7</v>
      </c>
      <c r="F132">
        <v>0</v>
      </c>
      <c r="G132" s="204">
        <v>44562</v>
      </c>
      <c r="H132" s="204" t="e">
        <f t="shared" si="2"/>
        <v>#NUM!</v>
      </c>
    </row>
    <row r="133" spans="1:8" x14ac:dyDescent="0.35">
      <c r="A133">
        <v>4</v>
      </c>
      <c r="B133" t="s">
        <v>15</v>
      </c>
      <c r="C133" t="s">
        <v>23</v>
      </c>
      <c r="D133" t="s">
        <v>5</v>
      </c>
      <c r="E133" t="s">
        <v>7</v>
      </c>
      <c r="F133">
        <v>300</v>
      </c>
      <c r="G133" s="204">
        <v>44562</v>
      </c>
      <c r="H133" s="204" t="e">
        <f t="shared" si="2"/>
        <v>#NUM!</v>
      </c>
    </row>
    <row r="134" spans="1:8" x14ac:dyDescent="0.35">
      <c r="A134">
        <v>0</v>
      </c>
      <c r="B134" t="s">
        <v>16</v>
      </c>
      <c r="C134" t="s">
        <v>23</v>
      </c>
      <c r="D134" t="s">
        <v>5</v>
      </c>
      <c r="E134" t="s">
        <v>7</v>
      </c>
      <c r="F134">
        <v>0</v>
      </c>
      <c r="G134" s="204">
        <v>44562</v>
      </c>
      <c r="H134" s="204" t="e">
        <f t="shared" si="2"/>
        <v>#NUM!</v>
      </c>
    </row>
    <row r="135" spans="1:8" x14ac:dyDescent="0.35">
      <c r="A135">
        <v>0</v>
      </c>
      <c r="B135" t="s">
        <v>17</v>
      </c>
      <c r="C135" t="s">
        <v>23</v>
      </c>
      <c r="D135" t="s">
        <v>5</v>
      </c>
      <c r="E135" t="s">
        <v>7</v>
      </c>
      <c r="F135">
        <v>0</v>
      </c>
      <c r="G135" s="204">
        <v>44562</v>
      </c>
      <c r="H135" s="204" t="e">
        <f t="shared" si="2"/>
        <v>#NUM!</v>
      </c>
    </row>
    <row r="136" spans="1:8" x14ac:dyDescent="0.35">
      <c r="A136">
        <v>0</v>
      </c>
      <c r="B136" t="s">
        <v>18</v>
      </c>
      <c r="C136" t="s">
        <v>23</v>
      </c>
      <c r="D136" t="s">
        <v>5</v>
      </c>
      <c r="E136" t="s">
        <v>7</v>
      </c>
      <c r="F136">
        <v>-100</v>
      </c>
      <c r="G136" s="204">
        <v>44562</v>
      </c>
      <c r="H136" s="204" t="e">
        <f t="shared" si="2"/>
        <v>#NUM!</v>
      </c>
    </row>
    <row r="137" spans="1:8" x14ac:dyDescent="0.35">
      <c r="A137">
        <v>21</v>
      </c>
      <c r="B137" t="s">
        <v>10</v>
      </c>
      <c r="C137" t="s">
        <v>24</v>
      </c>
      <c r="D137" t="s">
        <v>5</v>
      </c>
      <c r="E137" t="s">
        <v>7</v>
      </c>
      <c r="F137">
        <v>23.52941176470588</v>
      </c>
      <c r="G137" s="204">
        <v>44562</v>
      </c>
      <c r="H137" s="204" t="e">
        <f t="shared" si="2"/>
        <v>#NUM!</v>
      </c>
    </row>
    <row r="138" spans="1:8" x14ac:dyDescent="0.35">
      <c r="A138">
        <v>0</v>
      </c>
      <c r="B138" t="s">
        <v>11</v>
      </c>
      <c r="C138" t="s">
        <v>24</v>
      </c>
      <c r="D138" t="s">
        <v>5</v>
      </c>
      <c r="E138" t="s">
        <v>7</v>
      </c>
      <c r="F138">
        <v>0</v>
      </c>
      <c r="G138" s="204">
        <v>44562</v>
      </c>
      <c r="H138" s="204" t="e">
        <f t="shared" si="2"/>
        <v>#NUM!</v>
      </c>
    </row>
    <row r="139" spans="1:8" x14ac:dyDescent="0.35">
      <c r="A139">
        <v>3</v>
      </c>
      <c r="B139" t="s">
        <v>12</v>
      </c>
      <c r="C139" t="s">
        <v>24</v>
      </c>
      <c r="D139" t="s">
        <v>5</v>
      </c>
      <c r="E139" t="s">
        <v>7</v>
      </c>
      <c r="F139">
        <v>-25</v>
      </c>
      <c r="G139" s="204">
        <v>44562</v>
      </c>
      <c r="H139" s="204" t="e">
        <f t="shared" si="2"/>
        <v>#NUM!</v>
      </c>
    </row>
    <row r="140" spans="1:8" x14ac:dyDescent="0.35">
      <c r="A140">
        <v>1</v>
      </c>
      <c r="B140" t="s">
        <v>13</v>
      </c>
      <c r="C140" t="s">
        <v>24</v>
      </c>
      <c r="D140" t="s">
        <v>5</v>
      </c>
      <c r="E140" t="s">
        <v>7</v>
      </c>
      <c r="F140">
        <v>0</v>
      </c>
      <c r="G140" s="204">
        <v>44562</v>
      </c>
      <c r="H140" s="204" t="e">
        <f t="shared" si="2"/>
        <v>#NUM!</v>
      </c>
    </row>
    <row r="141" spans="1:8" x14ac:dyDescent="0.35">
      <c r="A141">
        <v>0</v>
      </c>
      <c r="B141" t="s">
        <v>14</v>
      </c>
      <c r="C141" t="s">
        <v>24</v>
      </c>
      <c r="D141" t="s">
        <v>5</v>
      </c>
      <c r="E141" t="s">
        <v>7</v>
      </c>
      <c r="F141">
        <v>-100</v>
      </c>
      <c r="G141" s="204">
        <v>44562</v>
      </c>
      <c r="H141" s="204" t="e">
        <f t="shared" si="2"/>
        <v>#NUM!</v>
      </c>
    </row>
    <row r="142" spans="1:8" x14ac:dyDescent="0.35">
      <c r="A142">
        <v>0</v>
      </c>
      <c r="B142" t="s">
        <v>15</v>
      </c>
      <c r="C142" t="s">
        <v>24</v>
      </c>
      <c r="D142" t="s">
        <v>5</v>
      </c>
      <c r="E142" t="s">
        <v>7</v>
      </c>
      <c r="F142">
        <v>0</v>
      </c>
      <c r="G142" s="204">
        <v>44562</v>
      </c>
      <c r="H142" s="204" t="e">
        <f t="shared" si="2"/>
        <v>#NUM!</v>
      </c>
    </row>
    <row r="143" spans="1:8" x14ac:dyDescent="0.35">
      <c r="A143">
        <v>1</v>
      </c>
      <c r="B143" t="s">
        <v>16</v>
      </c>
      <c r="C143" t="s">
        <v>24</v>
      </c>
      <c r="D143" t="s">
        <v>5</v>
      </c>
      <c r="E143" t="s">
        <v>7</v>
      </c>
      <c r="F143">
        <v>1</v>
      </c>
      <c r="G143" s="204">
        <v>44562</v>
      </c>
      <c r="H143" s="204" t="e">
        <f t="shared" si="2"/>
        <v>#NUM!</v>
      </c>
    </row>
    <row r="144" spans="1:8" x14ac:dyDescent="0.35">
      <c r="A144">
        <v>0</v>
      </c>
      <c r="B144" t="s">
        <v>17</v>
      </c>
      <c r="C144" t="s">
        <v>24</v>
      </c>
      <c r="D144" t="s">
        <v>5</v>
      </c>
      <c r="E144" t="s">
        <v>7</v>
      </c>
      <c r="F144">
        <v>0</v>
      </c>
      <c r="G144" s="204">
        <v>44562</v>
      </c>
      <c r="H144" s="204" t="e">
        <f t="shared" si="2"/>
        <v>#NUM!</v>
      </c>
    </row>
    <row r="145" spans="1:8" x14ac:dyDescent="0.35">
      <c r="A145">
        <v>2</v>
      </c>
      <c r="B145" t="s">
        <v>18</v>
      </c>
      <c r="C145" t="s">
        <v>24</v>
      </c>
      <c r="D145" t="s">
        <v>5</v>
      </c>
      <c r="E145" t="s">
        <v>7</v>
      </c>
      <c r="F145">
        <v>2</v>
      </c>
      <c r="G145" s="204">
        <v>44562</v>
      </c>
      <c r="H145" s="204" t="e">
        <f t="shared" si="2"/>
        <v>#NUM!</v>
      </c>
    </row>
    <row r="146" spans="1:8" x14ac:dyDescent="0.35">
      <c r="A146">
        <v>16</v>
      </c>
      <c r="B146" t="s">
        <v>10</v>
      </c>
      <c r="C146" t="s">
        <v>25</v>
      </c>
      <c r="D146" t="s">
        <v>5</v>
      </c>
      <c r="E146" t="s">
        <v>7</v>
      </c>
      <c r="F146">
        <v>-11.111111111111111</v>
      </c>
      <c r="G146" s="204">
        <v>44562</v>
      </c>
      <c r="H146" s="204" t="e">
        <f t="shared" si="2"/>
        <v>#NUM!</v>
      </c>
    </row>
    <row r="147" spans="1:8" x14ac:dyDescent="0.35">
      <c r="A147">
        <v>5</v>
      </c>
      <c r="B147" t="s">
        <v>11</v>
      </c>
      <c r="C147" t="s">
        <v>25</v>
      </c>
      <c r="D147" t="s">
        <v>5</v>
      </c>
      <c r="E147" t="s">
        <v>7</v>
      </c>
      <c r="F147">
        <v>150</v>
      </c>
      <c r="G147" s="204">
        <v>44562</v>
      </c>
      <c r="H147" s="204" t="e">
        <f t="shared" si="2"/>
        <v>#NUM!</v>
      </c>
    </row>
    <row r="148" spans="1:8" x14ac:dyDescent="0.35">
      <c r="A148">
        <v>3</v>
      </c>
      <c r="B148" t="s">
        <v>12</v>
      </c>
      <c r="C148" t="s">
        <v>25</v>
      </c>
      <c r="D148" t="s">
        <v>5</v>
      </c>
      <c r="E148" t="s">
        <v>7</v>
      </c>
      <c r="F148">
        <v>-25</v>
      </c>
      <c r="G148" s="204">
        <v>44562</v>
      </c>
      <c r="H148" s="204" t="e">
        <f t="shared" si="2"/>
        <v>#NUM!</v>
      </c>
    </row>
    <row r="149" spans="1:8" x14ac:dyDescent="0.35">
      <c r="A149">
        <v>3</v>
      </c>
      <c r="B149" t="s">
        <v>13</v>
      </c>
      <c r="C149" t="s">
        <v>25</v>
      </c>
      <c r="D149" t="s">
        <v>5</v>
      </c>
      <c r="E149" t="s">
        <v>7</v>
      </c>
      <c r="F149">
        <v>50</v>
      </c>
      <c r="G149" s="204">
        <v>44562</v>
      </c>
      <c r="H149" s="204" t="e">
        <f t="shared" si="2"/>
        <v>#NUM!</v>
      </c>
    </row>
    <row r="150" spans="1:8" x14ac:dyDescent="0.35">
      <c r="A150">
        <v>2</v>
      </c>
      <c r="B150" t="s">
        <v>14</v>
      </c>
      <c r="C150" t="s">
        <v>25</v>
      </c>
      <c r="D150" t="s">
        <v>5</v>
      </c>
      <c r="E150" t="s">
        <v>7</v>
      </c>
      <c r="F150">
        <v>-66.666666666666657</v>
      </c>
      <c r="G150" s="204">
        <v>44562</v>
      </c>
      <c r="H150" s="204" t="e">
        <f t="shared" si="2"/>
        <v>#NUM!</v>
      </c>
    </row>
    <row r="151" spans="1:8" x14ac:dyDescent="0.35">
      <c r="A151">
        <v>11</v>
      </c>
      <c r="B151" t="s">
        <v>15</v>
      </c>
      <c r="C151" t="s">
        <v>25</v>
      </c>
      <c r="D151" t="s">
        <v>5</v>
      </c>
      <c r="E151" t="s">
        <v>7</v>
      </c>
      <c r="F151">
        <v>266.66666666666663</v>
      </c>
      <c r="G151" s="204">
        <v>44562</v>
      </c>
      <c r="H151" s="204" t="e">
        <f t="shared" si="2"/>
        <v>#NUM!</v>
      </c>
    </row>
    <row r="152" spans="1:8" x14ac:dyDescent="0.35">
      <c r="A152">
        <v>1</v>
      </c>
      <c r="B152" t="s">
        <v>16</v>
      </c>
      <c r="C152" t="s">
        <v>25</v>
      </c>
      <c r="D152" t="s">
        <v>5</v>
      </c>
      <c r="E152" t="s">
        <v>7</v>
      </c>
      <c r="F152">
        <v>0</v>
      </c>
      <c r="G152" s="204">
        <v>44562</v>
      </c>
      <c r="H152" s="204" t="e">
        <f t="shared" si="2"/>
        <v>#NUM!</v>
      </c>
    </row>
    <row r="153" spans="1:8" x14ac:dyDescent="0.35">
      <c r="A153">
        <v>3</v>
      </c>
      <c r="B153" t="s">
        <v>17</v>
      </c>
      <c r="C153" t="s">
        <v>25</v>
      </c>
      <c r="D153" t="s">
        <v>5</v>
      </c>
      <c r="E153" t="s">
        <v>7</v>
      </c>
      <c r="F153">
        <v>-25</v>
      </c>
      <c r="G153" s="204">
        <v>44562</v>
      </c>
      <c r="H153" s="204" t="e">
        <f t="shared" si="2"/>
        <v>#NUM!</v>
      </c>
    </row>
    <row r="154" spans="1:8" x14ac:dyDescent="0.35">
      <c r="A154">
        <v>6</v>
      </c>
      <c r="B154" t="s">
        <v>18</v>
      </c>
      <c r="C154" t="s">
        <v>25</v>
      </c>
      <c r="D154" t="s">
        <v>5</v>
      </c>
      <c r="E154" t="s">
        <v>7</v>
      </c>
      <c r="F154">
        <v>0</v>
      </c>
      <c r="G154" s="204">
        <v>44562</v>
      </c>
      <c r="H154" s="204" t="e">
        <f t="shared" si="2"/>
        <v>#NUM!</v>
      </c>
    </row>
    <row r="155" spans="1:8" x14ac:dyDescent="0.35">
      <c r="A155">
        <v>4</v>
      </c>
      <c r="B155" t="s">
        <v>10</v>
      </c>
      <c r="C155" t="s">
        <v>26</v>
      </c>
      <c r="D155" t="s">
        <v>5</v>
      </c>
      <c r="E155" t="s">
        <v>7</v>
      </c>
      <c r="F155">
        <v>33.333333333333329</v>
      </c>
      <c r="G155" s="204">
        <v>44562</v>
      </c>
      <c r="H155" s="204" t="e">
        <f t="shared" si="2"/>
        <v>#NUM!</v>
      </c>
    </row>
    <row r="156" spans="1:8" x14ac:dyDescent="0.35">
      <c r="A156">
        <v>0</v>
      </c>
      <c r="B156" t="s">
        <v>11</v>
      </c>
      <c r="C156" t="s">
        <v>26</v>
      </c>
      <c r="D156" t="s">
        <v>5</v>
      </c>
      <c r="E156" t="s">
        <v>7</v>
      </c>
      <c r="F156">
        <v>0</v>
      </c>
      <c r="G156" s="204">
        <v>44562</v>
      </c>
      <c r="H156" s="204" t="e">
        <f t="shared" si="2"/>
        <v>#NUM!</v>
      </c>
    </row>
    <row r="157" spans="1:8" x14ac:dyDescent="0.35">
      <c r="A157">
        <v>0</v>
      </c>
      <c r="B157" t="s">
        <v>12</v>
      </c>
      <c r="C157" t="s">
        <v>26</v>
      </c>
      <c r="D157" t="s">
        <v>5</v>
      </c>
      <c r="E157" t="s">
        <v>7</v>
      </c>
      <c r="F157">
        <v>-100</v>
      </c>
      <c r="G157" s="204">
        <v>44562</v>
      </c>
      <c r="H157" s="204" t="e">
        <f t="shared" si="2"/>
        <v>#NUM!</v>
      </c>
    </row>
    <row r="158" spans="1:8" x14ac:dyDescent="0.35">
      <c r="A158">
        <v>0</v>
      </c>
      <c r="B158" t="s">
        <v>13</v>
      </c>
      <c r="C158" t="s">
        <v>26</v>
      </c>
      <c r="D158" t="s">
        <v>5</v>
      </c>
      <c r="E158" t="s">
        <v>7</v>
      </c>
      <c r="F158">
        <v>0</v>
      </c>
      <c r="G158" s="204">
        <v>44562</v>
      </c>
      <c r="H158" s="204" t="e">
        <f t="shared" si="2"/>
        <v>#NUM!</v>
      </c>
    </row>
    <row r="159" spans="1:8" x14ac:dyDescent="0.35">
      <c r="A159">
        <v>0</v>
      </c>
      <c r="B159" t="s">
        <v>14</v>
      </c>
      <c r="C159" t="s">
        <v>26</v>
      </c>
      <c r="D159" t="s">
        <v>5</v>
      </c>
      <c r="E159" t="s">
        <v>7</v>
      </c>
      <c r="F159">
        <v>0</v>
      </c>
      <c r="G159" s="204">
        <v>44562</v>
      </c>
      <c r="H159" s="204" t="e">
        <f t="shared" si="2"/>
        <v>#NUM!</v>
      </c>
    </row>
    <row r="160" spans="1:8" x14ac:dyDescent="0.35">
      <c r="A160">
        <v>0</v>
      </c>
      <c r="B160" t="s">
        <v>15</v>
      </c>
      <c r="C160" t="s">
        <v>26</v>
      </c>
      <c r="D160" t="s">
        <v>5</v>
      </c>
      <c r="E160" t="s">
        <v>7</v>
      </c>
      <c r="F160">
        <v>0</v>
      </c>
      <c r="G160" s="204">
        <v>44562</v>
      </c>
      <c r="H160" s="204" t="e">
        <f t="shared" si="2"/>
        <v>#NUM!</v>
      </c>
    </row>
    <row r="161" spans="1:8" x14ac:dyDescent="0.35">
      <c r="A161">
        <v>0</v>
      </c>
      <c r="B161" t="s">
        <v>16</v>
      </c>
      <c r="C161" t="s">
        <v>26</v>
      </c>
      <c r="D161" t="s">
        <v>5</v>
      </c>
      <c r="E161" t="s">
        <v>7</v>
      </c>
      <c r="F161">
        <v>0</v>
      </c>
      <c r="G161" s="204">
        <v>44562</v>
      </c>
      <c r="H161" s="204" t="e">
        <f t="shared" si="2"/>
        <v>#NUM!</v>
      </c>
    </row>
    <row r="162" spans="1:8" x14ac:dyDescent="0.35">
      <c r="A162">
        <v>0</v>
      </c>
      <c r="B162" t="s">
        <v>17</v>
      </c>
      <c r="C162" t="s">
        <v>26</v>
      </c>
      <c r="D162" t="s">
        <v>5</v>
      </c>
      <c r="E162" t="s">
        <v>7</v>
      </c>
      <c r="F162">
        <v>0</v>
      </c>
      <c r="G162" s="204">
        <v>44562</v>
      </c>
      <c r="H162" s="204" t="e">
        <f t="shared" si="2"/>
        <v>#NUM!</v>
      </c>
    </row>
    <row r="163" spans="1:8" x14ac:dyDescent="0.35">
      <c r="A163">
        <v>0</v>
      </c>
      <c r="B163" t="s">
        <v>18</v>
      </c>
      <c r="C163" t="s">
        <v>26</v>
      </c>
      <c r="D163" t="s">
        <v>5</v>
      </c>
      <c r="E163" t="s">
        <v>7</v>
      </c>
      <c r="F163">
        <v>0</v>
      </c>
      <c r="G163" s="204">
        <v>44562</v>
      </c>
      <c r="H163" s="204" t="e">
        <f t="shared" si="2"/>
        <v>#NUM!</v>
      </c>
    </row>
    <row r="164" spans="1:8" x14ac:dyDescent="0.35">
      <c r="A164">
        <v>18</v>
      </c>
      <c r="B164" t="s">
        <v>10</v>
      </c>
      <c r="C164" t="s">
        <v>27</v>
      </c>
      <c r="D164" t="s">
        <v>5</v>
      </c>
      <c r="E164" t="s">
        <v>7</v>
      </c>
      <c r="F164">
        <v>157.14285714285714</v>
      </c>
      <c r="G164" s="204">
        <v>44562</v>
      </c>
      <c r="H164" s="204" t="e">
        <f t="shared" si="2"/>
        <v>#NUM!</v>
      </c>
    </row>
    <row r="165" spans="1:8" x14ac:dyDescent="0.35">
      <c r="A165">
        <v>1</v>
      </c>
      <c r="B165" t="s">
        <v>11</v>
      </c>
      <c r="C165" t="s">
        <v>27</v>
      </c>
      <c r="D165" t="s">
        <v>5</v>
      </c>
      <c r="E165" t="s">
        <v>7</v>
      </c>
      <c r="F165">
        <v>0</v>
      </c>
      <c r="G165" s="204">
        <v>44562</v>
      </c>
      <c r="H165" s="204" t="e">
        <f t="shared" si="2"/>
        <v>#NUM!</v>
      </c>
    </row>
    <row r="166" spans="1:8" x14ac:dyDescent="0.35">
      <c r="A166">
        <v>0</v>
      </c>
      <c r="B166" t="s">
        <v>12</v>
      </c>
      <c r="C166" t="s">
        <v>27</v>
      </c>
      <c r="D166" t="s">
        <v>5</v>
      </c>
      <c r="E166" t="s">
        <v>7</v>
      </c>
      <c r="F166">
        <v>0</v>
      </c>
      <c r="G166" s="204">
        <v>44562</v>
      </c>
      <c r="H166" s="204" t="e">
        <f t="shared" si="2"/>
        <v>#NUM!</v>
      </c>
    </row>
    <row r="167" spans="1:8" x14ac:dyDescent="0.35">
      <c r="A167">
        <v>0</v>
      </c>
      <c r="B167" t="s">
        <v>13</v>
      </c>
      <c r="C167" t="s">
        <v>27</v>
      </c>
      <c r="D167" t="s">
        <v>5</v>
      </c>
      <c r="E167" t="s">
        <v>7</v>
      </c>
      <c r="F167">
        <v>0</v>
      </c>
      <c r="G167" s="204">
        <v>44562</v>
      </c>
      <c r="H167" s="204" t="e">
        <f t="shared" si="2"/>
        <v>#NUM!</v>
      </c>
    </row>
    <row r="168" spans="1:8" x14ac:dyDescent="0.35">
      <c r="A168">
        <v>1</v>
      </c>
      <c r="B168" t="s">
        <v>14</v>
      </c>
      <c r="C168" t="s">
        <v>27</v>
      </c>
      <c r="D168" t="s">
        <v>5</v>
      </c>
      <c r="E168" t="s">
        <v>7</v>
      </c>
      <c r="F168">
        <v>1</v>
      </c>
      <c r="G168" s="204">
        <v>44562</v>
      </c>
      <c r="H168" s="204" t="e">
        <f t="shared" si="2"/>
        <v>#NUM!</v>
      </c>
    </row>
    <row r="169" spans="1:8" x14ac:dyDescent="0.35">
      <c r="A169">
        <v>0</v>
      </c>
      <c r="B169" t="s">
        <v>15</v>
      </c>
      <c r="C169" t="s">
        <v>27</v>
      </c>
      <c r="D169" t="s">
        <v>5</v>
      </c>
      <c r="E169" t="s">
        <v>7</v>
      </c>
      <c r="F169">
        <v>0</v>
      </c>
      <c r="G169" s="204">
        <v>44562</v>
      </c>
      <c r="H169" s="204" t="e">
        <f t="shared" si="2"/>
        <v>#NUM!</v>
      </c>
    </row>
    <row r="170" spans="1:8" x14ac:dyDescent="0.35">
      <c r="A170">
        <v>0</v>
      </c>
      <c r="B170" t="s">
        <v>16</v>
      </c>
      <c r="C170" t="s">
        <v>27</v>
      </c>
      <c r="D170" t="s">
        <v>5</v>
      </c>
      <c r="E170" t="s">
        <v>7</v>
      </c>
      <c r="F170">
        <v>0</v>
      </c>
      <c r="G170" s="204">
        <v>44562</v>
      </c>
      <c r="H170" s="204" t="e">
        <f t="shared" si="2"/>
        <v>#NUM!</v>
      </c>
    </row>
    <row r="171" spans="1:8" x14ac:dyDescent="0.35">
      <c r="A171">
        <v>0</v>
      </c>
      <c r="B171" t="s">
        <v>17</v>
      </c>
      <c r="C171" t="s">
        <v>27</v>
      </c>
      <c r="D171" t="s">
        <v>5</v>
      </c>
      <c r="E171" t="s">
        <v>7</v>
      </c>
      <c r="F171">
        <v>-100</v>
      </c>
      <c r="G171" s="204">
        <v>44562</v>
      </c>
      <c r="H171" s="204" t="e">
        <f t="shared" si="2"/>
        <v>#NUM!</v>
      </c>
    </row>
    <row r="172" spans="1:8" x14ac:dyDescent="0.35">
      <c r="A172">
        <v>0</v>
      </c>
      <c r="B172" t="s">
        <v>18</v>
      </c>
      <c r="C172" t="s">
        <v>27</v>
      </c>
      <c r="D172" t="s">
        <v>5</v>
      </c>
      <c r="E172" t="s">
        <v>7</v>
      </c>
      <c r="F172">
        <v>0</v>
      </c>
      <c r="G172" s="204">
        <v>44562</v>
      </c>
      <c r="H172" s="204" t="e">
        <f t="shared" si="2"/>
        <v>#NUM!</v>
      </c>
    </row>
    <row r="173" spans="1:8" x14ac:dyDescent="0.35">
      <c r="A173">
        <v>949</v>
      </c>
      <c r="B173" t="s">
        <v>10</v>
      </c>
      <c r="C173" t="s">
        <v>28</v>
      </c>
      <c r="D173" t="s">
        <v>5</v>
      </c>
      <c r="E173" t="s">
        <v>8</v>
      </c>
      <c r="F173">
        <v>12.307692307692308</v>
      </c>
      <c r="G173" s="204">
        <v>44562</v>
      </c>
      <c r="H173" s="204" t="e">
        <f t="shared" si="2"/>
        <v>#NUM!</v>
      </c>
    </row>
    <row r="174" spans="1:8" x14ac:dyDescent="0.35">
      <c r="A174">
        <v>137</v>
      </c>
      <c r="B174" t="s">
        <v>11</v>
      </c>
      <c r="C174" t="s">
        <v>28</v>
      </c>
      <c r="D174" t="s">
        <v>5</v>
      </c>
      <c r="E174" t="s">
        <v>8</v>
      </c>
      <c r="F174">
        <v>85.13513513513513</v>
      </c>
      <c r="G174" s="204">
        <v>44562</v>
      </c>
      <c r="H174" s="204" t="e">
        <f t="shared" si="2"/>
        <v>#NUM!</v>
      </c>
    </row>
    <row r="175" spans="1:8" x14ac:dyDescent="0.35">
      <c r="A175">
        <v>133</v>
      </c>
      <c r="B175" t="s">
        <v>12</v>
      </c>
      <c r="C175" t="s">
        <v>28</v>
      </c>
      <c r="D175" t="s">
        <v>5</v>
      </c>
      <c r="E175" t="s">
        <v>8</v>
      </c>
      <c r="F175">
        <v>56.470588235294116</v>
      </c>
      <c r="G175" s="204">
        <v>44562</v>
      </c>
      <c r="H175" s="204" t="e">
        <f t="shared" si="2"/>
        <v>#NUM!</v>
      </c>
    </row>
    <row r="176" spans="1:8" x14ac:dyDescent="0.35">
      <c r="A176">
        <v>173</v>
      </c>
      <c r="B176" t="s">
        <v>13</v>
      </c>
      <c r="C176" t="s">
        <v>28</v>
      </c>
      <c r="D176" t="s">
        <v>5</v>
      </c>
      <c r="E176" t="s">
        <v>8</v>
      </c>
      <c r="F176">
        <v>-15.609756097560975</v>
      </c>
      <c r="G176" s="204">
        <v>44562</v>
      </c>
      <c r="H176" s="204" t="e">
        <f t="shared" si="2"/>
        <v>#NUM!</v>
      </c>
    </row>
    <row r="177" spans="1:8" x14ac:dyDescent="0.35">
      <c r="A177">
        <v>92</v>
      </c>
      <c r="B177" t="s">
        <v>14</v>
      </c>
      <c r="C177" t="s">
        <v>28</v>
      </c>
      <c r="D177" t="s">
        <v>5</v>
      </c>
      <c r="E177" t="s">
        <v>8</v>
      </c>
      <c r="F177">
        <v>-6.1224489795918364</v>
      </c>
      <c r="G177" s="204">
        <v>44562</v>
      </c>
      <c r="H177" s="204" t="e">
        <f t="shared" si="2"/>
        <v>#NUM!</v>
      </c>
    </row>
    <row r="178" spans="1:8" x14ac:dyDescent="0.35">
      <c r="A178">
        <v>109</v>
      </c>
      <c r="B178" t="s">
        <v>15</v>
      </c>
      <c r="C178" t="s">
        <v>28</v>
      </c>
      <c r="D178" t="s">
        <v>5</v>
      </c>
      <c r="E178" t="s">
        <v>8</v>
      </c>
      <c r="F178">
        <v>-11.38211382113821</v>
      </c>
      <c r="G178" s="204">
        <v>44562</v>
      </c>
      <c r="H178" s="204" t="e">
        <f t="shared" si="2"/>
        <v>#NUM!</v>
      </c>
    </row>
    <row r="179" spans="1:8" x14ac:dyDescent="0.35">
      <c r="A179">
        <v>119</v>
      </c>
      <c r="B179" t="s">
        <v>16</v>
      </c>
      <c r="C179" t="s">
        <v>28</v>
      </c>
      <c r="D179" t="s">
        <v>5</v>
      </c>
      <c r="E179" t="s">
        <v>8</v>
      </c>
      <c r="F179">
        <v>1.7094017094017095</v>
      </c>
      <c r="G179" s="204">
        <v>44562</v>
      </c>
      <c r="H179" s="204" t="e">
        <f t="shared" si="2"/>
        <v>#NUM!</v>
      </c>
    </row>
    <row r="180" spans="1:8" x14ac:dyDescent="0.35">
      <c r="A180">
        <v>71</v>
      </c>
      <c r="B180" t="s">
        <v>17</v>
      </c>
      <c r="C180" t="s">
        <v>28</v>
      </c>
      <c r="D180" t="s">
        <v>5</v>
      </c>
      <c r="E180" t="s">
        <v>8</v>
      </c>
      <c r="F180">
        <v>173.07692307692309</v>
      </c>
      <c r="G180" s="204">
        <v>44562</v>
      </c>
      <c r="H180" s="204" t="e">
        <f t="shared" si="2"/>
        <v>#NUM!</v>
      </c>
    </row>
    <row r="181" spans="1:8" x14ac:dyDescent="0.35">
      <c r="A181">
        <v>146</v>
      </c>
      <c r="B181" t="s">
        <v>18</v>
      </c>
      <c r="C181" t="s">
        <v>28</v>
      </c>
      <c r="D181" t="s">
        <v>5</v>
      </c>
      <c r="E181" t="s">
        <v>8</v>
      </c>
      <c r="F181">
        <v>14.0625</v>
      </c>
      <c r="G181" s="204">
        <v>44562</v>
      </c>
      <c r="H181" s="204" t="e">
        <f t="shared" si="2"/>
        <v>#NUM!</v>
      </c>
    </row>
    <row r="182" spans="1:8" x14ac:dyDescent="0.35">
      <c r="A182">
        <v>352</v>
      </c>
      <c r="B182" t="s">
        <v>10</v>
      </c>
      <c r="C182" t="s">
        <v>29</v>
      </c>
      <c r="D182" t="s">
        <v>5</v>
      </c>
      <c r="E182" t="s">
        <v>8</v>
      </c>
      <c r="F182">
        <v>18.120805369127517</v>
      </c>
      <c r="G182" s="204">
        <v>44562</v>
      </c>
      <c r="H182" s="204" t="e">
        <f t="shared" si="2"/>
        <v>#NUM!</v>
      </c>
    </row>
    <row r="183" spans="1:8" x14ac:dyDescent="0.35">
      <c r="A183">
        <v>34</v>
      </c>
      <c r="B183" t="s">
        <v>11</v>
      </c>
      <c r="C183" t="s">
        <v>29</v>
      </c>
      <c r="D183" t="s">
        <v>5</v>
      </c>
      <c r="E183" t="s">
        <v>8</v>
      </c>
      <c r="F183">
        <v>78.94736842105263</v>
      </c>
      <c r="G183" s="204">
        <v>44562</v>
      </c>
      <c r="H183" s="204" t="e">
        <f t="shared" si="2"/>
        <v>#NUM!</v>
      </c>
    </row>
    <row r="184" spans="1:8" x14ac:dyDescent="0.35">
      <c r="A184">
        <v>34</v>
      </c>
      <c r="B184" t="s">
        <v>12</v>
      </c>
      <c r="C184" t="s">
        <v>29</v>
      </c>
      <c r="D184" t="s">
        <v>5</v>
      </c>
      <c r="E184" t="s">
        <v>8</v>
      </c>
      <c r="F184">
        <v>112.5</v>
      </c>
      <c r="G184" s="204">
        <v>44562</v>
      </c>
      <c r="H184" s="204" t="e">
        <f t="shared" si="2"/>
        <v>#NUM!</v>
      </c>
    </row>
    <row r="185" spans="1:8" x14ac:dyDescent="0.35">
      <c r="A185">
        <v>48</v>
      </c>
      <c r="B185" t="s">
        <v>13</v>
      </c>
      <c r="C185" t="s">
        <v>29</v>
      </c>
      <c r="D185" t="s">
        <v>5</v>
      </c>
      <c r="E185" t="s">
        <v>8</v>
      </c>
      <c r="F185">
        <v>-38.461538461538467</v>
      </c>
      <c r="G185" s="204">
        <v>44562</v>
      </c>
      <c r="H185" s="204" t="e">
        <f t="shared" si="2"/>
        <v>#NUM!</v>
      </c>
    </row>
    <row r="186" spans="1:8" x14ac:dyDescent="0.35">
      <c r="A186">
        <v>19</v>
      </c>
      <c r="B186" t="s">
        <v>14</v>
      </c>
      <c r="C186" t="s">
        <v>29</v>
      </c>
      <c r="D186" t="s">
        <v>5</v>
      </c>
      <c r="E186" t="s">
        <v>8</v>
      </c>
      <c r="F186">
        <v>18.75</v>
      </c>
      <c r="G186" s="204">
        <v>44562</v>
      </c>
      <c r="H186" s="204" t="e">
        <f t="shared" si="2"/>
        <v>#NUM!</v>
      </c>
    </row>
    <row r="187" spans="1:8" x14ac:dyDescent="0.35">
      <c r="A187">
        <v>32</v>
      </c>
      <c r="B187" t="s">
        <v>15</v>
      </c>
      <c r="C187" t="s">
        <v>29</v>
      </c>
      <c r="D187" t="s">
        <v>5</v>
      </c>
      <c r="E187" t="s">
        <v>8</v>
      </c>
      <c r="F187">
        <v>-34.693877551020407</v>
      </c>
      <c r="G187" s="204">
        <v>44562</v>
      </c>
      <c r="H187" s="204" t="e">
        <f t="shared" si="2"/>
        <v>#NUM!</v>
      </c>
    </row>
    <row r="188" spans="1:8" x14ac:dyDescent="0.35">
      <c r="A188">
        <v>64</v>
      </c>
      <c r="B188" t="s">
        <v>16</v>
      </c>
      <c r="C188" t="s">
        <v>29</v>
      </c>
      <c r="D188" t="s">
        <v>5</v>
      </c>
      <c r="E188" t="s">
        <v>8</v>
      </c>
      <c r="F188">
        <v>88.235294117647058</v>
      </c>
      <c r="G188" s="204">
        <v>44562</v>
      </c>
      <c r="H188" s="204" t="e">
        <f t="shared" si="2"/>
        <v>#NUM!</v>
      </c>
    </row>
    <row r="189" spans="1:8" x14ac:dyDescent="0.35">
      <c r="A189">
        <v>22</v>
      </c>
      <c r="B189" t="s">
        <v>17</v>
      </c>
      <c r="C189" t="s">
        <v>29</v>
      </c>
      <c r="D189" t="s">
        <v>5</v>
      </c>
      <c r="E189" t="s">
        <v>8</v>
      </c>
      <c r="F189">
        <v>450</v>
      </c>
      <c r="G189" s="204">
        <v>44562</v>
      </c>
      <c r="H189" s="204" t="e">
        <f t="shared" si="2"/>
        <v>#NUM!</v>
      </c>
    </row>
    <row r="190" spans="1:8" x14ac:dyDescent="0.35">
      <c r="A190">
        <v>45</v>
      </c>
      <c r="B190" t="s">
        <v>18</v>
      </c>
      <c r="C190" t="s">
        <v>29</v>
      </c>
      <c r="D190" t="s">
        <v>5</v>
      </c>
      <c r="E190" t="s">
        <v>8</v>
      </c>
      <c r="F190">
        <v>-10</v>
      </c>
      <c r="G190" s="204">
        <v>44562</v>
      </c>
      <c r="H190" s="204" t="e">
        <f t="shared" si="2"/>
        <v>#NUM!</v>
      </c>
    </row>
    <row r="191" spans="1:8" x14ac:dyDescent="0.35">
      <c r="A191">
        <v>51</v>
      </c>
      <c r="B191" t="s">
        <v>10</v>
      </c>
      <c r="C191" t="s">
        <v>30</v>
      </c>
      <c r="D191" t="s">
        <v>5</v>
      </c>
      <c r="E191" t="s">
        <v>8</v>
      </c>
      <c r="F191">
        <v>-35.443037974683541</v>
      </c>
      <c r="G191" s="204">
        <v>44562</v>
      </c>
      <c r="H191" s="204" t="e">
        <f t="shared" si="2"/>
        <v>#NUM!</v>
      </c>
    </row>
    <row r="192" spans="1:8" x14ac:dyDescent="0.35">
      <c r="A192">
        <v>21</v>
      </c>
      <c r="B192" t="s">
        <v>11</v>
      </c>
      <c r="C192" t="s">
        <v>30</v>
      </c>
      <c r="D192" t="s">
        <v>5</v>
      </c>
      <c r="E192" t="s">
        <v>8</v>
      </c>
      <c r="F192">
        <v>133.33333333333331</v>
      </c>
      <c r="G192" s="204">
        <v>44562</v>
      </c>
      <c r="H192" s="204" t="e">
        <f t="shared" si="2"/>
        <v>#NUM!</v>
      </c>
    </row>
    <row r="193" spans="1:8" x14ac:dyDescent="0.35">
      <c r="A193">
        <v>10</v>
      </c>
      <c r="B193" t="s">
        <v>12</v>
      </c>
      <c r="C193" t="s">
        <v>30</v>
      </c>
      <c r="D193" t="s">
        <v>5</v>
      </c>
      <c r="E193" t="s">
        <v>8</v>
      </c>
      <c r="F193">
        <v>-44.444444444444443</v>
      </c>
      <c r="G193" s="204">
        <v>44562</v>
      </c>
      <c r="H193" s="204" t="e">
        <f t="shared" si="2"/>
        <v>#NUM!</v>
      </c>
    </row>
    <row r="194" spans="1:8" x14ac:dyDescent="0.35">
      <c r="A194">
        <v>7</v>
      </c>
      <c r="B194" t="s">
        <v>13</v>
      </c>
      <c r="C194" t="s">
        <v>30</v>
      </c>
      <c r="D194" t="s">
        <v>5</v>
      </c>
      <c r="E194" t="s">
        <v>8</v>
      </c>
      <c r="F194">
        <v>-56.25</v>
      </c>
      <c r="G194" s="204">
        <v>44562</v>
      </c>
      <c r="H194" s="204" t="e">
        <f t="shared" si="2"/>
        <v>#NUM!</v>
      </c>
    </row>
    <row r="195" spans="1:8" x14ac:dyDescent="0.35">
      <c r="A195">
        <v>9</v>
      </c>
      <c r="B195" t="s">
        <v>14</v>
      </c>
      <c r="C195" t="s">
        <v>30</v>
      </c>
      <c r="D195" t="s">
        <v>5</v>
      </c>
      <c r="E195" t="s">
        <v>8</v>
      </c>
      <c r="F195">
        <v>0</v>
      </c>
      <c r="G195" s="204">
        <v>44562</v>
      </c>
      <c r="H195" s="204" t="e">
        <f t="shared" ref="G195:H258" si="3">DATE(G195,1,1)</f>
        <v>#NUM!</v>
      </c>
    </row>
    <row r="196" spans="1:8" x14ac:dyDescent="0.35">
      <c r="A196">
        <v>18</v>
      </c>
      <c r="B196" t="s">
        <v>15</v>
      </c>
      <c r="C196" t="s">
        <v>30</v>
      </c>
      <c r="D196" t="s">
        <v>5</v>
      </c>
      <c r="E196" t="s">
        <v>8</v>
      </c>
      <c r="F196">
        <v>-30.76923076923077</v>
      </c>
      <c r="G196" s="204">
        <v>44562</v>
      </c>
      <c r="H196" s="204" t="e">
        <f t="shared" si="3"/>
        <v>#NUM!</v>
      </c>
    </row>
    <row r="197" spans="1:8" x14ac:dyDescent="0.35">
      <c r="A197">
        <v>11</v>
      </c>
      <c r="B197" t="s">
        <v>16</v>
      </c>
      <c r="C197" t="s">
        <v>30</v>
      </c>
      <c r="D197" t="s">
        <v>5</v>
      </c>
      <c r="E197" t="s">
        <v>8</v>
      </c>
      <c r="F197">
        <v>-75.555555555555557</v>
      </c>
      <c r="G197" s="204">
        <v>44562</v>
      </c>
      <c r="H197" s="204" t="e">
        <f t="shared" si="3"/>
        <v>#NUM!</v>
      </c>
    </row>
    <row r="198" spans="1:8" x14ac:dyDescent="0.35">
      <c r="A198">
        <v>13</v>
      </c>
      <c r="B198" t="s">
        <v>17</v>
      </c>
      <c r="C198" t="s">
        <v>30</v>
      </c>
      <c r="D198" t="s">
        <v>5</v>
      </c>
      <c r="E198" t="s">
        <v>8</v>
      </c>
      <c r="F198">
        <v>44.444444444444443</v>
      </c>
      <c r="G198" s="204">
        <v>44562</v>
      </c>
      <c r="H198" s="204" t="e">
        <f t="shared" si="3"/>
        <v>#NUM!</v>
      </c>
    </row>
    <row r="199" spans="1:8" x14ac:dyDescent="0.35">
      <c r="A199">
        <v>17</v>
      </c>
      <c r="B199" t="s">
        <v>18</v>
      </c>
      <c r="C199" t="s">
        <v>30</v>
      </c>
      <c r="D199" t="s">
        <v>5</v>
      </c>
      <c r="E199" t="s">
        <v>8</v>
      </c>
      <c r="F199">
        <v>-26.086956521739129</v>
      </c>
      <c r="G199" s="204">
        <v>44562</v>
      </c>
      <c r="H199" s="204" t="e">
        <f t="shared" si="3"/>
        <v>#NUM!</v>
      </c>
    </row>
    <row r="200" spans="1:8" x14ac:dyDescent="0.35">
      <c r="A200">
        <v>15</v>
      </c>
      <c r="B200" t="s">
        <v>10</v>
      </c>
      <c r="C200" t="s">
        <v>31</v>
      </c>
      <c r="D200" t="s">
        <v>5</v>
      </c>
      <c r="E200" t="s">
        <v>8</v>
      </c>
      <c r="F200">
        <v>275</v>
      </c>
      <c r="G200" s="204">
        <v>44562</v>
      </c>
      <c r="H200" s="204" t="e">
        <f t="shared" si="3"/>
        <v>#NUM!</v>
      </c>
    </row>
    <row r="201" spans="1:8" x14ac:dyDescent="0.35">
      <c r="A201">
        <v>5</v>
      </c>
      <c r="B201" t="s">
        <v>11</v>
      </c>
      <c r="C201" t="s">
        <v>31</v>
      </c>
      <c r="D201" t="s">
        <v>5</v>
      </c>
      <c r="E201" t="s">
        <v>8</v>
      </c>
      <c r="F201">
        <v>400</v>
      </c>
      <c r="G201" s="204">
        <v>44562</v>
      </c>
      <c r="H201" s="204" t="e">
        <f t="shared" si="3"/>
        <v>#NUM!</v>
      </c>
    </row>
    <row r="202" spans="1:8" x14ac:dyDescent="0.35">
      <c r="A202">
        <v>7</v>
      </c>
      <c r="B202" t="s">
        <v>12</v>
      </c>
      <c r="C202" t="s">
        <v>31</v>
      </c>
      <c r="D202" t="s">
        <v>5</v>
      </c>
      <c r="E202" t="s">
        <v>8</v>
      </c>
      <c r="F202">
        <v>7</v>
      </c>
      <c r="G202" s="204">
        <v>44562</v>
      </c>
      <c r="H202" s="204" t="e">
        <f t="shared" si="3"/>
        <v>#NUM!</v>
      </c>
    </row>
    <row r="203" spans="1:8" x14ac:dyDescent="0.35">
      <c r="A203">
        <v>0</v>
      </c>
      <c r="B203" t="s">
        <v>13</v>
      </c>
      <c r="C203" t="s">
        <v>31</v>
      </c>
      <c r="D203" t="s">
        <v>5</v>
      </c>
      <c r="E203" t="s">
        <v>8</v>
      </c>
      <c r="F203">
        <v>0</v>
      </c>
      <c r="G203" s="204">
        <v>44562</v>
      </c>
      <c r="H203" s="204" t="e">
        <f t="shared" si="3"/>
        <v>#NUM!</v>
      </c>
    </row>
    <row r="204" spans="1:8" x14ac:dyDescent="0.35">
      <c r="A204">
        <v>0</v>
      </c>
      <c r="B204" t="s">
        <v>14</v>
      </c>
      <c r="C204" t="s">
        <v>31</v>
      </c>
      <c r="D204" t="s">
        <v>5</v>
      </c>
      <c r="E204" t="s">
        <v>8</v>
      </c>
      <c r="F204">
        <v>-100</v>
      </c>
      <c r="G204" s="204">
        <v>44562</v>
      </c>
      <c r="H204" s="204" t="e">
        <f t="shared" si="3"/>
        <v>#NUM!</v>
      </c>
    </row>
    <row r="205" spans="1:8" x14ac:dyDescent="0.35">
      <c r="A205">
        <v>0</v>
      </c>
      <c r="B205" t="s">
        <v>15</v>
      </c>
      <c r="C205" t="s">
        <v>31</v>
      </c>
      <c r="D205" t="s">
        <v>5</v>
      </c>
      <c r="E205" t="s">
        <v>8</v>
      </c>
      <c r="F205">
        <v>0</v>
      </c>
      <c r="G205" s="204">
        <v>44562</v>
      </c>
      <c r="H205" s="204" t="e">
        <f t="shared" si="3"/>
        <v>#NUM!</v>
      </c>
    </row>
    <row r="206" spans="1:8" x14ac:dyDescent="0.35">
      <c r="A206">
        <v>0</v>
      </c>
      <c r="B206" t="s">
        <v>16</v>
      </c>
      <c r="C206" t="s">
        <v>31</v>
      </c>
      <c r="D206" t="s">
        <v>5</v>
      </c>
      <c r="E206" t="s">
        <v>8</v>
      </c>
      <c r="F206">
        <v>-100</v>
      </c>
      <c r="G206" s="204">
        <v>44562</v>
      </c>
      <c r="H206" s="204" t="e">
        <f t="shared" si="3"/>
        <v>#NUM!</v>
      </c>
    </row>
    <row r="207" spans="1:8" x14ac:dyDescent="0.35">
      <c r="A207">
        <v>1</v>
      </c>
      <c r="B207" t="s">
        <v>17</v>
      </c>
      <c r="C207" t="s">
        <v>31</v>
      </c>
      <c r="D207" t="s">
        <v>5</v>
      </c>
      <c r="E207" t="s">
        <v>8</v>
      </c>
      <c r="F207">
        <v>1</v>
      </c>
      <c r="G207" s="204">
        <v>44562</v>
      </c>
      <c r="H207" s="204" t="e">
        <f t="shared" si="3"/>
        <v>#NUM!</v>
      </c>
    </row>
    <row r="208" spans="1:8" x14ac:dyDescent="0.35">
      <c r="A208">
        <v>0</v>
      </c>
      <c r="B208" t="s">
        <v>18</v>
      </c>
      <c r="C208" t="s">
        <v>31</v>
      </c>
      <c r="D208" t="s">
        <v>5</v>
      </c>
      <c r="E208" t="s">
        <v>8</v>
      </c>
      <c r="F208">
        <v>-100</v>
      </c>
      <c r="G208" s="204">
        <v>44562</v>
      </c>
      <c r="H208" s="204" t="e">
        <f t="shared" si="3"/>
        <v>#NUM!</v>
      </c>
    </row>
    <row r="209" spans="1:8" x14ac:dyDescent="0.35">
      <c r="A209">
        <v>1293</v>
      </c>
      <c r="B209" t="s">
        <v>10</v>
      </c>
      <c r="C209" t="s">
        <v>32</v>
      </c>
      <c r="D209" t="s">
        <v>5</v>
      </c>
      <c r="E209" t="s">
        <v>8</v>
      </c>
      <c r="F209">
        <v>-8.0369843527738265</v>
      </c>
      <c r="G209" s="204">
        <v>44562</v>
      </c>
      <c r="H209" s="204" t="e">
        <f t="shared" si="3"/>
        <v>#NUM!</v>
      </c>
    </row>
    <row r="210" spans="1:8" x14ac:dyDescent="0.35">
      <c r="A210">
        <v>336</v>
      </c>
      <c r="B210" t="s">
        <v>11</v>
      </c>
      <c r="C210" t="s">
        <v>32</v>
      </c>
      <c r="D210" t="s">
        <v>5</v>
      </c>
      <c r="E210" t="s">
        <v>8</v>
      </c>
      <c r="F210">
        <v>16.262975778546711</v>
      </c>
      <c r="G210" s="204">
        <v>44562</v>
      </c>
      <c r="H210" s="204" t="e">
        <f t="shared" si="3"/>
        <v>#NUM!</v>
      </c>
    </row>
    <row r="211" spans="1:8" x14ac:dyDescent="0.35">
      <c r="A211">
        <v>205</v>
      </c>
      <c r="B211" t="s">
        <v>12</v>
      </c>
      <c r="C211" t="s">
        <v>32</v>
      </c>
      <c r="D211" t="s">
        <v>5</v>
      </c>
      <c r="E211" t="s">
        <v>8</v>
      </c>
      <c r="F211">
        <v>25</v>
      </c>
      <c r="G211" s="204">
        <v>44562</v>
      </c>
      <c r="H211" s="204" t="e">
        <f t="shared" si="3"/>
        <v>#NUM!</v>
      </c>
    </row>
    <row r="212" spans="1:8" x14ac:dyDescent="0.35">
      <c r="A212">
        <v>265</v>
      </c>
      <c r="B212" t="s">
        <v>13</v>
      </c>
      <c r="C212" t="s">
        <v>32</v>
      </c>
      <c r="D212" t="s">
        <v>5</v>
      </c>
      <c r="E212" t="s">
        <v>8</v>
      </c>
      <c r="F212">
        <v>-19.939577039274926</v>
      </c>
      <c r="G212" s="204">
        <v>44562</v>
      </c>
      <c r="H212" s="204" t="e">
        <f t="shared" si="3"/>
        <v>#NUM!</v>
      </c>
    </row>
    <row r="213" spans="1:8" x14ac:dyDescent="0.35">
      <c r="A213">
        <v>239</v>
      </c>
      <c r="B213" t="s">
        <v>14</v>
      </c>
      <c r="C213" t="s">
        <v>32</v>
      </c>
      <c r="D213" t="s">
        <v>5</v>
      </c>
      <c r="E213" t="s">
        <v>8</v>
      </c>
      <c r="F213">
        <v>-7.7220077220077217</v>
      </c>
      <c r="G213" s="204">
        <v>44562</v>
      </c>
      <c r="H213" s="204" t="e">
        <f t="shared" si="3"/>
        <v>#NUM!</v>
      </c>
    </row>
    <row r="214" spans="1:8" x14ac:dyDescent="0.35">
      <c r="A214">
        <v>199</v>
      </c>
      <c r="B214" t="s">
        <v>15</v>
      </c>
      <c r="C214" t="s">
        <v>32</v>
      </c>
      <c r="D214" t="s">
        <v>5</v>
      </c>
      <c r="E214" t="s">
        <v>8</v>
      </c>
      <c r="F214">
        <v>-11.946902654867257</v>
      </c>
      <c r="G214" s="204">
        <v>44562</v>
      </c>
      <c r="H214" s="204" t="e">
        <f t="shared" si="3"/>
        <v>#NUM!</v>
      </c>
    </row>
    <row r="215" spans="1:8" x14ac:dyDescent="0.35">
      <c r="A215">
        <v>234</v>
      </c>
      <c r="B215" t="s">
        <v>16</v>
      </c>
      <c r="C215" t="s">
        <v>32</v>
      </c>
      <c r="D215" t="s">
        <v>5</v>
      </c>
      <c r="E215" t="s">
        <v>8</v>
      </c>
      <c r="F215">
        <v>20</v>
      </c>
      <c r="G215" s="204">
        <v>44562</v>
      </c>
      <c r="H215" s="204" t="e">
        <f t="shared" si="3"/>
        <v>#NUM!</v>
      </c>
    </row>
    <row r="216" spans="1:8" x14ac:dyDescent="0.35">
      <c r="A216">
        <v>121</v>
      </c>
      <c r="B216" t="s">
        <v>17</v>
      </c>
      <c r="C216" t="s">
        <v>32</v>
      </c>
      <c r="D216" t="s">
        <v>5</v>
      </c>
      <c r="E216" t="s">
        <v>8</v>
      </c>
      <c r="F216">
        <v>278.125</v>
      </c>
      <c r="G216" s="204">
        <v>44562</v>
      </c>
      <c r="H216" s="204" t="e">
        <f t="shared" si="3"/>
        <v>#NUM!</v>
      </c>
    </row>
    <row r="217" spans="1:8" x14ac:dyDescent="0.35">
      <c r="A217">
        <v>346</v>
      </c>
      <c r="B217" t="s">
        <v>18</v>
      </c>
      <c r="C217" t="s">
        <v>32</v>
      </c>
      <c r="D217" t="s">
        <v>5</v>
      </c>
      <c r="E217" t="s">
        <v>8</v>
      </c>
      <c r="F217">
        <v>-8.7071240105540895</v>
      </c>
      <c r="G217" s="204">
        <v>44562</v>
      </c>
      <c r="H217" s="204" t="e">
        <f t="shared" si="3"/>
        <v>#NUM!</v>
      </c>
    </row>
    <row r="218" spans="1:8" x14ac:dyDescent="0.35">
      <c r="A218">
        <v>539</v>
      </c>
      <c r="B218" t="s">
        <v>10</v>
      </c>
      <c r="C218" t="s">
        <v>33</v>
      </c>
      <c r="D218" t="s">
        <v>5</v>
      </c>
      <c r="E218" t="s">
        <v>8</v>
      </c>
      <c r="F218">
        <v>35.087719298245609</v>
      </c>
      <c r="G218" s="204">
        <v>44562</v>
      </c>
      <c r="H218" s="204" t="e">
        <f t="shared" si="3"/>
        <v>#NUM!</v>
      </c>
    </row>
    <row r="219" spans="1:8" x14ac:dyDescent="0.35">
      <c r="A219">
        <v>72</v>
      </c>
      <c r="B219" t="s">
        <v>11</v>
      </c>
      <c r="C219" t="s">
        <v>33</v>
      </c>
      <c r="D219" t="s">
        <v>5</v>
      </c>
      <c r="E219" t="s">
        <v>8</v>
      </c>
      <c r="F219">
        <v>16.129032258064516</v>
      </c>
      <c r="G219" s="204">
        <v>44562</v>
      </c>
      <c r="H219" s="204" t="e">
        <f t="shared" si="3"/>
        <v>#NUM!</v>
      </c>
    </row>
    <row r="220" spans="1:8" x14ac:dyDescent="0.35">
      <c r="A220">
        <v>81</v>
      </c>
      <c r="B220" t="s">
        <v>12</v>
      </c>
      <c r="C220" t="s">
        <v>33</v>
      </c>
      <c r="D220" t="s">
        <v>5</v>
      </c>
      <c r="E220" t="s">
        <v>8</v>
      </c>
      <c r="F220">
        <v>-31.35593220338983</v>
      </c>
      <c r="G220" s="204">
        <v>44562</v>
      </c>
      <c r="H220" s="204" t="e">
        <f t="shared" si="3"/>
        <v>#NUM!</v>
      </c>
    </row>
    <row r="221" spans="1:8" x14ac:dyDescent="0.35">
      <c r="A221">
        <v>40</v>
      </c>
      <c r="B221" t="s">
        <v>13</v>
      </c>
      <c r="C221" t="s">
        <v>33</v>
      </c>
      <c r="D221" t="s">
        <v>5</v>
      </c>
      <c r="E221" t="s">
        <v>8</v>
      </c>
      <c r="F221">
        <v>-67.479674796747972</v>
      </c>
      <c r="G221" s="204">
        <v>44562</v>
      </c>
      <c r="H221" s="204" t="e">
        <f t="shared" si="3"/>
        <v>#NUM!</v>
      </c>
    </row>
    <row r="222" spans="1:8" x14ac:dyDescent="0.35">
      <c r="A222">
        <v>98</v>
      </c>
      <c r="B222" t="s">
        <v>14</v>
      </c>
      <c r="C222" t="s">
        <v>33</v>
      </c>
      <c r="D222" t="s">
        <v>5</v>
      </c>
      <c r="E222" t="s">
        <v>8</v>
      </c>
      <c r="F222">
        <v>88.461538461538453</v>
      </c>
      <c r="G222" s="204">
        <v>44562</v>
      </c>
      <c r="H222" s="204" t="e">
        <f t="shared" si="3"/>
        <v>#NUM!</v>
      </c>
    </row>
    <row r="223" spans="1:8" x14ac:dyDescent="0.35">
      <c r="A223">
        <v>91</v>
      </c>
      <c r="B223" t="s">
        <v>15</v>
      </c>
      <c r="C223" t="s">
        <v>33</v>
      </c>
      <c r="D223" t="s">
        <v>5</v>
      </c>
      <c r="E223" t="s">
        <v>8</v>
      </c>
      <c r="F223">
        <v>30</v>
      </c>
      <c r="G223" s="204">
        <v>44562</v>
      </c>
      <c r="H223" s="204" t="e">
        <f t="shared" si="3"/>
        <v>#NUM!</v>
      </c>
    </row>
    <row r="224" spans="1:8" x14ac:dyDescent="0.35">
      <c r="A224">
        <v>56</v>
      </c>
      <c r="B224" t="s">
        <v>16</v>
      </c>
      <c r="C224" t="s">
        <v>33</v>
      </c>
      <c r="D224" t="s">
        <v>5</v>
      </c>
      <c r="E224" t="s">
        <v>8</v>
      </c>
      <c r="F224">
        <v>93.103448275862064</v>
      </c>
      <c r="G224" s="204">
        <v>44562</v>
      </c>
      <c r="H224" s="204" t="e">
        <f t="shared" si="3"/>
        <v>#NUM!</v>
      </c>
    </row>
    <row r="225" spans="1:8" x14ac:dyDescent="0.35">
      <c r="A225">
        <v>187</v>
      </c>
      <c r="B225" t="s">
        <v>17</v>
      </c>
      <c r="C225" t="s">
        <v>33</v>
      </c>
      <c r="D225" t="s">
        <v>5</v>
      </c>
      <c r="E225" t="s">
        <v>8</v>
      </c>
      <c r="F225">
        <v>835</v>
      </c>
      <c r="G225" s="204">
        <v>44562</v>
      </c>
      <c r="H225" s="204" t="e">
        <f t="shared" si="3"/>
        <v>#NUM!</v>
      </c>
    </row>
    <row r="226" spans="1:8" x14ac:dyDescent="0.35">
      <c r="A226">
        <v>148</v>
      </c>
      <c r="B226" t="s">
        <v>18</v>
      </c>
      <c r="C226" t="s">
        <v>33</v>
      </c>
      <c r="D226" t="s">
        <v>5</v>
      </c>
      <c r="E226" t="s">
        <v>8</v>
      </c>
      <c r="F226">
        <v>89.743589743589752</v>
      </c>
      <c r="G226" s="204">
        <v>44562</v>
      </c>
      <c r="H226" s="204" t="e">
        <f t="shared" si="3"/>
        <v>#NUM!</v>
      </c>
    </row>
    <row r="227" spans="1:8" x14ac:dyDescent="0.35">
      <c r="A227">
        <v>415</v>
      </c>
      <c r="B227" t="s">
        <v>10</v>
      </c>
      <c r="C227" t="s">
        <v>34</v>
      </c>
      <c r="D227" t="s">
        <v>5</v>
      </c>
      <c r="E227" t="s">
        <v>8</v>
      </c>
      <c r="F227">
        <v>8.3550913838120113</v>
      </c>
      <c r="G227" s="204">
        <v>44562</v>
      </c>
      <c r="H227" s="204" t="e">
        <f t="shared" si="3"/>
        <v>#NUM!</v>
      </c>
    </row>
    <row r="228" spans="1:8" x14ac:dyDescent="0.35">
      <c r="A228">
        <v>15</v>
      </c>
      <c r="B228" t="s">
        <v>11</v>
      </c>
      <c r="C228" t="s">
        <v>34</v>
      </c>
      <c r="D228" t="s">
        <v>5</v>
      </c>
      <c r="E228" t="s">
        <v>8</v>
      </c>
      <c r="F228">
        <v>-91.666666666666657</v>
      </c>
      <c r="G228" s="204">
        <v>44562</v>
      </c>
      <c r="H228" s="204" t="e">
        <f t="shared" si="3"/>
        <v>#NUM!</v>
      </c>
    </row>
    <row r="229" spans="1:8" x14ac:dyDescent="0.35">
      <c r="A229">
        <v>53</v>
      </c>
      <c r="B229" t="s">
        <v>12</v>
      </c>
      <c r="C229" t="s">
        <v>34</v>
      </c>
      <c r="D229" t="s">
        <v>5</v>
      </c>
      <c r="E229" t="s">
        <v>8</v>
      </c>
      <c r="F229">
        <v>8.1632653061224492</v>
      </c>
      <c r="G229" s="204">
        <v>44562</v>
      </c>
      <c r="H229" s="204" t="e">
        <f t="shared" si="3"/>
        <v>#NUM!</v>
      </c>
    </row>
    <row r="230" spans="1:8" x14ac:dyDescent="0.35">
      <c r="A230">
        <v>47</v>
      </c>
      <c r="B230" t="s">
        <v>13</v>
      </c>
      <c r="C230" t="s">
        <v>34</v>
      </c>
      <c r="D230" t="s">
        <v>5</v>
      </c>
      <c r="E230" t="s">
        <v>8</v>
      </c>
      <c r="F230">
        <v>-22.950819672131146</v>
      </c>
      <c r="G230" s="204">
        <v>44562</v>
      </c>
      <c r="H230" s="204" t="e">
        <f t="shared" si="3"/>
        <v>#NUM!</v>
      </c>
    </row>
    <row r="231" spans="1:8" x14ac:dyDescent="0.35">
      <c r="A231">
        <v>82</v>
      </c>
      <c r="B231" t="s">
        <v>14</v>
      </c>
      <c r="C231" t="s">
        <v>34</v>
      </c>
      <c r="D231" t="s">
        <v>5</v>
      </c>
      <c r="E231" t="s">
        <v>8</v>
      </c>
      <c r="F231">
        <v>24.242424242424242</v>
      </c>
      <c r="G231" s="204">
        <v>44562</v>
      </c>
      <c r="H231" s="204" t="e">
        <f t="shared" si="3"/>
        <v>#NUM!</v>
      </c>
    </row>
    <row r="232" spans="1:8" x14ac:dyDescent="0.35">
      <c r="A232">
        <v>32</v>
      </c>
      <c r="B232" t="s">
        <v>15</v>
      </c>
      <c r="C232" t="s">
        <v>34</v>
      </c>
      <c r="D232" t="s">
        <v>5</v>
      </c>
      <c r="E232" t="s">
        <v>8</v>
      </c>
      <c r="F232">
        <v>-30.434782608695656</v>
      </c>
      <c r="G232" s="204">
        <v>44562</v>
      </c>
      <c r="H232" s="204" t="e">
        <f t="shared" si="3"/>
        <v>#NUM!</v>
      </c>
    </row>
    <row r="233" spans="1:8" x14ac:dyDescent="0.35">
      <c r="A233">
        <v>74</v>
      </c>
      <c r="B233" t="s">
        <v>16</v>
      </c>
      <c r="C233" t="s">
        <v>34</v>
      </c>
      <c r="D233" t="s">
        <v>5</v>
      </c>
      <c r="E233" t="s">
        <v>8</v>
      </c>
      <c r="F233">
        <v>208.33333333333334</v>
      </c>
      <c r="G233" s="204">
        <v>44562</v>
      </c>
      <c r="H233" s="204" t="e">
        <f t="shared" si="3"/>
        <v>#NUM!</v>
      </c>
    </row>
    <row r="234" spans="1:8" x14ac:dyDescent="0.35">
      <c r="A234">
        <v>8</v>
      </c>
      <c r="B234" t="s">
        <v>17</v>
      </c>
      <c r="C234" t="s">
        <v>34</v>
      </c>
      <c r="D234" t="s">
        <v>5</v>
      </c>
      <c r="E234" t="s">
        <v>8</v>
      </c>
      <c r="F234">
        <v>-38.461538461538467</v>
      </c>
      <c r="G234" s="204">
        <v>44562</v>
      </c>
      <c r="H234" s="204" t="e">
        <f t="shared" si="3"/>
        <v>#NUM!</v>
      </c>
    </row>
    <row r="235" spans="1:8" x14ac:dyDescent="0.35">
      <c r="A235">
        <v>64</v>
      </c>
      <c r="B235" t="s">
        <v>18</v>
      </c>
      <c r="C235" t="s">
        <v>34</v>
      </c>
      <c r="D235" t="s">
        <v>5</v>
      </c>
      <c r="E235" t="s">
        <v>8</v>
      </c>
      <c r="F235">
        <v>-27.27272727272727</v>
      </c>
      <c r="G235" s="204">
        <v>44562</v>
      </c>
      <c r="H235" s="204" t="e">
        <f t="shared" si="3"/>
        <v>#NUM!</v>
      </c>
    </row>
    <row r="236" spans="1:8" x14ac:dyDescent="0.35">
      <c r="A236">
        <v>83</v>
      </c>
      <c r="B236" t="s">
        <v>10</v>
      </c>
      <c r="C236" t="s">
        <v>22</v>
      </c>
      <c r="D236" t="s">
        <v>4</v>
      </c>
      <c r="E236" t="s">
        <v>7</v>
      </c>
      <c r="F236">
        <v>5.0632911392405067</v>
      </c>
      <c r="G236" s="204">
        <v>44197</v>
      </c>
      <c r="H236" s="204" t="e">
        <f t="shared" si="3"/>
        <v>#NUM!</v>
      </c>
    </row>
    <row r="237" spans="1:8" x14ac:dyDescent="0.35">
      <c r="A237">
        <v>0</v>
      </c>
      <c r="B237" t="s">
        <v>11</v>
      </c>
      <c r="C237" t="s">
        <v>22</v>
      </c>
      <c r="D237" t="s">
        <v>4</v>
      </c>
      <c r="E237" t="s">
        <v>7</v>
      </c>
      <c r="F237">
        <v>0</v>
      </c>
      <c r="G237" s="204">
        <v>44197</v>
      </c>
      <c r="H237" s="204" t="e">
        <f t="shared" si="3"/>
        <v>#NUM!</v>
      </c>
    </row>
    <row r="238" spans="1:8" x14ac:dyDescent="0.35">
      <c r="A238">
        <v>8</v>
      </c>
      <c r="B238" t="s">
        <v>12</v>
      </c>
      <c r="C238" t="s">
        <v>22</v>
      </c>
      <c r="D238" t="s">
        <v>4</v>
      </c>
      <c r="E238" t="s">
        <v>7</v>
      </c>
      <c r="F238">
        <v>0</v>
      </c>
      <c r="G238" s="204">
        <v>44197</v>
      </c>
      <c r="H238" s="204" t="e">
        <f t="shared" si="3"/>
        <v>#NUM!</v>
      </c>
    </row>
    <row r="239" spans="1:8" x14ac:dyDescent="0.35">
      <c r="A239">
        <v>4</v>
      </c>
      <c r="B239" t="s">
        <v>13</v>
      </c>
      <c r="C239" t="s">
        <v>22</v>
      </c>
      <c r="D239" t="s">
        <v>4</v>
      </c>
      <c r="E239" t="s">
        <v>7</v>
      </c>
      <c r="F239">
        <v>-55.555555555555557</v>
      </c>
      <c r="G239" s="204">
        <v>44197</v>
      </c>
      <c r="H239" s="204" t="e">
        <f t="shared" si="3"/>
        <v>#NUM!</v>
      </c>
    </row>
    <row r="240" spans="1:8" x14ac:dyDescent="0.35">
      <c r="A240">
        <v>0</v>
      </c>
      <c r="B240" t="s">
        <v>14</v>
      </c>
      <c r="C240" t="s">
        <v>22</v>
      </c>
      <c r="D240" t="s">
        <v>4</v>
      </c>
      <c r="E240" t="s">
        <v>7</v>
      </c>
      <c r="F240">
        <v>-100</v>
      </c>
      <c r="G240" s="204">
        <v>44197</v>
      </c>
      <c r="H240" s="204" t="e">
        <f t="shared" si="3"/>
        <v>#NUM!</v>
      </c>
    </row>
    <row r="241" spans="1:8" x14ac:dyDescent="0.35">
      <c r="A241">
        <v>3</v>
      </c>
      <c r="B241" t="s">
        <v>15</v>
      </c>
      <c r="C241" t="s">
        <v>22</v>
      </c>
      <c r="D241" t="s">
        <v>4</v>
      </c>
      <c r="E241" t="s">
        <v>7</v>
      </c>
      <c r="F241">
        <v>-25</v>
      </c>
      <c r="G241" s="204">
        <v>44197</v>
      </c>
      <c r="H241" s="204" t="e">
        <f t="shared" si="3"/>
        <v>#NUM!</v>
      </c>
    </row>
    <row r="242" spans="1:8" x14ac:dyDescent="0.35">
      <c r="A242">
        <v>3</v>
      </c>
      <c r="B242" t="s">
        <v>16</v>
      </c>
      <c r="C242" t="s">
        <v>22</v>
      </c>
      <c r="D242" t="s">
        <v>4</v>
      </c>
      <c r="E242" t="s">
        <v>7</v>
      </c>
      <c r="F242">
        <v>-50</v>
      </c>
      <c r="G242" s="204">
        <v>44197</v>
      </c>
      <c r="H242" s="204" t="e">
        <f t="shared" si="3"/>
        <v>#NUM!</v>
      </c>
    </row>
    <row r="243" spans="1:8" x14ac:dyDescent="0.35">
      <c r="A243">
        <v>0</v>
      </c>
      <c r="B243" t="s">
        <v>17</v>
      </c>
      <c r="C243" t="s">
        <v>22</v>
      </c>
      <c r="D243" t="s">
        <v>4</v>
      </c>
      <c r="E243" t="s">
        <v>7</v>
      </c>
      <c r="F243">
        <v>0</v>
      </c>
      <c r="G243" s="204">
        <v>44197</v>
      </c>
      <c r="H243" s="204" t="e">
        <f t="shared" si="3"/>
        <v>#NUM!</v>
      </c>
    </row>
    <row r="244" spans="1:8" x14ac:dyDescent="0.35">
      <c r="A244">
        <v>1</v>
      </c>
      <c r="B244" t="s">
        <v>18</v>
      </c>
      <c r="C244" t="s">
        <v>22</v>
      </c>
      <c r="D244" t="s">
        <v>4</v>
      </c>
      <c r="E244" t="s">
        <v>7</v>
      </c>
      <c r="F244">
        <v>-50</v>
      </c>
      <c r="G244" s="204">
        <v>44197</v>
      </c>
      <c r="H244" s="204" t="e">
        <f t="shared" si="3"/>
        <v>#NUM!</v>
      </c>
    </row>
    <row r="245" spans="1:8" x14ac:dyDescent="0.35">
      <c r="A245">
        <v>47</v>
      </c>
      <c r="B245" t="s">
        <v>10</v>
      </c>
      <c r="C245" t="s">
        <v>23</v>
      </c>
      <c r="D245" t="s">
        <v>4</v>
      </c>
      <c r="E245" t="s">
        <v>7</v>
      </c>
      <c r="F245">
        <v>20.512820512820511</v>
      </c>
      <c r="G245" s="204">
        <v>44197</v>
      </c>
      <c r="H245" s="204" t="e">
        <f t="shared" si="3"/>
        <v>#NUM!</v>
      </c>
    </row>
    <row r="246" spans="1:8" x14ac:dyDescent="0.35">
      <c r="A246">
        <v>0</v>
      </c>
      <c r="B246" t="s">
        <v>11</v>
      </c>
      <c r="C246" t="s">
        <v>23</v>
      </c>
      <c r="D246" t="s">
        <v>4</v>
      </c>
      <c r="E246" t="s">
        <v>7</v>
      </c>
      <c r="F246">
        <v>0</v>
      </c>
      <c r="G246" s="204">
        <v>44197</v>
      </c>
      <c r="H246" s="204" t="e">
        <f t="shared" si="3"/>
        <v>#NUM!</v>
      </c>
    </row>
    <row r="247" spans="1:8" x14ac:dyDescent="0.35">
      <c r="A247">
        <v>1</v>
      </c>
      <c r="B247" t="s">
        <v>12</v>
      </c>
      <c r="C247" t="s">
        <v>23</v>
      </c>
      <c r="D247" t="s">
        <v>4</v>
      </c>
      <c r="E247" t="s">
        <v>7</v>
      </c>
      <c r="F247">
        <v>-83.333333333333343</v>
      </c>
      <c r="G247" s="204">
        <v>44197</v>
      </c>
      <c r="H247" s="204" t="e">
        <f t="shared" si="3"/>
        <v>#NUM!</v>
      </c>
    </row>
    <row r="248" spans="1:8" x14ac:dyDescent="0.35">
      <c r="A248">
        <v>2</v>
      </c>
      <c r="B248" t="s">
        <v>13</v>
      </c>
      <c r="C248" t="s">
        <v>23</v>
      </c>
      <c r="D248" t="s">
        <v>4</v>
      </c>
      <c r="E248" t="s">
        <v>7</v>
      </c>
      <c r="F248">
        <v>-33.333333333333329</v>
      </c>
      <c r="G248" s="204">
        <v>44197</v>
      </c>
      <c r="H248" s="204" t="e">
        <f t="shared" si="3"/>
        <v>#NUM!</v>
      </c>
    </row>
    <row r="249" spans="1:8" x14ac:dyDescent="0.35">
      <c r="A249">
        <v>0</v>
      </c>
      <c r="B249" t="s">
        <v>14</v>
      </c>
      <c r="C249" t="s">
        <v>23</v>
      </c>
      <c r="D249" t="s">
        <v>4</v>
      </c>
      <c r="E249" t="s">
        <v>7</v>
      </c>
      <c r="F249">
        <v>0</v>
      </c>
      <c r="G249" s="204">
        <v>44197</v>
      </c>
      <c r="H249" s="204" t="e">
        <f t="shared" si="3"/>
        <v>#NUM!</v>
      </c>
    </row>
    <row r="250" spans="1:8" x14ac:dyDescent="0.35">
      <c r="A250">
        <v>1</v>
      </c>
      <c r="B250" t="s">
        <v>15</v>
      </c>
      <c r="C250" t="s">
        <v>23</v>
      </c>
      <c r="D250" t="s">
        <v>4</v>
      </c>
      <c r="E250" t="s">
        <v>7</v>
      </c>
      <c r="F250">
        <v>-75</v>
      </c>
      <c r="G250" s="204">
        <v>44197</v>
      </c>
      <c r="H250" s="204" t="e">
        <f t="shared" si="3"/>
        <v>#NUM!</v>
      </c>
    </row>
    <row r="251" spans="1:8" x14ac:dyDescent="0.35">
      <c r="A251">
        <v>0</v>
      </c>
      <c r="B251" t="s">
        <v>16</v>
      </c>
      <c r="C251" t="s">
        <v>23</v>
      </c>
      <c r="D251" t="s">
        <v>4</v>
      </c>
      <c r="E251" t="s">
        <v>7</v>
      </c>
      <c r="F251">
        <v>0</v>
      </c>
      <c r="G251" s="204">
        <v>44197</v>
      </c>
      <c r="H251" s="204" t="e">
        <f t="shared" si="3"/>
        <v>#NUM!</v>
      </c>
    </row>
    <row r="252" spans="1:8" x14ac:dyDescent="0.35">
      <c r="A252">
        <v>0</v>
      </c>
      <c r="B252" t="s">
        <v>17</v>
      </c>
      <c r="C252" t="s">
        <v>23</v>
      </c>
      <c r="D252" t="s">
        <v>4</v>
      </c>
      <c r="E252" t="s">
        <v>7</v>
      </c>
      <c r="F252">
        <v>0</v>
      </c>
      <c r="G252" s="204">
        <v>44197</v>
      </c>
      <c r="H252" s="204" t="e">
        <f t="shared" si="3"/>
        <v>#NUM!</v>
      </c>
    </row>
    <row r="253" spans="1:8" x14ac:dyDescent="0.35">
      <c r="A253">
        <v>3</v>
      </c>
      <c r="B253" t="s">
        <v>18</v>
      </c>
      <c r="C253" t="s">
        <v>23</v>
      </c>
      <c r="D253" t="s">
        <v>4</v>
      </c>
      <c r="E253" t="s">
        <v>7</v>
      </c>
      <c r="F253">
        <v>0</v>
      </c>
      <c r="G253" s="204">
        <v>44197</v>
      </c>
      <c r="H253" s="204" t="e">
        <f t="shared" si="3"/>
        <v>#NUM!</v>
      </c>
    </row>
    <row r="254" spans="1:8" x14ac:dyDescent="0.35">
      <c r="A254">
        <v>17</v>
      </c>
      <c r="B254" t="s">
        <v>10</v>
      </c>
      <c r="C254" t="s">
        <v>24</v>
      </c>
      <c r="D254" t="s">
        <v>4</v>
      </c>
      <c r="E254" t="s">
        <v>7</v>
      </c>
      <c r="F254">
        <v>54.54545454545454</v>
      </c>
      <c r="G254" s="204">
        <v>44197</v>
      </c>
      <c r="H254" s="204" t="e">
        <f t="shared" si="3"/>
        <v>#NUM!</v>
      </c>
    </row>
    <row r="255" spans="1:8" x14ac:dyDescent="0.35">
      <c r="A255">
        <v>0</v>
      </c>
      <c r="B255" t="s">
        <v>11</v>
      </c>
      <c r="C255" t="s">
        <v>24</v>
      </c>
      <c r="D255" t="s">
        <v>4</v>
      </c>
      <c r="E255" t="s">
        <v>7</v>
      </c>
      <c r="F255">
        <v>0</v>
      </c>
      <c r="G255" s="204">
        <v>44197</v>
      </c>
      <c r="H255" s="204" t="e">
        <f t="shared" si="3"/>
        <v>#NUM!</v>
      </c>
    </row>
    <row r="256" spans="1:8" x14ac:dyDescent="0.35">
      <c r="A256">
        <v>4</v>
      </c>
      <c r="B256" t="s">
        <v>12</v>
      </c>
      <c r="C256" t="s">
        <v>24</v>
      </c>
      <c r="D256" t="s">
        <v>4</v>
      </c>
      <c r="E256" t="s">
        <v>7</v>
      </c>
      <c r="F256">
        <v>4</v>
      </c>
      <c r="G256" s="204">
        <v>44197</v>
      </c>
      <c r="H256" s="204" t="e">
        <f t="shared" si="3"/>
        <v>#NUM!</v>
      </c>
    </row>
    <row r="257" spans="1:8" x14ac:dyDescent="0.35">
      <c r="A257">
        <v>1</v>
      </c>
      <c r="B257" t="s">
        <v>13</v>
      </c>
      <c r="C257" t="s">
        <v>24</v>
      </c>
      <c r="D257" t="s">
        <v>4</v>
      </c>
      <c r="E257" t="s">
        <v>7</v>
      </c>
      <c r="F257">
        <v>1</v>
      </c>
      <c r="G257" s="204">
        <v>44197</v>
      </c>
      <c r="H257" s="204" t="e">
        <f t="shared" si="3"/>
        <v>#NUM!</v>
      </c>
    </row>
    <row r="258" spans="1:8" x14ac:dyDescent="0.35">
      <c r="A258">
        <v>1</v>
      </c>
      <c r="B258" t="s">
        <v>14</v>
      </c>
      <c r="C258" t="s">
        <v>24</v>
      </c>
      <c r="D258" t="s">
        <v>4</v>
      </c>
      <c r="E258" t="s">
        <v>7</v>
      </c>
      <c r="F258">
        <v>1</v>
      </c>
      <c r="G258" s="204">
        <v>44197</v>
      </c>
      <c r="H258" s="204" t="e">
        <f t="shared" si="3"/>
        <v>#NUM!</v>
      </c>
    </row>
    <row r="259" spans="1:8" x14ac:dyDescent="0.35">
      <c r="A259">
        <v>0</v>
      </c>
      <c r="B259" t="s">
        <v>15</v>
      </c>
      <c r="C259" t="s">
        <v>24</v>
      </c>
      <c r="D259" t="s">
        <v>4</v>
      </c>
      <c r="E259" t="s">
        <v>7</v>
      </c>
      <c r="F259">
        <v>0</v>
      </c>
      <c r="G259" s="204">
        <v>44197</v>
      </c>
      <c r="H259" s="204" t="e">
        <f t="shared" ref="G259:H322" si="4">DATE(G259,1,1)</f>
        <v>#NUM!</v>
      </c>
    </row>
    <row r="260" spans="1:8" x14ac:dyDescent="0.35">
      <c r="A260">
        <v>0</v>
      </c>
      <c r="B260" t="s">
        <v>16</v>
      </c>
      <c r="C260" t="s">
        <v>24</v>
      </c>
      <c r="D260" t="s">
        <v>4</v>
      </c>
      <c r="E260" t="s">
        <v>7</v>
      </c>
      <c r="F260">
        <v>0</v>
      </c>
      <c r="G260" s="204">
        <v>44197</v>
      </c>
      <c r="H260" s="204" t="e">
        <f t="shared" si="4"/>
        <v>#NUM!</v>
      </c>
    </row>
    <row r="261" spans="1:8" x14ac:dyDescent="0.35">
      <c r="A261">
        <v>0</v>
      </c>
      <c r="B261" t="s">
        <v>17</v>
      </c>
      <c r="C261" t="s">
        <v>24</v>
      </c>
      <c r="D261" t="s">
        <v>4</v>
      </c>
      <c r="E261" t="s">
        <v>7</v>
      </c>
      <c r="F261">
        <v>0</v>
      </c>
      <c r="G261" s="204">
        <v>44197</v>
      </c>
      <c r="H261" s="204" t="e">
        <f t="shared" si="4"/>
        <v>#NUM!</v>
      </c>
    </row>
    <row r="262" spans="1:8" x14ac:dyDescent="0.35">
      <c r="A262">
        <v>0</v>
      </c>
      <c r="B262" t="s">
        <v>18</v>
      </c>
      <c r="C262" t="s">
        <v>24</v>
      </c>
      <c r="D262" t="s">
        <v>4</v>
      </c>
      <c r="E262" t="s">
        <v>7</v>
      </c>
      <c r="F262">
        <v>-100</v>
      </c>
      <c r="G262" s="204">
        <v>44197</v>
      </c>
      <c r="H262" s="204" t="e">
        <f t="shared" si="4"/>
        <v>#NUM!</v>
      </c>
    </row>
    <row r="263" spans="1:8" x14ac:dyDescent="0.35">
      <c r="A263">
        <v>18</v>
      </c>
      <c r="B263" t="s">
        <v>10</v>
      </c>
      <c r="C263" t="s">
        <v>25</v>
      </c>
      <c r="D263" t="s">
        <v>4</v>
      </c>
      <c r="E263" t="s">
        <v>7</v>
      </c>
      <c r="F263">
        <v>157.14285714285714</v>
      </c>
      <c r="G263" s="204">
        <v>44197</v>
      </c>
      <c r="H263" s="204" t="e">
        <f t="shared" si="4"/>
        <v>#NUM!</v>
      </c>
    </row>
    <row r="264" spans="1:8" x14ac:dyDescent="0.35">
      <c r="A264">
        <v>2</v>
      </c>
      <c r="B264" t="s">
        <v>11</v>
      </c>
      <c r="C264" t="s">
        <v>25</v>
      </c>
      <c r="D264" t="s">
        <v>4</v>
      </c>
      <c r="E264" t="s">
        <v>7</v>
      </c>
      <c r="F264">
        <v>2</v>
      </c>
      <c r="G264" s="204">
        <v>44197</v>
      </c>
      <c r="H264" s="204" t="e">
        <f t="shared" si="4"/>
        <v>#NUM!</v>
      </c>
    </row>
    <row r="265" spans="1:8" x14ac:dyDescent="0.35">
      <c r="A265">
        <v>4</v>
      </c>
      <c r="B265" t="s">
        <v>12</v>
      </c>
      <c r="C265" t="s">
        <v>25</v>
      </c>
      <c r="D265" t="s">
        <v>4</v>
      </c>
      <c r="E265" t="s">
        <v>7</v>
      </c>
      <c r="F265">
        <v>100</v>
      </c>
      <c r="G265" s="204">
        <v>44197</v>
      </c>
      <c r="H265" s="204" t="e">
        <f t="shared" si="4"/>
        <v>#NUM!</v>
      </c>
    </row>
    <row r="266" spans="1:8" x14ac:dyDescent="0.35">
      <c r="A266">
        <v>2</v>
      </c>
      <c r="B266" t="s">
        <v>13</v>
      </c>
      <c r="C266" t="s">
        <v>25</v>
      </c>
      <c r="D266" t="s">
        <v>4</v>
      </c>
      <c r="E266" t="s">
        <v>7</v>
      </c>
      <c r="F266">
        <v>-33.333333333333329</v>
      </c>
      <c r="G266" s="204">
        <v>44197</v>
      </c>
      <c r="H266" s="204" t="e">
        <f t="shared" si="4"/>
        <v>#NUM!</v>
      </c>
    </row>
    <row r="267" spans="1:8" x14ac:dyDescent="0.35">
      <c r="A267">
        <v>6</v>
      </c>
      <c r="B267" t="s">
        <v>14</v>
      </c>
      <c r="C267" t="s">
        <v>25</v>
      </c>
      <c r="D267" t="s">
        <v>4</v>
      </c>
      <c r="E267" t="s">
        <v>7</v>
      </c>
      <c r="F267">
        <v>500</v>
      </c>
      <c r="G267" s="204">
        <v>44197</v>
      </c>
      <c r="H267" s="204" t="e">
        <f t="shared" si="4"/>
        <v>#NUM!</v>
      </c>
    </row>
    <row r="268" spans="1:8" x14ac:dyDescent="0.35">
      <c r="A268">
        <v>3</v>
      </c>
      <c r="B268" t="s">
        <v>15</v>
      </c>
      <c r="C268" t="s">
        <v>25</v>
      </c>
      <c r="D268" t="s">
        <v>4</v>
      </c>
      <c r="E268" t="s">
        <v>7</v>
      </c>
      <c r="F268">
        <v>50</v>
      </c>
      <c r="G268" s="204">
        <v>44197</v>
      </c>
      <c r="H268" s="204" t="e">
        <f t="shared" si="4"/>
        <v>#NUM!</v>
      </c>
    </row>
    <row r="269" spans="1:8" x14ac:dyDescent="0.35">
      <c r="A269">
        <v>1</v>
      </c>
      <c r="B269" t="s">
        <v>16</v>
      </c>
      <c r="C269" t="s">
        <v>25</v>
      </c>
      <c r="D269" t="s">
        <v>4</v>
      </c>
      <c r="E269" t="s">
        <v>7</v>
      </c>
      <c r="F269">
        <v>1</v>
      </c>
      <c r="G269" s="204">
        <v>44197</v>
      </c>
      <c r="H269" s="204" t="e">
        <f t="shared" si="4"/>
        <v>#NUM!</v>
      </c>
    </row>
    <row r="270" spans="1:8" x14ac:dyDescent="0.35">
      <c r="A270">
        <v>4</v>
      </c>
      <c r="B270" t="s">
        <v>17</v>
      </c>
      <c r="C270" t="s">
        <v>25</v>
      </c>
      <c r="D270" t="s">
        <v>4</v>
      </c>
      <c r="E270" t="s">
        <v>7</v>
      </c>
      <c r="F270">
        <v>100</v>
      </c>
      <c r="G270" s="204">
        <v>44197</v>
      </c>
      <c r="H270" s="204" t="e">
        <f t="shared" si="4"/>
        <v>#NUM!</v>
      </c>
    </row>
    <row r="271" spans="1:8" x14ac:dyDescent="0.35">
      <c r="A271">
        <v>6</v>
      </c>
      <c r="B271" t="s">
        <v>18</v>
      </c>
      <c r="C271" t="s">
        <v>25</v>
      </c>
      <c r="D271" t="s">
        <v>4</v>
      </c>
      <c r="E271" t="s">
        <v>7</v>
      </c>
      <c r="F271">
        <v>100</v>
      </c>
      <c r="G271" s="204">
        <v>44197</v>
      </c>
      <c r="H271" s="204" t="e">
        <f t="shared" si="4"/>
        <v>#NUM!</v>
      </c>
    </row>
    <row r="272" spans="1:8" x14ac:dyDescent="0.35">
      <c r="A272">
        <v>3</v>
      </c>
      <c r="B272" t="s">
        <v>10</v>
      </c>
      <c r="C272" t="s">
        <v>26</v>
      </c>
      <c r="D272" t="s">
        <v>4</v>
      </c>
      <c r="E272" t="s">
        <v>7</v>
      </c>
      <c r="F272">
        <v>50</v>
      </c>
      <c r="G272" s="204">
        <v>44197</v>
      </c>
      <c r="H272" s="204" t="e">
        <f t="shared" si="4"/>
        <v>#NUM!</v>
      </c>
    </row>
    <row r="273" spans="1:8" x14ac:dyDescent="0.35">
      <c r="A273">
        <v>0</v>
      </c>
      <c r="B273" t="s">
        <v>11</v>
      </c>
      <c r="C273" t="s">
        <v>26</v>
      </c>
      <c r="D273" t="s">
        <v>4</v>
      </c>
      <c r="E273" t="s">
        <v>7</v>
      </c>
      <c r="F273">
        <v>-100</v>
      </c>
      <c r="G273" s="204">
        <v>44197</v>
      </c>
      <c r="H273" s="204" t="e">
        <f t="shared" si="4"/>
        <v>#NUM!</v>
      </c>
    </row>
    <row r="274" spans="1:8" x14ac:dyDescent="0.35">
      <c r="A274">
        <v>1</v>
      </c>
      <c r="B274" t="s">
        <v>12</v>
      </c>
      <c r="C274" t="s">
        <v>26</v>
      </c>
      <c r="D274" t="s">
        <v>4</v>
      </c>
      <c r="E274" t="s">
        <v>7</v>
      </c>
      <c r="F274">
        <v>1</v>
      </c>
      <c r="G274" s="204">
        <v>44197</v>
      </c>
      <c r="H274" s="204" t="e">
        <f t="shared" si="4"/>
        <v>#NUM!</v>
      </c>
    </row>
    <row r="275" spans="1:8" x14ac:dyDescent="0.35">
      <c r="A275">
        <v>0</v>
      </c>
      <c r="B275" t="s">
        <v>13</v>
      </c>
      <c r="C275" t="s">
        <v>26</v>
      </c>
      <c r="D275" t="s">
        <v>4</v>
      </c>
      <c r="E275" t="s">
        <v>7</v>
      </c>
      <c r="F275">
        <v>0</v>
      </c>
      <c r="G275" s="204">
        <v>44197</v>
      </c>
      <c r="H275" s="204" t="e">
        <f t="shared" si="4"/>
        <v>#NUM!</v>
      </c>
    </row>
    <row r="276" spans="1:8" x14ac:dyDescent="0.35">
      <c r="A276">
        <v>0</v>
      </c>
      <c r="B276" t="s">
        <v>14</v>
      </c>
      <c r="C276" t="s">
        <v>26</v>
      </c>
      <c r="D276" t="s">
        <v>4</v>
      </c>
      <c r="E276" t="s">
        <v>7</v>
      </c>
      <c r="F276">
        <v>0</v>
      </c>
      <c r="G276" s="204">
        <v>44197</v>
      </c>
      <c r="H276" s="204" t="e">
        <f t="shared" si="4"/>
        <v>#NUM!</v>
      </c>
    </row>
    <row r="277" spans="1:8" x14ac:dyDescent="0.35">
      <c r="A277">
        <v>0</v>
      </c>
      <c r="B277" t="s">
        <v>15</v>
      </c>
      <c r="C277" t="s">
        <v>26</v>
      </c>
      <c r="D277" t="s">
        <v>4</v>
      </c>
      <c r="E277" t="s">
        <v>7</v>
      </c>
      <c r="F277">
        <v>0</v>
      </c>
      <c r="G277" s="204">
        <v>44197</v>
      </c>
      <c r="H277" s="204" t="e">
        <f t="shared" si="4"/>
        <v>#NUM!</v>
      </c>
    </row>
    <row r="278" spans="1:8" x14ac:dyDescent="0.35">
      <c r="A278">
        <v>0</v>
      </c>
      <c r="B278" t="s">
        <v>16</v>
      </c>
      <c r="C278" t="s">
        <v>26</v>
      </c>
      <c r="D278" t="s">
        <v>4</v>
      </c>
      <c r="E278" t="s">
        <v>7</v>
      </c>
      <c r="F278">
        <v>-100</v>
      </c>
      <c r="G278" s="204">
        <v>44197</v>
      </c>
      <c r="H278" s="204" t="e">
        <f t="shared" si="4"/>
        <v>#NUM!</v>
      </c>
    </row>
    <row r="279" spans="1:8" x14ac:dyDescent="0.35">
      <c r="A279">
        <v>0</v>
      </c>
      <c r="B279" t="s">
        <v>17</v>
      </c>
      <c r="C279" t="s">
        <v>26</v>
      </c>
      <c r="D279" t="s">
        <v>4</v>
      </c>
      <c r="E279" t="s">
        <v>7</v>
      </c>
      <c r="F279">
        <v>0</v>
      </c>
      <c r="G279" s="204">
        <v>44197</v>
      </c>
      <c r="H279" s="204" t="e">
        <f t="shared" si="4"/>
        <v>#NUM!</v>
      </c>
    </row>
    <row r="280" spans="1:8" x14ac:dyDescent="0.35">
      <c r="A280">
        <v>0</v>
      </c>
      <c r="B280" t="s">
        <v>18</v>
      </c>
      <c r="C280" t="s">
        <v>26</v>
      </c>
      <c r="D280" t="s">
        <v>4</v>
      </c>
      <c r="E280" t="s">
        <v>7</v>
      </c>
      <c r="F280">
        <v>0</v>
      </c>
      <c r="G280" s="204">
        <v>44197</v>
      </c>
      <c r="H280" s="204" t="e">
        <f t="shared" si="4"/>
        <v>#NUM!</v>
      </c>
    </row>
    <row r="281" spans="1:8" x14ac:dyDescent="0.35">
      <c r="A281">
        <v>7</v>
      </c>
      <c r="B281" t="s">
        <v>10</v>
      </c>
      <c r="C281" t="s">
        <v>27</v>
      </c>
      <c r="D281" t="s">
        <v>4</v>
      </c>
      <c r="E281" t="s">
        <v>7</v>
      </c>
      <c r="F281">
        <v>0</v>
      </c>
      <c r="G281" s="204">
        <v>44197</v>
      </c>
      <c r="H281" s="204" t="e">
        <f t="shared" si="4"/>
        <v>#NUM!</v>
      </c>
    </row>
    <row r="282" spans="1:8" x14ac:dyDescent="0.35">
      <c r="A282">
        <v>1</v>
      </c>
      <c r="B282" t="s">
        <v>11</v>
      </c>
      <c r="C282" t="s">
        <v>27</v>
      </c>
      <c r="D282" t="s">
        <v>4</v>
      </c>
      <c r="E282" t="s">
        <v>7</v>
      </c>
      <c r="F282">
        <v>1</v>
      </c>
      <c r="G282" s="204">
        <v>44197</v>
      </c>
      <c r="H282" s="204" t="e">
        <f t="shared" si="4"/>
        <v>#NUM!</v>
      </c>
    </row>
    <row r="283" spans="1:8" x14ac:dyDescent="0.35">
      <c r="A283">
        <v>0</v>
      </c>
      <c r="B283" t="s">
        <v>12</v>
      </c>
      <c r="C283" t="s">
        <v>27</v>
      </c>
      <c r="D283" t="s">
        <v>4</v>
      </c>
      <c r="E283" t="s">
        <v>7</v>
      </c>
      <c r="F283">
        <v>0</v>
      </c>
      <c r="G283" s="204">
        <v>44197</v>
      </c>
      <c r="H283" s="204" t="e">
        <f t="shared" si="4"/>
        <v>#NUM!</v>
      </c>
    </row>
    <row r="284" spans="1:8" x14ac:dyDescent="0.35">
      <c r="A284">
        <v>0</v>
      </c>
      <c r="B284" t="s">
        <v>13</v>
      </c>
      <c r="C284" t="s">
        <v>27</v>
      </c>
      <c r="D284" t="s">
        <v>4</v>
      </c>
      <c r="E284" t="s">
        <v>7</v>
      </c>
      <c r="F284">
        <v>-100</v>
      </c>
      <c r="G284" s="204">
        <v>44197</v>
      </c>
      <c r="H284" s="204" t="e">
        <f t="shared" si="4"/>
        <v>#NUM!</v>
      </c>
    </row>
    <row r="285" spans="1:8" x14ac:dyDescent="0.35">
      <c r="A285">
        <v>0</v>
      </c>
      <c r="B285" t="s">
        <v>14</v>
      </c>
      <c r="C285" t="s">
        <v>27</v>
      </c>
      <c r="D285" t="s">
        <v>4</v>
      </c>
      <c r="E285" t="s">
        <v>7</v>
      </c>
      <c r="F285">
        <v>0</v>
      </c>
      <c r="G285" s="204">
        <v>44197</v>
      </c>
      <c r="H285" s="204" t="e">
        <f t="shared" si="4"/>
        <v>#NUM!</v>
      </c>
    </row>
    <row r="286" spans="1:8" x14ac:dyDescent="0.35">
      <c r="A286">
        <v>0</v>
      </c>
      <c r="B286" t="s">
        <v>15</v>
      </c>
      <c r="C286" t="s">
        <v>27</v>
      </c>
      <c r="D286" t="s">
        <v>4</v>
      </c>
      <c r="E286" t="s">
        <v>7</v>
      </c>
      <c r="F286">
        <v>0</v>
      </c>
      <c r="G286" s="204">
        <v>44197</v>
      </c>
      <c r="H286" s="204" t="e">
        <f t="shared" si="4"/>
        <v>#NUM!</v>
      </c>
    </row>
    <row r="287" spans="1:8" x14ac:dyDescent="0.35">
      <c r="A287">
        <v>0</v>
      </c>
      <c r="B287" t="s">
        <v>16</v>
      </c>
      <c r="C287" t="s">
        <v>27</v>
      </c>
      <c r="D287" t="s">
        <v>4</v>
      </c>
      <c r="E287" t="s">
        <v>7</v>
      </c>
      <c r="F287">
        <v>0</v>
      </c>
      <c r="G287" s="204">
        <v>44197</v>
      </c>
      <c r="H287" s="204" t="e">
        <f t="shared" si="4"/>
        <v>#NUM!</v>
      </c>
    </row>
    <row r="288" spans="1:8" x14ac:dyDescent="0.35">
      <c r="A288">
        <v>1</v>
      </c>
      <c r="B288" t="s">
        <v>17</v>
      </c>
      <c r="C288" t="s">
        <v>27</v>
      </c>
      <c r="D288" t="s">
        <v>4</v>
      </c>
      <c r="E288" t="s">
        <v>7</v>
      </c>
      <c r="F288">
        <v>1</v>
      </c>
      <c r="G288" s="204">
        <v>44197</v>
      </c>
      <c r="H288" s="204" t="e">
        <f t="shared" si="4"/>
        <v>#NUM!</v>
      </c>
    </row>
    <row r="289" spans="1:8" x14ac:dyDescent="0.35">
      <c r="A289">
        <v>0</v>
      </c>
      <c r="B289" t="s">
        <v>18</v>
      </c>
      <c r="C289" t="s">
        <v>27</v>
      </c>
      <c r="D289" t="s">
        <v>4</v>
      </c>
      <c r="E289" t="s">
        <v>7</v>
      </c>
      <c r="F289">
        <v>0</v>
      </c>
      <c r="G289" s="204">
        <v>44197</v>
      </c>
      <c r="H289" s="204" t="e">
        <f t="shared" si="4"/>
        <v>#NUM!</v>
      </c>
    </row>
    <row r="290" spans="1:8" x14ac:dyDescent="0.35">
      <c r="A290">
        <v>845</v>
      </c>
      <c r="B290" t="s">
        <v>10</v>
      </c>
      <c r="C290" t="s">
        <v>28</v>
      </c>
      <c r="D290" t="s">
        <v>4</v>
      </c>
      <c r="E290" t="s">
        <v>8</v>
      </c>
      <c r="F290">
        <v>8.7516087516087513</v>
      </c>
      <c r="G290" s="204">
        <v>44197</v>
      </c>
      <c r="H290" s="204" t="e">
        <f t="shared" si="4"/>
        <v>#NUM!</v>
      </c>
    </row>
    <row r="291" spans="1:8" x14ac:dyDescent="0.35">
      <c r="A291">
        <v>74</v>
      </c>
      <c r="B291" t="s">
        <v>11</v>
      </c>
      <c r="C291" t="s">
        <v>28</v>
      </c>
      <c r="D291" t="s">
        <v>4</v>
      </c>
      <c r="E291" t="s">
        <v>8</v>
      </c>
      <c r="F291">
        <v>-6.3291139240506329</v>
      </c>
      <c r="G291" s="204">
        <v>44197</v>
      </c>
      <c r="H291" s="204" t="e">
        <f t="shared" si="4"/>
        <v>#NUM!</v>
      </c>
    </row>
    <row r="292" spans="1:8" x14ac:dyDescent="0.35">
      <c r="A292">
        <v>85</v>
      </c>
      <c r="B292" t="s">
        <v>12</v>
      </c>
      <c r="C292" t="s">
        <v>28</v>
      </c>
      <c r="D292" t="s">
        <v>4</v>
      </c>
      <c r="E292" t="s">
        <v>8</v>
      </c>
      <c r="F292">
        <v>-29.75206611570248</v>
      </c>
      <c r="G292" s="204">
        <v>44197</v>
      </c>
      <c r="H292" s="204" t="e">
        <f t="shared" si="4"/>
        <v>#NUM!</v>
      </c>
    </row>
    <row r="293" spans="1:8" x14ac:dyDescent="0.35">
      <c r="A293">
        <v>205</v>
      </c>
      <c r="B293" t="s">
        <v>13</v>
      </c>
      <c r="C293" t="s">
        <v>28</v>
      </c>
      <c r="D293" t="s">
        <v>4</v>
      </c>
      <c r="E293" t="s">
        <v>8</v>
      </c>
      <c r="F293">
        <v>58.914728682170548</v>
      </c>
      <c r="G293" s="204">
        <v>44197</v>
      </c>
      <c r="H293" s="204" t="e">
        <f t="shared" si="4"/>
        <v>#NUM!</v>
      </c>
    </row>
    <row r="294" spans="1:8" x14ac:dyDescent="0.35">
      <c r="A294">
        <v>98</v>
      </c>
      <c r="B294" t="s">
        <v>14</v>
      </c>
      <c r="C294" t="s">
        <v>28</v>
      </c>
      <c r="D294" t="s">
        <v>4</v>
      </c>
      <c r="E294" t="s">
        <v>8</v>
      </c>
      <c r="F294">
        <v>-4.8543689320388346</v>
      </c>
      <c r="G294" s="204">
        <v>44197</v>
      </c>
      <c r="H294" s="204" t="e">
        <f t="shared" si="4"/>
        <v>#NUM!</v>
      </c>
    </row>
    <row r="295" spans="1:8" x14ac:dyDescent="0.35">
      <c r="A295">
        <v>123</v>
      </c>
      <c r="B295" t="s">
        <v>15</v>
      </c>
      <c r="C295" t="s">
        <v>28</v>
      </c>
      <c r="D295" t="s">
        <v>4</v>
      </c>
      <c r="E295" t="s">
        <v>8</v>
      </c>
      <c r="F295">
        <v>-40.291262135922331</v>
      </c>
      <c r="G295" s="204">
        <v>44197</v>
      </c>
      <c r="H295" s="204" t="e">
        <f t="shared" si="4"/>
        <v>#NUM!</v>
      </c>
    </row>
    <row r="296" spans="1:8" x14ac:dyDescent="0.35">
      <c r="A296">
        <v>117</v>
      </c>
      <c r="B296" t="s">
        <v>16</v>
      </c>
      <c r="C296" t="s">
        <v>28</v>
      </c>
      <c r="D296" t="s">
        <v>4</v>
      </c>
      <c r="E296" t="s">
        <v>8</v>
      </c>
      <c r="F296">
        <v>0</v>
      </c>
      <c r="G296" s="204">
        <v>44197</v>
      </c>
      <c r="H296" s="204" t="e">
        <f t="shared" si="4"/>
        <v>#NUM!</v>
      </c>
    </row>
    <row r="297" spans="1:8" x14ac:dyDescent="0.35">
      <c r="A297">
        <v>26</v>
      </c>
      <c r="B297" t="s">
        <v>17</v>
      </c>
      <c r="C297" t="s">
        <v>28</v>
      </c>
      <c r="D297" t="s">
        <v>4</v>
      </c>
      <c r="E297" t="s">
        <v>8</v>
      </c>
      <c r="F297">
        <v>-18.75</v>
      </c>
      <c r="G297" s="204">
        <v>44197</v>
      </c>
      <c r="H297" s="204" t="e">
        <f t="shared" si="4"/>
        <v>#NUM!</v>
      </c>
    </row>
    <row r="298" spans="1:8" x14ac:dyDescent="0.35">
      <c r="A298">
        <v>128</v>
      </c>
      <c r="B298" t="s">
        <v>18</v>
      </c>
      <c r="C298" t="s">
        <v>28</v>
      </c>
      <c r="D298" t="s">
        <v>4</v>
      </c>
      <c r="E298" t="s">
        <v>8</v>
      </c>
      <c r="F298">
        <v>-46.88796680497925</v>
      </c>
      <c r="G298" s="204">
        <v>44197</v>
      </c>
      <c r="H298" s="204" t="e">
        <f t="shared" si="4"/>
        <v>#NUM!</v>
      </c>
    </row>
    <row r="299" spans="1:8" x14ac:dyDescent="0.35">
      <c r="A299">
        <v>298</v>
      </c>
      <c r="B299" t="s">
        <v>10</v>
      </c>
      <c r="C299" t="s">
        <v>29</v>
      </c>
      <c r="D299" t="s">
        <v>4</v>
      </c>
      <c r="E299" t="s">
        <v>8</v>
      </c>
      <c r="F299">
        <v>41.232227488151658</v>
      </c>
      <c r="G299" s="204">
        <v>44197</v>
      </c>
      <c r="H299" s="204" t="e">
        <f t="shared" si="4"/>
        <v>#NUM!</v>
      </c>
    </row>
    <row r="300" spans="1:8" x14ac:dyDescent="0.35">
      <c r="A300">
        <v>19</v>
      </c>
      <c r="B300" t="s">
        <v>11</v>
      </c>
      <c r="C300" t="s">
        <v>29</v>
      </c>
      <c r="D300" t="s">
        <v>4</v>
      </c>
      <c r="E300" t="s">
        <v>8</v>
      </c>
      <c r="F300">
        <v>90</v>
      </c>
      <c r="G300" s="204">
        <v>44197</v>
      </c>
      <c r="H300" s="204" t="e">
        <f t="shared" si="4"/>
        <v>#NUM!</v>
      </c>
    </row>
    <row r="301" spans="1:8" x14ac:dyDescent="0.35">
      <c r="A301">
        <v>16</v>
      </c>
      <c r="B301" t="s">
        <v>12</v>
      </c>
      <c r="C301" t="s">
        <v>29</v>
      </c>
      <c r="D301" t="s">
        <v>4</v>
      </c>
      <c r="E301" t="s">
        <v>8</v>
      </c>
      <c r="F301">
        <v>-27.27272727272727</v>
      </c>
      <c r="G301" s="204">
        <v>44197</v>
      </c>
      <c r="H301" s="204" t="e">
        <f t="shared" si="4"/>
        <v>#NUM!</v>
      </c>
    </row>
    <row r="302" spans="1:8" x14ac:dyDescent="0.35">
      <c r="A302">
        <v>78</v>
      </c>
      <c r="B302" t="s">
        <v>13</v>
      </c>
      <c r="C302" t="s">
        <v>29</v>
      </c>
      <c r="D302" t="s">
        <v>4</v>
      </c>
      <c r="E302" t="s">
        <v>8</v>
      </c>
      <c r="F302">
        <v>310.5263157894737</v>
      </c>
      <c r="G302" s="204">
        <v>44197</v>
      </c>
      <c r="H302" s="204" t="e">
        <f t="shared" si="4"/>
        <v>#NUM!</v>
      </c>
    </row>
    <row r="303" spans="1:8" x14ac:dyDescent="0.35">
      <c r="A303">
        <v>16</v>
      </c>
      <c r="B303" t="s">
        <v>14</v>
      </c>
      <c r="C303" t="s">
        <v>29</v>
      </c>
      <c r="D303" t="s">
        <v>4</v>
      </c>
      <c r="E303" t="s">
        <v>8</v>
      </c>
      <c r="F303">
        <v>-15.789473684210526</v>
      </c>
      <c r="G303" s="204">
        <v>44197</v>
      </c>
      <c r="H303" s="204" t="e">
        <f t="shared" si="4"/>
        <v>#NUM!</v>
      </c>
    </row>
    <row r="304" spans="1:8" x14ac:dyDescent="0.35">
      <c r="A304">
        <v>49</v>
      </c>
      <c r="B304" t="s">
        <v>15</v>
      </c>
      <c r="C304" t="s">
        <v>29</v>
      </c>
      <c r="D304" t="s">
        <v>4</v>
      </c>
      <c r="E304" t="s">
        <v>8</v>
      </c>
      <c r="F304">
        <v>345.45454545454544</v>
      </c>
      <c r="G304" s="204">
        <v>44197</v>
      </c>
      <c r="H304" s="204" t="e">
        <f t="shared" si="4"/>
        <v>#NUM!</v>
      </c>
    </row>
    <row r="305" spans="1:8" x14ac:dyDescent="0.35">
      <c r="A305">
        <v>34</v>
      </c>
      <c r="B305" t="s">
        <v>16</v>
      </c>
      <c r="C305" t="s">
        <v>29</v>
      </c>
      <c r="D305" t="s">
        <v>4</v>
      </c>
      <c r="E305" t="s">
        <v>8</v>
      </c>
      <c r="F305">
        <v>-26.086956521739129</v>
      </c>
      <c r="G305" s="204">
        <v>44197</v>
      </c>
      <c r="H305" s="204" t="e">
        <f t="shared" si="4"/>
        <v>#NUM!</v>
      </c>
    </row>
    <row r="306" spans="1:8" x14ac:dyDescent="0.35">
      <c r="A306">
        <v>4</v>
      </c>
      <c r="B306" t="s">
        <v>17</v>
      </c>
      <c r="C306" t="s">
        <v>29</v>
      </c>
      <c r="D306" t="s">
        <v>4</v>
      </c>
      <c r="E306" t="s">
        <v>8</v>
      </c>
      <c r="F306">
        <v>300</v>
      </c>
      <c r="G306" s="204">
        <v>44197</v>
      </c>
      <c r="H306" s="204" t="e">
        <f t="shared" si="4"/>
        <v>#NUM!</v>
      </c>
    </row>
    <row r="307" spans="1:8" x14ac:dyDescent="0.35">
      <c r="A307">
        <v>50</v>
      </c>
      <c r="B307" t="s">
        <v>18</v>
      </c>
      <c r="C307" t="s">
        <v>29</v>
      </c>
      <c r="D307" t="s">
        <v>4</v>
      </c>
      <c r="E307" t="s">
        <v>8</v>
      </c>
      <c r="F307">
        <v>-26.47058823529412</v>
      </c>
      <c r="G307" s="204">
        <v>44197</v>
      </c>
      <c r="H307" s="204" t="e">
        <f t="shared" si="4"/>
        <v>#NUM!</v>
      </c>
    </row>
    <row r="308" spans="1:8" x14ac:dyDescent="0.35">
      <c r="A308">
        <v>79</v>
      </c>
      <c r="B308" t="s">
        <v>10</v>
      </c>
      <c r="C308" t="s">
        <v>30</v>
      </c>
      <c r="D308" t="s">
        <v>4</v>
      </c>
      <c r="E308" t="s">
        <v>8</v>
      </c>
      <c r="F308">
        <v>68.085106382978722</v>
      </c>
      <c r="G308" s="204">
        <v>44197</v>
      </c>
      <c r="H308" s="204" t="e">
        <f t="shared" si="4"/>
        <v>#NUM!</v>
      </c>
    </row>
    <row r="309" spans="1:8" x14ac:dyDescent="0.35">
      <c r="A309">
        <v>9</v>
      </c>
      <c r="B309" t="s">
        <v>11</v>
      </c>
      <c r="C309" t="s">
        <v>30</v>
      </c>
      <c r="D309" t="s">
        <v>4</v>
      </c>
      <c r="E309" t="s">
        <v>8</v>
      </c>
      <c r="F309">
        <v>-43.75</v>
      </c>
      <c r="G309" s="204">
        <v>44197</v>
      </c>
      <c r="H309" s="204" t="e">
        <f t="shared" si="4"/>
        <v>#NUM!</v>
      </c>
    </row>
    <row r="310" spans="1:8" x14ac:dyDescent="0.35">
      <c r="A310">
        <v>18</v>
      </c>
      <c r="B310" t="s">
        <v>12</v>
      </c>
      <c r="C310" t="s">
        <v>30</v>
      </c>
      <c r="D310" t="s">
        <v>4</v>
      </c>
      <c r="E310" t="s">
        <v>8</v>
      </c>
      <c r="F310">
        <v>-5.2631578947368416</v>
      </c>
      <c r="G310" s="204">
        <v>44197</v>
      </c>
      <c r="H310" s="204" t="e">
        <f t="shared" si="4"/>
        <v>#NUM!</v>
      </c>
    </row>
    <row r="311" spans="1:8" x14ac:dyDescent="0.35">
      <c r="A311">
        <v>16</v>
      </c>
      <c r="B311" t="s">
        <v>13</v>
      </c>
      <c r="C311" t="s">
        <v>30</v>
      </c>
      <c r="D311" t="s">
        <v>4</v>
      </c>
      <c r="E311" t="s">
        <v>8</v>
      </c>
      <c r="F311">
        <v>77.777777777777786</v>
      </c>
      <c r="G311" s="204">
        <v>44197</v>
      </c>
      <c r="H311" s="204" t="e">
        <f t="shared" si="4"/>
        <v>#NUM!</v>
      </c>
    </row>
    <row r="312" spans="1:8" x14ac:dyDescent="0.35">
      <c r="A312">
        <v>9</v>
      </c>
      <c r="B312" t="s">
        <v>14</v>
      </c>
      <c r="C312" t="s">
        <v>30</v>
      </c>
      <c r="D312" t="s">
        <v>4</v>
      </c>
      <c r="E312" t="s">
        <v>8</v>
      </c>
      <c r="F312">
        <v>12.5</v>
      </c>
      <c r="G312" s="204">
        <v>44197</v>
      </c>
      <c r="H312" s="204" t="e">
        <f t="shared" si="4"/>
        <v>#NUM!</v>
      </c>
    </row>
    <row r="313" spans="1:8" x14ac:dyDescent="0.35">
      <c r="A313">
        <v>26</v>
      </c>
      <c r="B313" t="s">
        <v>15</v>
      </c>
      <c r="C313" t="s">
        <v>30</v>
      </c>
      <c r="D313" t="s">
        <v>4</v>
      </c>
      <c r="E313" t="s">
        <v>8</v>
      </c>
      <c r="F313">
        <v>-36.585365853658537</v>
      </c>
      <c r="G313" s="204">
        <v>44197</v>
      </c>
      <c r="H313" s="204" t="e">
        <f t="shared" si="4"/>
        <v>#NUM!</v>
      </c>
    </row>
    <row r="314" spans="1:8" x14ac:dyDescent="0.35">
      <c r="A314">
        <v>45</v>
      </c>
      <c r="B314" t="s">
        <v>16</v>
      </c>
      <c r="C314" t="s">
        <v>30</v>
      </c>
      <c r="D314" t="s">
        <v>4</v>
      </c>
      <c r="E314" t="s">
        <v>8</v>
      </c>
      <c r="F314">
        <v>462.5</v>
      </c>
      <c r="G314" s="204">
        <v>44197</v>
      </c>
      <c r="H314" s="204" t="e">
        <f t="shared" si="4"/>
        <v>#NUM!</v>
      </c>
    </row>
    <row r="315" spans="1:8" x14ac:dyDescent="0.35">
      <c r="A315">
        <v>9</v>
      </c>
      <c r="B315" t="s">
        <v>17</v>
      </c>
      <c r="C315" t="s">
        <v>30</v>
      </c>
      <c r="D315" t="s">
        <v>4</v>
      </c>
      <c r="E315" t="s">
        <v>8</v>
      </c>
      <c r="F315">
        <v>50</v>
      </c>
      <c r="G315" s="204">
        <v>44197</v>
      </c>
      <c r="H315" s="204" t="e">
        <f t="shared" si="4"/>
        <v>#NUM!</v>
      </c>
    </row>
    <row r="316" spans="1:8" x14ac:dyDescent="0.35">
      <c r="A316">
        <v>23</v>
      </c>
      <c r="B316" t="s">
        <v>18</v>
      </c>
      <c r="C316" t="s">
        <v>30</v>
      </c>
      <c r="D316" t="s">
        <v>4</v>
      </c>
      <c r="E316" t="s">
        <v>8</v>
      </c>
      <c r="F316">
        <v>15</v>
      </c>
      <c r="G316" s="204">
        <v>44197</v>
      </c>
      <c r="H316" s="204" t="e">
        <f t="shared" si="4"/>
        <v>#NUM!</v>
      </c>
    </row>
    <row r="317" spans="1:8" x14ac:dyDescent="0.35">
      <c r="A317">
        <v>4</v>
      </c>
      <c r="B317" t="s">
        <v>10</v>
      </c>
      <c r="C317" t="s">
        <v>31</v>
      </c>
      <c r="D317" t="s">
        <v>4</v>
      </c>
      <c r="E317" t="s">
        <v>8</v>
      </c>
      <c r="F317">
        <v>-63.636363636363633</v>
      </c>
      <c r="G317" s="204">
        <v>44197</v>
      </c>
      <c r="H317" s="204" t="e">
        <f t="shared" si="4"/>
        <v>#NUM!</v>
      </c>
    </row>
    <row r="318" spans="1:8" x14ac:dyDescent="0.35">
      <c r="A318">
        <v>1</v>
      </c>
      <c r="B318" t="s">
        <v>11</v>
      </c>
      <c r="C318" t="s">
        <v>31</v>
      </c>
      <c r="D318" t="s">
        <v>4</v>
      </c>
      <c r="E318" t="s">
        <v>8</v>
      </c>
      <c r="F318">
        <v>1</v>
      </c>
      <c r="G318" s="204">
        <v>44197</v>
      </c>
      <c r="H318" s="204" t="e">
        <f t="shared" si="4"/>
        <v>#NUM!</v>
      </c>
    </row>
    <row r="319" spans="1:8" x14ac:dyDescent="0.35">
      <c r="A319">
        <v>0</v>
      </c>
      <c r="B319" t="s">
        <v>12</v>
      </c>
      <c r="C319" t="s">
        <v>31</v>
      </c>
      <c r="D319" t="s">
        <v>4</v>
      </c>
      <c r="E319" t="s">
        <v>8</v>
      </c>
      <c r="F319">
        <v>0</v>
      </c>
      <c r="G319" s="204">
        <v>44197</v>
      </c>
      <c r="H319" s="204" t="e">
        <f t="shared" si="4"/>
        <v>#NUM!</v>
      </c>
    </row>
    <row r="320" spans="1:8" x14ac:dyDescent="0.35">
      <c r="A320">
        <v>0</v>
      </c>
      <c r="B320" t="s">
        <v>13</v>
      </c>
      <c r="C320" t="s">
        <v>31</v>
      </c>
      <c r="D320" t="s">
        <v>4</v>
      </c>
      <c r="E320" t="s">
        <v>8</v>
      </c>
      <c r="F320">
        <v>-100</v>
      </c>
      <c r="G320" s="204">
        <v>44197</v>
      </c>
      <c r="H320" s="204" t="e">
        <f t="shared" si="4"/>
        <v>#NUM!</v>
      </c>
    </row>
    <row r="321" spans="1:8" x14ac:dyDescent="0.35">
      <c r="A321">
        <v>1</v>
      </c>
      <c r="B321" t="s">
        <v>14</v>
      </c>
      <c r="C321" t="s">
        <v>31</v>
      </c>
      <c r="D321" t="s">
        <v>4</v>
      </c>
      <c r="E321" t="s">
        <v>8</v>
      </c>
      <c r="F321">
        <v>0</v>
      </c>
      <c r="G321" s="204">
        <v>44197</v>
      </c>
      <c r="H321" s="204" t="e">
        <f t="shared" si="4"/>
        <v>#NUM!</v>
      </c>
    </row>
    <row r="322" spans="1:8" x14ac:dyDescent="0.35">
      <c r="A322">
        <v>0</v>
      </c>
      <c r="B322" t="s">
        <v>15</v>
      </c>
      <c r="C322" t="s">
        <v>31</v>
      </c>
      <c r="D322" t="s">
        <v>4</v>
      </c>
      <c r="E322" t="s">
        <v>8</v>
      </c>
      <c r="F322">
        <v>-100</v>
      </c>
      <c r="G322" s="204">
        <v>44197</v>
      </c>
      <c r="H322" s="204" t="e">
        <f t="shared" si="4"/>
        <v>#NUM!</v>
      </c>
    </row>
    <row r="323" spans="1:8" x14ac:dyDescent="0.35">
      <c r="A323">
        <v>4</v>
      </c>
      <c r="B323" t="s">
        <v>16</v>
      </c>
      <c r="C323" t="s">
        <v>31</v>
      </c>
      <c r="D323" t="s">
        <v>4</v>
      </c>
      <c r="E323" t="s">
        <v>8</v>
      </c>
      <c r="F323">
        <v>-78.94736842105263</v>
      </c>
      <c r="G323" s="204">
        <v>44197</v>
      </c>
      <c r="H323" s="204" t="e">
        <f t="shared" ref="G323:H386" si="5">DATE(G323,1,1)</f>
        <v>#NUM!</v>
      </c>
    </row>
    <row r="324" spans="1:8" x14ac:dyDescent="0.35">
      <c r="A324">
        <v>0</v>
      </c>
      <c r="B324" t="s">
        <v>17</v>
      </c>
      <c r="C324" t="s">
        <v>31</v>
      </c>
      <c r="D324" t="s">
        <v>4</v>
      </c>
      <c r="E324" t="s">
        <v>8</v>
      </c>
      <c r="F324">
        <v>0</v>
      </c>
      <c r="G324" s="204">
        <v>44197</v>
      </c>
      <c r="H324" s="204" t="e">
        <f t="shared" si="5"/>
        <v>#NUM!</v>
      </c>
    </row>
    <row r="325" spans="1:8" x14ac:dyDescent="0.35">
      <c r="A325">
        <v>5</v>
      </c>
      <c r="B325" t="s">
        <v>18</v>
      </c>
      <c r="C325" t="s">
        <v>31</v>
      </c>
      <c r="D325" t="s">
        <v>4</v>
      </c>
      <c r="E325" t="s">
        <v>8</v>
      </c>
      <c r="F325">
        <v>25</v>
      </c>
      <c r="G325" s="204">
        <v>44197</v>
      </c>
      <c r="H325" s="204" t="e">
        <f t="shared" si="5"/>
        <v>#NUM!</v>
      </c>
    </row>
    <row r="326" spans="1:8" x14ac:dyDescent="0.35">
      <c r="A326">
        <v>1406</v>
      </c>
      <c r="B326" t="s">
        <v>10</v>
      </c>
      <c r="C326" t="s">
        <v>32</v>
      </c>
      <c r="D326" t="s">
        <v>4</v>
      </c>
      <c r="E326" t="s">
        <v>8</v>
      </c>
      <c r="F326">
        <v>8.4040092521202769</v>
      </c>
      <c r="G326" s="204">
        <v>44197</v>
      </c>
      <c r="H326" s="204" t="e">
        <f t="shared" si="5"/>
        <v>#NUM!</v>
      </c>
    </row>
    <row r="327" spans="1:8" x14ac:dyDescent="0.35">
      <c r="A327">
        <v>289</v>
      </c>
      <c r="B327" t="s">
        <v>11</v>
      </c>
      <c r="C327" t="s">
        <v>32</v>
      </c>
      <c r="D327" t="s">
        <v>4</v>
      </c>
      <c r="E327" t="s">
        <v>8</v>
      </c>
      <c r="F327">
        <v>22.457627118644069</v>
      </c>
      <c r="G327" s="204">
        <v>44197</v>
      </c>
      <c r="H327" s="204" t="e">
        <f t="shared" si="5"/>
        <v>#NUM!</v>
      </c>
    </row>
    <row r="328" spans="1:8" x14ac:dyDescent="0.35">
      <c r="A328">
        <v>164</v>
      </c>
      <c r="B328" t="s">
        <v>12</v>
      </c>
      <c r="C328" t="s">
        <v>32</v>
      </c>
      <c r="D328" t="s">
        <v>4</v>
      </c>
      <c r="E328" t="s">
        <v>8</v>
      </c>
      <c r="F328">
        <v>-3.5294117647058822</v>
      </c>
      <c r="G328" s="204">
        <v>44197</v>
      </c>
      <c r="H328" s="204" t="e">
        <f t="shared" si="5"/>
        <v>#NUM!</v>
      </c>
    </row>
    <row r="329" spans="1:8" x14ac:dyDescent="0.35">
      <c r="A329">
        <v>331</v>
      </c>
      <c r="B329" t="s">
        <v>13</v>
      </c>
      <c r="C329" t="s">
        <v>32</v>
      </c>
      <c r="D329" t="s">
        <v>4</v>
      </c>
      <c r="E329" t="s">
        <v>8</v>
      </c>
      <c r="F329">
        <v>14.930555555555555</v>
      </c>
      <c r="G329" s="204">
        <v>44197</v>
      </c>
      <c r="H329" s="204" t="e">
        <f t="shared" si="5"/>
        <v>#NUM!</v>
      </c>
    </row>
    <row r="330" spans="1:8" x14ac:dyDescent="0.35">
      <c r="A330">
        <v>259</v>
      </c>
      <c r="B330" t="s">
        <v>14</v>
      </c>
      <c r="C330" t="s">
        <v>32</v>
      </c>
      <c r="D330" t="s">
        <v>4</v>
      </c>
      <c r="E330" t="s">
        <v>8</v>
      </c>
      <c r="F330">
        <v>49.710982658959537</v>
      </c>
      <c r="G330" s="204">
        <v>44197</v>
      </c>
      <c r="H330" s="204" t="e">
        <f t="shared" si="5"/>
        <v>#NUM!</v>
      </c>
    </row>
    <row r="331" spans="1:8" x14ac:dyDescent="0.35">
      <c r="A331">
        <v>226</v>
      </c>
      <c r="B331" t="s">
        <v>15</v>
      </c>
      <c r="C331" t="s">
        <v>32</v>
      </c>
      <c r="D331" t="s">
        <v>4</v>
      </c>
      <c r="E331" t="s">
        <v>8</v>
      </c>
      <c r="F331">
        <v>-10.317460317460316</v>
      </c>
      <c r="G331" s="204">
        <v>44197</v>
      </c>
      <c r="H331" s="204" t="e">
        <f t="shared" si="5"/>
        <v>#NUM!</v>
      </c>
    </row>
    <row r="332" spans="1:8" x14ac:dyDescent="0.35">
      <c r="A332">
        <v>195</v>
      </c>
      <c r="B332" t="s">
        <v>16</v>
      </c>
      <c r="C332" t="s">
        <v>32</v>
      </c>
      <c r="D332" t="s">
        <v>4</v>
      </c>
      <c r="E332" t="s">
        <v>8</v>
      </c>
      <c r="F332">
        <v>3.7234042553191489</v>
      </c>
      <c r="G332" s="204">
        <v>44197</v>
      </c>
      <c r="H332" s="204" t="e">
        <f t="shared" si="5"/>
        <v>#NUM!</v>
      </c>
    </row>
    <row r="333" spans="1:8" x14ac:dyDescent="0.35">
      <c r="A333">
        <v>32</v>
      </c>
      <c r="B333" t="s">
        <v>17</v>
      </c>
      <c r="C333" t="s">
        <v>32</v>
      </c>
      <c r="D333" t="s">
        <v>4</v>
      </c>
      <c r="E333" t="s">
        <v>8</v>
      </c>
      <c r="F333">
        <v>-42.857142857142854</v>
      </c>
      <c r="G333" s="204">
        <v>44197</v>
      </c>
      <c r="H333" s="204" t="e">
        <f t="shared" si="5"/>
        <v>#NUM!</v>
      </c>
    </row>
    <row r="334" spans="1:8" x14ac:dyDescent="0.35">
      <c r="A334">
        <v>379</v>
      </c>
      <c r="B334" t="s">
        <v>18</v>
      </c>
      <c r="C334" t="s">
        <v>32</v>
      </c>
      <c r="D334" t="s">
        <v>4</v>
      </c>
      <c r="E334" t="s">
        <v>8</v>
      </c>
      <c r="F334">
        <v>31.141868512110726</v>
      </c>
      <c r="G334" s="204">
        <v>44197</v>
      </c>
      <c r="H334" s="204" t="e">
        <f t="shared" si="5"/>
        <v>#NUM!</v>
      </c>
    </row>
    <row r="335" spans="1:8" x14ac:dyDescent="0.35">
      <c r="A335">
        <v>399</v>
      </c>
      <c r="B335" t="s">
        <v>10</v>
      </c>
      <c r="C335" t="s">
        <v>33</v>
      </c>
      <c r="D335" t="s">
        <v>4</v>
      </c>
      <c r="E335" t="s">
        <v>8</v>
      </c>
      <c r="F335">
        <v>-10.337078651685392</v>
      </c>
      <c r="G335" s="204">
        <v>44197</v>
      </c>
      <c r="H335" s="204" t="e">
        <f t="shared" si="5"/>
        <v>#NUM!</v>
      </c>
    </row>
    <row r="336" spans="1:8" x14ac:dyDescent="0.35">
      <c r="A336">
        <v>62</v>
      </c>
      <c r="B336" t="s">
        <v>11</v>
      </c>
      <c r="C336" t="s">
        <v>33</v>
      </c>
      <c r="D336" t="s">
        <v>4</v>
      </c>
      <c r="E336" t="s">
        <v>8</v>
      </c>
      <c r="F336">
        <v>40.909090909090914</v>
      </c>
      <c r="G336" s="204">
        <v>44197</v>
      </c>
      <c r="H336" s="204" t="e">
        <f t="shared" si="5"/>
        <v>#NUM!</v>
      </c>
    </row>
    <row r="337" spans="1:8" x14ac:dyDescent="0.35">
      <c r="A337">
        <v>118</v>
      </c>
      <c r="B337" t="s">
        <v>12</v>
      </c>
      <c r="C337" t="s">
        <v>33</v>
      </c>
      <c r="D337" t="s">
        <v>4</v>
      </c>
      <c r="E337" t="s">
        <v>8</v>
      </c>
      <c r="F337">
        <v>114.54545454545455</v>
      </c>
      <c r="G337" s="204">
        <v>44197</v>
      </c>
      <c r="H337" s="204" t="e">
        <f t="shared" si="5"/>
        <v>#NUM!</v>
      </c>
    </row>
    <row r="338" spans="1:8" x14ac:dyDescent="0.35">
      <c r="A338">
        <v>123</v>
      </c>
      <c r="B338" t="s">
        <v>13</v>
      </c>
      <c r="C338" t="s">
        <v>33</v>
      </c>
      <c r="D338" t="s">
        <v>4</v>
      </c>
      <c r="E338" t="s">
        <v>8</v>
      </c>
      <c r="F338">
        <v>-6.8181818181818175</v>
      </c>
      <c r="G338" s="204">
        <v>44197</v>
      </c>
      <c r="H338" s="204" t="e">
        <f t="shared" si="5"/>
        <v>#NUM!</v>
      </c>
    </row>
    <row r="339" spans="1:8" x14ac:dyDescent="0.35">
      <c r="A339">
        <v>52</v>
      </c>
      <c r="B339" t="s">
        <v>14</v>
      </c>
      <c r="C339" t="s">
        <v>33</v>
      </c>
      <c r="D339" t="s">
        <v>4</v>
      </c>
      <c r="E339" t="s">
        <v>8</v>
      </c>
      <c r="F339">
        <v>-1.8867924528301887</v>
      </c>
      <c r="G339" s="204">
        <v>44197</v>
      </c>
      <c r="H339" s="204" t="e">
        <f t="shared" si="5"/>
        <v>#NUM!</v>
      </c>
    </row>
    <row r="340" spans="1:8" x14ac:dyDescent="0.35">
      <c r="A340">
        <v>70</v>
      </c>
      <c r="B340" t="s">
        <v>15</v>
      </c>
      <c r="C340" t="s">
        <v>33</v>
      </c>
      <c r="D340" t="s">
        <v>4</v>
      </c>
      <c r="E340" t="s">
        <v>8</v>
      </c>
      <c r="F340">
        <v>-50.354609929078009</v>
      </c>
      <c r="G340" s="204">
        <v>44197</v>
      </c>
      <c r="H340" s="204" t="e">
        <f t="shared" si="5"/>
        <v>#NUM!</v>
      </c>
    </row>
    <row r="341" spans="1:8" x14ac:dyDescent="0.35">
      <c r="A341">
        <v>29</v>
      </c>
      <c r="B341" t="s">
        <v>16</v>
      </c>
      <c r="C341" t="s">
        <v>33</v>
      </c>
      <c r="D341" t="s">
        <v>4</v>
      </c>
      <c r="E341" t="s">
        <v>8</v>
      </c>
      <c r="F341">
        <v>-49.122807017543856</v>
      </c>
      <c r="G341" s="204">
        <v>44197</v>
      </c>
      <c r="H341" s="204" t="e">
        <f t="shared" si="5"/>
        <v>#NUM!</v>
      </c>
    </row>
    <row r="342" spans="1:8" x14ac:dyDescent="0.35">
      <c r="A342">
        <v>20</v>
      </c>
      <c r="B342" t="s">
        <v>17</v>
      </c>
      <c r="C342" t="s">
        <v>33</v>
      </c>
      <c r="D342" t="s">
        <v>4</v>
      </c>
      <c r="E342" t="s">
        <v>8</v>
      </c>
      <c r="F342">
        <v>-58.333333333333336</v>
      </c>
      <c r="G342" s="204">
        <v>44197</v>
      </c>
      <c r="H342" s="204" t="e">
        <f t="shared" si="5"/>
        <v>#NUM!</v>
      </c>
    </row>
    <row r="343" spans="1:8" x14ac:dyDescent="0.35">
      <c r="A343">
        <v>78</v>
      </c>
      <c r="B343" t="s">
        <v>18</v>
      </c>
      <c r="C343" t="s">
        <v>33</v>
      </c>
      <c r="D343" t="s">
        <v>4</v>
      </c>
      <c r="E343" t="s">
        <v>8</v>
      </c>
      <c r="F343">
        <v>-52.147239263803677</v>
      </c>
      <c r="G343" s="204">
        <v>44197</v>
      </c>
      <c r="H343" s="204" t="e">
        <f t="shared" si="5"/>
        <v>#NUM!</v>
      </c>
    </row>
    <row r="344" spans="1:8" x14ac:dyDescent="0.35">
      <c r="A344">
        <v>383</v>
      </c>
      <c r="B344" t="s">
        <v>10</v>
      </c>
      <c r="C344" t="s">
        <v>34</v>
      </c>
      <c r="D344" t="s">
        <v>4</v>
      </c>
      <c r="E344" t="s">
        <v>8</v>
      </c>
      <c r="F344">
        <v>-26.061776061776058</v>
      </c>
      <c r="G344" s="204">
        <v>44197</v>
      </c>
      <c r="H344" s="204" t="e">
        <f t="shared" si="5"/>
        <v>#NUM!</v>
      </c>
    </row>
    <row r="345" spans="1:8" x14ac:dyDescent="0.35">
      <c r="A345">
        <v>180</v>
      </c>
      <c r="B345" t="s">
        <v>11</v>
      </c>
      <c r="C345" t="s">
        <v>34</v>
      </c>
      <c r="D345" t="s">
        <v>4</v>
      </c>
      <c r="E345" t="s">
        <v>8</v>
      </c>
      <c r="F345">
        <v>847.36842105263145</v>
      </c>
      <c r="G345" s="204">
        <v>44197</v>
      </c>
      <c r="H345" s="204" t="e">
        <f t="shared" si="5"/>
        <v>#NUM!</v>
      </c>
    </row>
    <row r="346" spans="1:8" x14ac:dyDescent="0.35">
      <c r="A346">
        <v>49</v>
      </c>
      <c r="B346" t="s">
        <v>12</v>
      </c>
      <c r="C346" t="s">
        <v>34</v>
      </c>
      <c r="D346" t="s">
        <v>4</v>
      </c>
      <c r="E346" t="s">
        <v>8</v>
      </c>
      <c r="F346">
        <v>145</v>
      </c>
      <c r="G346" s="204">
        <v>44197</v>
      </c>
      <c r="H346" s="204" t="e">
        <f t="shared" si="5"/>
        <v>#NUM!</v>
      </c>
    </row>
    <row r="347" spans="1:8" x14ac:dyDescent="0.35">
      <c r="A347">
        <v>61</v>
      </c>
      <c r="B347" t="s">
        <v>13</v>
      </c>
      <c r="C347" t="s">
        <v>34</v>
      </c>
      <c r="D347" t="s">
        <v>4</v>
      </c>
      <c r="E347" t="s">
        <v>8</v>
      </c>
      <c r="F347">
        <v>90.625</v>
      </c>
      <c r="G347" s="204">
        <v>44197</v>
      </c>
      <c r="H347" s="204" t="e">
        <f t="shared" si="5"/>
        <v>#NUM!</v>
      </c>
    </row>
    <row r="348" spans="1:8" x14ac:dyDescent="0.35">
      <c r="A348">
        <v>66</v>
      </c>
      <c r="B348" t="s">
        <v>14</v>
      </c>
      <c r="C348" t="s">
        <v>34</v>
      </c>
      <c r="D348" t="s">
        <v>4</v>
      </c>
      <c r="E348" t="s">
        <v>8</v>
      </c>
      <c r="F348">
        <v>22.222222222222221</v>
      </c>
      <c r="G348" s="204">
        <v>44197</v>
      </c>
      <c r="H348" s="204" t="e">
        <f t="shared" si="5"/>
        <v>#NUM!</v>
      </c>
    </row>
    <row r="349" spans="1:8" x14ac:dyDescent="0.35">
      <c r="A349">
        <v>46</v>
      </c>
      <c r="B349" t="s">
        <v>15</v>
      </c>
      <c r="C349" t="s">
        <v>34</v>
      </c>
      <c r="D349" t="s">
        <v>4</v>
      </c>
      <c r="E349" t="s">
        <v>8</v>
      </c>
      <c r="F349">
        <v>9.5238095238095237</v>
      </c>
      <c r="G349" s="204">
        <v>44197</v>
      </c>
      <c r="H349" s="204" t="e">
        <f t="shared" si="5"/>
        <v>#NUM!</v>
      </c>
    </row>
    <row r="350" spans="1:8" x14ac:dyDescent="0.35">
      <c r="A350">
        <v>24</v>
      </c>
      <c r="B350" t="s">
        <v>16</v>
      </c>
      <c r="C350" t="s">
        <v>34</v>
      </c>
      <c r="D350" t="s">
        <v>4</v>
      </c>
      <c r="E350" t="s">
        <v>8</v>
      </c>
      <c r="F350">
        <v>-27.27272727272727</v>
      </c>
      <c r="G350" s="204">
        <v>44197</v>
      </c>
      <c r="H350" s="204" t="e">
        <f t="shared" si="5"/>
        <v>#NUM!</v>
      </c>
    </row>
    <row r="351" spans="1:8" x14ac:dyDescent="0.35">
      <c r="A351">
        <v>13</v>
      </c>
      <c r="B351" t="s">
        <v>17</v>
      </c>
      <c r="C351" t="s">
        <v>34</v>
      </c>
      <c r="D351" t="s">
        <v>4</v>
      </c>
      <c r="E351" t="s">
        <v>8</v>
      </c>
      <c r="F351">
        <v>-72.340425531914903</v>
      </c>
      <c r="G351" s="204">
        <v>44197</v>
      </c>
      <c r="H351" s="204" t="e">
        <f t="shared" si="5"/>
        <v>#NUM!</v>
      </c>
    </row>
    <row r="352" spans="1:8" x14ac:dyDescent="0.35">
      <c r="A352">
        <v>88</v>
      </c>
      <c r="B352" t="s">
        <v>18</v>
      </c>
      <c r="C352" t="s">
        <v>34</v>
      </c>
      <c r="D352" t="s">
        <v>4</v>
      </c>
      <c r="E352" t="s">
        <v>8</v>
      </c>
      <c r="F352">
        <v>225.9259259259259</v>
      </c>
      <c r="G352" s="204">
        <v>44197</v>
      </c>
      <c r="H352" s="204" t="e">
        <f t="shared" si="5"/>
        <v>#NUM!</v>
      </c>
    </row>
    <row r="353" spans="1:8" x14ac:dyDescent="0.35">
      <c r="A353">
        <v>79</v>
      </c>
      <c r="B353" t="s">
        <v>10</v>
      </c>
      <c r="C353" t="s">
        <v>22</v>
      </c>
      <c r="D353" t="s">
        <v>3</v>
      </c>
      <c r="E353" t="s">
        <v>7</v>
      </c>
      <c r="F353">
        <v>-8.1395348837209305</v>
      </c>
      <c r="G353" s="204">
        <v>43831</v>
      </c>
      <c r="H353" s="204" t="e">
        <f t="shared" si="5"/>
        <v>#NUM!</v>
      </c>
    </row>
    <row r="354" spans="1:8" x14ac:dyDescent="0.35">
      <c r="A354">
        <v>0</v>
      </c>
      <c r="B354" t="s">
        <v>11</v>
      </c>
      <c r="C354" t="s">
        <v>22</v>
      </c>
      <c r="D354" t="s">
        <v>3</v>
      </c>
      <c r="E354" t="s">
        <v>7</v>
      </c>
      <c r="F354">
        <v>0</v>
      </c>
      <c r="G354" s="204">
        <v>43831</v>
      </c>
      <c r="H354" s="204" t="e">
        <f t="shared" si="5"/>
        <v>#NUM!</v>
      </c>
    </row>
    <row r="355" spans="1:8" x14ac:dyDescent="0.35">
      <c r="A355">
        <v>8</v>
      </c>
      <c r="B355" t="s">
        <v>12</v>
      </c>
      <c r="C355" t="s">
        <v>22</v>
      </c>
      <c r="D355" t="s">
        <v>3</v>
      </c>
      <c r="E355" t="s">
        <v>7</v>
      </c>
      <c r="F355">
        <v>0</v>
      </c>
      <c r="G355" s="204">
        <v>43831</v>
      </c>
      <c r="H355" s="204" t="e">
        <f t="shared" si="5"/>
        <v>#NUM!</v>
      </c>
    </row>
    <row r="356" spans="1:8" x14ac:dyDescent="0.35">
      <c r="A356">
        <v>9</v>
      </c>
      <c r="B356" t="s">
        <v>13</v>
      </c>
      <c r="C356" t="s">
        <v>22</v>
      </c>
      <c r="D356" t="s">
        <v>3</v>
      </c>
      <c r="E356" t="s">
        <v>7</v>
      </c>
      <c r="F356">
        <v>350</v>
      </c>
      <c r="G356" s="204">
        <v>43831</v>
      </c>
      <c r="H356" s="204" t="e">
        <f t="shared" si="5"/>
        <v>#NUM!</v>
      </c>
    </row>
    <row r="357" spans="1:8" x14ac:dyDescent="0.35">
      <c r="A357">
        <v>3</v>
      </c>
      <c r="B357" t="s">
        <v>14</v>
      </c>
      <c r="C357" t="s">
        <v>22</v>
      </c>
      <c r="D357" t="s">
        <v>3</v>
      </c>
      <c r="E357" t="s">
        <v>7</v>
      </c>
      <c r="F357">
        <v>50</v>
      </c>
      <c r="G357" s="204">
        <v>43831</v>
      </c>
      <c r="H357" s="204" t="e">
        <f t="shared" si="5"/>
        <v>#NUM!</v>
      </c>
    </row>
    <row r="358" spans="1:8" x14ac:dyDescent="0.35">
      <c r="A358">
        <v>4</v>
      </c>
      <c r="B358" t="s">
        <v>15</v>
      </c>
      <c r="C358" t="s">
        <v>22</v>
      </c>
      <c r="D358" t="s">
        <v>3</v>
      </c>
      <c r="E358" t="s">
        <v>7</v>
      </c>
      <c r="F358">
        <v>100</v>
      </c>
      <c r="G358" s="204">
        <v>43831</v>
      </c>
      <c r="H358" s="204" t="e">
        <f t="shared" si="5"/>
        <v>#NUM!</v>
      </c>
    </row>
    <row r="359" spans="1:8" x14ac:dyDescent="0.35">
      <c r="A359">
        <v>6</v>
      </c>
      <c r="B359" t="s">
        <v>16</v>
      </c>
      <c r="C359" t="s">
        <v>22</v>
      </c>
      <c r="D359" t="s">
        <v>3</v>
      </c>
      <c r="E359" t="s">
        <v>7</v>
      </c>
      <c r="F359">
        <v>6</v>
      </c>
      <c r="G359" s="204">
        <v>43831</v>
      </c>
      <c r="H359" s="204" t="e">
        <f t="shared" si="5"/>
        <v>#NUM!</v>
      </c>
    </row>
    <row r="360" spans="1:8" x14ac:dyDescent="0.35">
      <c r="A360">
        <v>0</v>
      </c>
      <c r="B360" t="s">
        <v>17</v>
      </c>
      <c r="C360" t="s">
        <v>22</v>
      </c>
      <c r="D360" t="s">
        <v>3</v>
      </c>
      <c r="E360" t="s">
        <v>7</v>
      </c>
      <c r="F360">
        <v>-100</v>
      </c>
      <c r="G360" s="204">
        <v>43831</v>
      </c>
      <c r="H360" s="204" t="e">
        <f t="shared" si="5"/>
        <v>#NUM!</v>
      </c>
    </row>
    <row r="361" spans="1:8" x14ac:dyDescent="0.35">
      <c r="A361">
        <v>2</v>
      </c>
      <c r="B361" t="s">
        <v>18</v>
      </c>
      <c r="C361" t="s">
        <v>22</v>
      </c>
      <c r="D361" t="s">
        <v>3</v>
      </c>
      <c r="E361" t="s">
        <v>7</v>
      </c>
      <c r="F361">
        <v>100</v>
      </c>
      <c r="G361" s="204">
        <v>43831</v>
      </c>
      <c r="H361" s="204" t="e">
        <f t="shared" si="5"/>
        <v>#NUM!</v>
      </c>
    </row>
    <row r="362" spans="1:8" x14ac:dyDescent="0.35">
      <c r="A362">
        <v>39</v>
      </c>
      <c r="B362" t="s">
        <v>10</v>
      </c>
      <c r="C362" t="s">
        <v>23</v>
      </c>
      <c r="D362" t="s">
        <v>3</v>
      </c>
      <c r="E362" t="s">
        <v>7</v>
      </c>
      <c r="F362">
        <v>-9.3023255813953494</v>
      </c>
      <c r="G362" s="204">
        <v>43831</v>
      </c>
      <c r="H362" s="204" t="e">
        <f t="shared" si="5"/>
        <v>#NUM!</v>
      </c>
    </row>
    <row r="363" spans="1:8" x14ac:dyDescent="0.35">
      <c r="A363">
        <v>0</v>
      </c>
      <c r="B363" t="s">
        <v>11</v>
      </c>
      <c r="C363" t="s">
        <v>23</v>
      </c>
      <c r="D363" t="s">
        <v>3</v>
      </c>
      <c r="E363" t="s">
        <v>7</v>
      </c>
      <c r="F363">
        <v>0</v>
      </c>
      <c r="G363" s="204">
        <v>43831</v>
      </c>
      <c r="H363" s="204" t="e">
        <f t="shared" si="5"/>
        <v>#NUM!</v>
      </c>
    </row>
    <row r="364" spans="1:8" x14ac:dyDescent="0.35">
      <c r="A364">
        <v>6</v>
      </c>
      <c r="B364" t="s">
        <v>12</v>
      </c>
      <c r="C364" t="s">
        <v>23</v>
      </c>
      <c r="D364" t="s">
        <v>3</v>
      </c>
      <c r="E364" t="s">
        <v>7</v>
      </c>
      <c r="F364">
        <v>6</v>
      </c>
      <c r="G364" s="204">
        <v>43831</v>
      </c>
      <c r="H364" s="204" t="e">
        <f t="shared" si="5"/>
        <v>#NUM!</v>
      </c>
    </row>
    <row r="365" spans="1:8" x14ac:dyDescent="0.35">
      <c r="A365">
        <v>3</v>
      </c>
      <c r="B365" t="s">
        <v>13</v>
      </c>
      <c r="C365" t="s">
        <v>23</v>
      </c>
      <c r="D365" t="s">
        <v>3</v>
      </c>
      <c r="E365" t="s">
        <v>7</v>
      </c>
      <c r="F365">
        <v>50</v>
      </c>
      <c r="G365" s="204">
        <v>43831</v>
      </c>
      <c r="H365" s="204" t="e">
        <f t="shared" si="5"/>
        <v>#NUM!</v>
      </c>
    </row>
    <row r="366" spans="1:8" x14ac:dyDescent="0.35">
      <c r="A366">
        <v>0</v>
      </c>
      <c r="B366" t="s">
        <v>14</v>
      </c>
      <c r="C366" t="s">
        <v>23</v>
      </c>
      <c r="D366" t="s">
        <v>3</v>
      </c>
      <c r="E366" t="s">
        <v>7</v>
      </c>
      <c r="F366">
        <v>-100</v>
      </c>
      <c r="G366" s="204">
        <v>43831</v>
      </c>
      <c r="H366" s="204" t="e">
        <f t="shared" si="5"/>
        <v>#NUM!</v>
      </c>
    </row>
    <row r="367" spans="1:8" x14ac:dyDescent="0.35">
      <c r="A367">
        <v>4</v>
      </c>
      <c r="B367" t="s">
        <v>15</v>
      </c>
      <c r="C367" t="s">
        <v>23</v>
      </c>
      <c r="D367" t="s">
        <v>3</v>
      </c>
      <c r="E367" t="s">
        <v>7</v>
      </c>
      <c r="F367">
        <v>33.333333333333329</v>
      </c>
      <c r="G367" s="204">
        <v>43831</v>
      </c>
      <c r="H367" s="204" t="e">
        <f t="shared" si="5"/>
        <v>#NUM!</v>
      </c>
    </row>
    <row r="368" spans="1:8" x14ac:dyDescent="0.35">
      <c r="A368">
        <v>0</v>
      </c>
      <c r="B368" t="s">
        <v>16</v>
      </c>
      <c r="C368" t="s">
        <v>23</v>
      </c>
      <c r="D368" t="s">
        <v>3</v>
      </c>
      <c r="E368" t="s">
        <v>7</v>
      </c>
      <c r="F368">
        <v>0</v>
      </c>
      <c r="G368" s="204">
        <v>43831</v>
      </c>
      <c r="H368" s="204" t="e">
        <f t="shared" si="5"/>
        <v>#NUM!</v>
      </c>
    </row>
    <row r="369" spans="1:8" x14ac:dyDescent="0.35">
      <c r="A369">
        <v>0</v>
      </c>
      <c r="B369" t="s">
        <v>17</v>
      </c>
      <c r="C369" t="s">
        <v>23</v>
      </c>
      <c r="D369" t="s">
        <v>3</v>
      </c>
      <c r="E369" t="s">
        <v>7</v>
      </c>
      <c r="F369">
        <v>-100</v>
      </c>
      <c r="G369" s="204">
        <v>43831</v>
      </c>
      <c r="H369" s="204" t="e">
        <f t="shared" si="5"/>
        <v>#NUM!</v>
      </c>
    </row>
    <row r="370" spans="1:8" x14ac:dyDescent="0.35">
      <c r="A370">
        <v>3</v>
      </c>
      <c r="B370" t="s">
        <v>18</v>
      </c>
      <c r="C370" t="s">
        <v>23</v>
      </c>
      <c r="D370" t="s">
        <v>3</v>
      </c>
      <c r="E370" t="s">
        <v>7</v>
      </c>
      <c r="F370">
        <v>3</v>
      </c>
      <c r="G370" s="204">
        <v>43831</v>
      </c>
      <c r="H370" s="204" t="e">
        <f t="shared" si="5"/>
        <v>#NUM!</v>
      </c>
    </row>
    <row r="371" spans="1:8" x14ac:dyDescent="0.35">
      <c r="A371">
        <v>11</v>
      </c>
      <c r="B371" t="s">
        <v>10</v>
      </c>
      <c r="C371" t="s">
        <v>24</v>
      </c>
      <c r="D371" t="s">
        <v>3</v>
      </c>
      <c r="E371" t="s">
        <v>7</v>
      </c>
      <c r="F371">
        <v>-54.166666666666664</v>
      </c>
      <c r="G371" s="204">
        <v>43831</v>
      </c>
      <c r="H371" s="204" t="e">
        <f t="shared" si="5"/>
        <v>#NUM!</v>
      </c>
    </row>
    <row r="372" spans="1:8" x14ac:dyDescent="0.35">
      <c r="A372">
        <v>0</v>
      </c>
      <c r="B372" t="s">
        <v>11</v>
      </c>
      <c r="C372" t="s">
        <v>24</v>
      </c>
      <c r="D372" t="s">
        <v>3</v>
      </c>
      <c r="E372" t="s">
        <v>7</v>
      </c>
      <c r="F372">
        <v>0</v>
      </c>
      <c r="G372" s="204">
        <v>43831</v>
      </c>
      <c r="H372" s="204" t="e">
        <f t="shared" si="5"/>
        <v>#NUM!</v>
      </c>
    </row>
    <row r="373" spans="1:8" x14ac:dyDescent="0.35">
      <c r="A373">
        <v>0</v>
      </c>
      <c r="B373" t="s">
        <v>12</v>
      </c>
      <c r="C373" t="s">
        <v>24</v>
      </c>
      <c r="D373" t="s">
        <v>3</v>
      </c>
      <c r="E373" t="s">
        <v>7</v>
      </c>
      <c r="F373">
        <v>0</v>
      </c>
      <c r="G373" s="204">
        <v>43831</v>
      </c>
      <c r="H373" s="204" t="e">
        <f t="shared" si="5"/>
        <v>#NUM!</v>
      </c>
    </row>
    <row r="374" spans="1:8" x14ac:dyDescent="0.35">
      <c r="A374">
        <v>0</v>
      </c>
      <c r="B374" t="s">
        <v>13</v>
      </c>
      <c r="C374" t="s">
        <v>24</v>
      </c>
      <c r="D374" t="s">
        <v>3</v>
      </c>
      <c r="E374" t="s">
        <v>7</v>
      </c>
      <c r="F374">
        <v>0</v>
      </c>
      <c r="G374" s="204">
        <v>43831</v>
      </c>
      <c r="H374" s="204" t="e">
        <f t="shared" si="5"/>
        <v>#NUM!</v>
      </c>
    </row>
    <row r="375" spans="1:8" x14ac:dyDescent="0.35">
      <c r="A375">
        <v>0</v>
      </c>
      <c r="B375" t="s">
        <v>14</v>
      </c>
      <c r="C375" t="s">
        <v>24</v>
      </c>
      <c r="D375" t="s">
        <v>3</v>
      </c>
      <c r="E375" t="s">
        <v>7</v>
      </c>
      <c r="F375">
        <v>0</v>
      </c>
      <c r="G375" s="204">
        <v>43831</v>
      </c>
      <c r="H375" s="204" t="e">
        <f t="shared" si="5"/>
        <v>#NUM!</v>
      </c>
    </row>
    <row r="376" spans="1:8" x14ac:dyDescent="0.35">
      <c r="A376">
        <v>0</v>
      </c>
      <c r="B376" t="s">
        <v>15</v>
      </c>
      <c r="C376" t="s">
        <v>24</v>
      </c>
      <c r="D376" t="s">
        <v>3</v>
      </c>
      <c r="E376" t="s">
        <v>7</v>
      </c>
      <c r="F376">
        <v>-100</v>
      </c>
      <c r="G376" s="204">
        <v>43831</v>
      </c>
      <c r="H376" s="204" t="e">
        <f t="shared" si="5"/>
        <v>#NUM!</v>
      </c>
    </row>
    <row r="377" spans="1:8" x14ac:dyDescent="0.35">
      <c r="A377">
        <v>0</v>
      </c>
      <c r="B377" t="s">
        <v>16</v>
      </c>
      <c r="C377" t="s">
        <v>24</v>
      </c>
      <c r="D377" t="s">
        <v>3</v>
      </c>
      <c r="E377" t="s">
        <v>7</v>
      </c>
      <c r="F377">
        <v>0</v>
      </c>
      <c r="G377" s="204">
        <v>43831</v>
      </c>
      <c r="H377" s="204" t="e">
        <f t="shared" si="5"/>
        <v>#NUM!</v>
      </c>
    </row>
    <row r="378" spans="1:8" x14ac:dyDescent="0.35">
      <c r="A378">
        <v>0</v>
      </c>
      <c r="B378" t="s">
        <v>17</v>
      </c>
      <c r="C378" t="s">
        <v>24</v>
      </c>
      <c r="D378" t="s">
        <v>3</v>
      </c>
      <c r="E378" t="s">
        <v>7</v>
      </c>
      <c r="F378">
        <v>0</v>
      </c>
      <c r="G378" s="204">
        <v>43831</v>
      </c>
      <c r="H378" s="204" t="e">
        <f t="shared" si="5"/>
        <v>#NUM!</v>
      </c>
    </row>
    <row r="379" spans="1:8" x14ac:dyDescent="0.35">
      <c r="A379">
        <v>2</v>
      </c>
      <c r="B379" t="s">
        <v>18</v>
      </c>
      <c r="C379" t="s">
        <v>24</v>
      </c>
      <c r="D379" t="s">
        <v>3</v>
      </c>
      <c r="E379" t="s">
        <v>7</v>
      </c>
      <c r="F379">
        <v>2</v>
      </c>
      <c r="G379" s="204">
        <v>43831</v>
      </c>
      <c r="H379" s="204" t="e">
        <f t="shared" si="5"/>
        <v>#NUM!</v>
      </c>
    </row>
    <row r="380" spans="1:8" x14ac:dyDescent="0.35">
      <c r="A380">
        <v>7</v>
      </c>
      <c r="B380" t="s">
        <v>10</v>
      </c>
      <c r="C380" t="s">
        <v>25</v>
      </c>
      <c r="D380" t="s">
        <v>3</v>
      </c>
      <c r="E380" t="s">
        <v>7</v>
      </c>
      <c r="F380">
        <v>-66.666666666666657</v>
      </c>
      <c r="G380" s="204">
        <v>43831</v>
      </c>
      <c r="H380" s="204" t="e">
        <f t="shared" si="5"/>
        <v>#NUM!</v>
      </c>
    </row>
    <row r="381" spans="1:8" x14ac:dyDescent="0.35">
      <c r="A381">
        <v>0</v>
      </c>
      <c r="B381" t="s">
        <v>11</v>
      </c>
      <c r="C381" t="s">
        <v>25</v>
      </c>
      <c r="D381" t="s">
        <v>3</v>
      </c>
      <c r="E381" t="s">
        <v>7</v>
      </c>
      <c r="F381">
        <v>-100</v>
      </c>
      <c r="G381" s="204">
        <v>43831</v>
      </c>
      <c r="H381" s="204" t="e">
        <f t="shared" si="5"/>
        <v>#NUM!</v>
      </c>
    </row>
    <row r="382" spans="1:8" x14ac:dyDescent="0.35">
      <c r="A382">
        <v>2</v>
      </c>
      <c r="B382" t="s">
        <v>12</v>
      </c>
      <c r="C382" t="s">
        <v>25</v>
      </c>
      <c r="D382" t="s">
        <v>3</v>
      </c>
      <c r="E382" t="s">
        <v>7</v>
      </c>
      <c r="F382">
        <v>-50</v>
      </c>
      <c r="G382" s="204">
        <v>43831</v>
      </c>
      <c r="H382" s="204" t="e">
        <f t="shared" si="5"/>
        <v>#NUM!</v>
      </c>
    </row>
    <row r="383" spans="1:8" x14ac:dyDescent="0.35">
      <c r="A383">
        <v>3</v>
      </c>
      <c r="B383" t="s">
        <v>13</v>
      </c>
      <c r="C383" t="s">
        <v>25</v>
      </c>
      <c r="D383" t="s">
        <v>3</v>
      </c>
      <c r="E383" t="s">
        <v>7</v>
      </c>
      <c r="F383">
        <v>50</v>
      </c>
      <c r="G383" s="204">
        <v>43831</v>
      </c>
      <c r="H383" s="204" t="e">
        <f t="shared" si="5"/>
        <v>#NUM!</v>
      </c>
    </row>
    <row r="384" spans="1:8" x14ac:dyDescent="0.35">
      <c r="A384">
        <v>1</v>
      </c>
      <c r="B384" t="s">
        <v>14</v>
      </c>
      <c r="C384" t="s">
        <v>25</v>
      </c>
      <c r="D384" t="s">
        <v>3</v>
      </c>
      <c r="E384" t="s">
        <v>7</v>
      </c>
      <c r="F384">
        <v>-87.5</v>
      </c>
      <c r="G384" s="204">
        <v>43831</v>
      </c>
      <c r="H384" s="204" t="e">
        <f t="shared" si="5"/>
        <v>#NUM!</v>
      </c>
    </row>
    <row r="385" spans="1:8" x14ac:dyDescent="0.35">
      <c r="A385">
        <v>2</v>
      </c>
      <c r="B385" t="s">
        <v>15</v>
      </c>
      <c r="C385" t="s">
        <v>25</v>
      </c>
      <c r="D385" t="s">
        <v>3</v>
      </c>
      <c r="E385" t="s">
        <v>7</v>
      </c>
      <c r="F385">
        <v>0</v>
      </c>
      <c r="G385" s="204">
        <v>43831</v>
      </c>
      <c r="H385" s="204" t="e">
        <f t="shared" si="5"/>
        <v>#NUM!</v>
      </c>
    </row>
    <row r="386" spans="1:8" x14ac:dyDescent="0.35">
      <c r="A386">
        <v>0</v>
      </c>
      <c r="B386" t="s">
        <v>16</v>
      </c>
      <c r="C386" t="s">
        <v>25</v>
      </c>
      <c r="D386" t="s">
        <v>3</v>
      </c>
      <c r="E386" t="s">
        <v>7</v>
      </c>
      <c r="F386">
        <v>-100</v>
      </c>
      <c r="G386" s="204">
        <v>43831</v>
      </c>
      <c r="H386" s="204" t="e">
        <f t="shared" si="5"/>
        <v>#NUM!</v>
      </c>
    </row>
    <row r="387" spans="1:8" x14ac:dyDescent="0.35">
      <c r="A387">
        <v>2</v>
      </c>
      <c r="B387" t="s">
        <v>17</v>
      </c>
      <c r="C387" t="s">
        <v>25</v>
      </c>
      <c r="D387" t="s">
        <v>3</v>
      </c>
      <c r="E387" t="s">
        <v>7</v>
      </c>
      <c r="F387">
        <v>0</v>
      </c>
      <c r="G387" s="204">
        <v>43831</v>
      </c>
      <c r="H387" s="204" t="e">
        <f t="shared" ref="G387:H450" si="6">DATE(G387,1,1)</f>
        <v>#NUM!</v>
      </c>
    </row>
    <row r="388" spans="1:8" x14ac:dyDescent="0.35">
      <c r="A388">
        <v>3</v>
      </c>
      <c r="B388" t="s">
        <v>18</v>
      </c>
      <c r="C388" t="s">
        <v>25</v>
      </c>
      <c r="D388" t="s">
        <v>3</v>
      </c>
      <c r="E388" t="s">
        <v>7</v>
      </c>
      <c r="F388">
        <v>-25</v>
      </c>
      <c r="G388" s="204">
        <v>43831</v>
      </c>
      <c r="H388" s="204" t="e">
        <f t="shared" si="6"/>
        <v>#NUM!</v>
      </c>
    </row>
    <row r="389" spans="1:8" x14ac:dyDescent="0.35">
      <c r="A389">
        <v>2</v>
      </c>
      <c r="B389" t="s">
        <v>10</v>
      </c>
      <c r="C389" t="s">
        <v>26</v>
      </c>
      <c r="D389" t="s">
        <v>3</v>
      </c>
      <c r="E389" t="s">
        <v>7</v>
      </c>
      <c r="F389">
        <v>2</v>
      </c>
      <c r="G389" s="204">
        <v>43831</v>
      </c>
      <c r="H389" s="204" t="e">
        <f t="shared" si="6"/>
        <v>#NUM!</v>
      </c>
    </row>
    <row r="390" spans="1:8" x14ac:dyDescent="0.35">
      <c r="A390">
        <v>2</v>
      </c>
      <c r="B390" t="s">
        <v>11</v>
      </c>
      <c r="C390" t="s">
        <v>26</v>
      </c>
      <c r="D390" t="s">
        <v>3</v>
      </c>
      <c r="E390" t="s">
        <v>7</v>
      </c>
      <c r="F390">
        <v>100</v>
      </c>
      <c r="G390" s="204">
        <v>43831</v>
      </c>
      <c r="H390" s="204" t="e">
        <f t="shared" si="6"/>
        <v>#NUM!</v>
      </c>
    </row>
    <row r="391" spans="1:8" x14ac:dyDescent="0.35">
      <c r="A391">
        <v>0</v>
      </c>
      <c r="B391" t="s">
        <v>12</v>
      </c>
      <c r="C391" t="s">
        <v>26</v>
      </c>
      <c r="D391" t="s">
        <v>3</v>
      </c>
      <c r="E391" t="s">
        <v>7</v>
      </c>
      <c r="F391">
        <v>0</v>
      </c>
      <c r="G391" s="204">
        <v>43831</v>
      </c>
      <c r="H391" s="204" t="e">
        <f t="shared" si="6"/>
        <v>#NUM!</v>
      </c>
    </row>
    <row r="392" spans="1:8" x14ac:dyDescent="0.35">
      <c r="A392">
        <v>0</v>
      </c>
      <c r="B392" t="s">
        <v>13</v>
      </c>
      <c r="C392" t="s">
        <v>26</v>
      </c>
      <c r="D392" t="s">
        <v>3</v>
      </c>
      <c r="E392" t="s">
        <v>7</v>
      </c>
      <c r="F392">
        <v>0</v>
      </c>
      <c r="G392" s="204">
        <v>43831</v>
      </c>
      <c r="H392" s="204" t="e">
        <f t="shared" si="6"/>
        <v>#NUM!</v>
      </c>
    </row>
    <row r="393" spans="1:8" x14ac:dyDescent="0.35">
      <c r="A393">
        <v>0</v>
      </c>
      <c r="B393" t="s">
        <v>14</v>
      </c>
      <c r="C393" t="s">
        <v>26</v>
      </c>
      <c r="D393" t="s">
        <v>3</v>
      </c>
      <c r="E393" t="s">
        <v>7</v>
      </c>
      <c r="F393">
        <v>0</v>
      </c>
      <c r="G393" s="204">
        <v>43831</v>
      </c>
      <c r="H393" s="204" t="e">
        <f t="shared" si="6"/>
        <v>#NUM!</v>
      </c>
    </row>
    <row r="394" spans="1:8" x14ac:dyDescent="0.35">
      <c r="A394">
        <v>0</v>
      </c>
      <c r="B394" t="s">
        <v>15</v>
      </c>
      <c r="C394" t="s">
        <v>26</v>
      </c>
      <c r="D394" t="s">
        <v>3</v>
      </c>
      <c r="E394" t="s">
        <v>7</v>
      </c>
      <c r="F394">
        <v>0</v>
      </c>
      <c r="G394" s="204">
        <v>43831</v>
      </c>
      <c r="H394" s="204" t="e">
        <f t="shared" si="6"/>
        <v>#NUM!</v>
      </c>
    </row>
    <row r="395" spans="1:8" x14ac:dyDescent="0.35">
      <c r="A395">
        <v>1</v>
      </c>
      <c r="B395" t="s">
        <v>16</v>
      </c>
      <c r="C395" t="s">
        <v>26</v>
      </c>
      <c r="D395" t="s">
        <v>3</v>
      </c>
      <c r="E395" t="s">
        <v>7</v>
      </c>
      <c r="F395">
        <v>0</v>
      </c>
      <c r="G395" s="204">
        <v>43831</v>
      </c>
      <c r="H395" s="204" t="e">
        <f t="shared" si="6"/>
        <v>#NUM!</v>
      </c>
    </row>
    <row r="396" spans="1:8" x14ac:dyDescent="0.35">
      <c r="A396">
        <v>0</v>
      </c>
      <c r="B396" t="s">
        <v>17</v>
      </c>
      <c r="C396" t="s">
        <v>26</v>
      </c>
      <c r="D396" t="s">
        <v>3</v>
      </c>
      <c r="E396" t="s">
        <v>7</v>
      </c>
      <c r="F396">
        <v>0</v>
      </c>
      <c r="G396" s="204">
        <v>43831</v>
      </c>
      <c r="H396" s="204" t="e">
        <f t="shared" si="6"/>
        <v>#NUM!</v>
      </c>
    </row>
    <row r="397" spans="1:8" x14ac:dyDescent="0.35">
      <c r="A397">
        <v>0</v>
      </c>
      <c r="B397" t="s">
        <v>18</v>
      </c>
      <c r="C397" t="s">
        <v>26</v>
      </c>
      <c r="D397" t="s">
        <v>3</v>
      </c>
      <c r="E397" t="s">
        <v>7</v>
      </c>
      <c r="F397">
        <v>0</v>
      </c>
      <c r="G397" s="204">
        <v>43831</v>
      </c>
      <c r="H397" s="204" t="e">
        <f t="shared" si="6"/>
        <v>#NUM!</v>
      </c>
    </row>
    <row r="398" spans="1:8" x14ac:dyDescent="0.35">
      <c r="A398">
        <v>7</v>
      </c>
      <c r="B398" t="s">
        <v>10</v>
      </c>
      <c r="C398" t="s">
        <v>27</v>
      </c>
      <c r="D398" t="s">
        <v>3</v>
      </c>
      <c r="E398" t="s">
        <v>7</v>
      </c>
      <c r="F398">
        <v>-61.111111111111114</v>
      </c>
      <c r="G398" s="204">
        <v>43831</v>
      </c>
      <c r="H398" s="204" t="e">
        <f t="shared" si="6"/>
        <v>#NUM!</v>
      </c>
    </row>
    <row r="399" spans="1:8" x14ac:dyDescent="0.35">
      <c r="A399">
        <v>0</v>
      </c>
      <c r="B399" t="s">
        <v>11</v>
      </c>
      <c r="C399" t="s">
        <v>27</v>
      </c>
      <c r="D399" t="s">
        <v>3</v>
      </c>
      <c r="E399" t="s">
        <v>7</v>
      </c>
      <c r="F399">
        <v>0</v>
      </c>
      <c r="G399" s="204">
        <v>43831</v>
      </c>
      <c r="H399" s="204" t="e">
        <f t="shared" si="6"/>
        <v>#NUM!</v>
      </c>
    </row>
    <row r="400" spans="1:8" x14ac:dyDescent="0.35">
      <c r="A400">
        <v>0</v>
      </c>
      <c r="B400" t="s">
        <v>12</v>
      </c>
      <c r="C400" t="s">
        <v>27</v>
      </c>
      <c r="D400" t="s">
        <v>3</v>
      </c>
      <c r="E400" t="s">
        <v>7</v>
      </c>
      <c r="F400">
        <v>0</v>
      </c>
      <c r="G400" s="204">
        <v>43831</v>
      </c>
      <c r="H400" s="204" t="e">
        <f t="shared" si="6"/>
        <v>#NUM!</v>
      </c>
    </row>
    <row r="401" spans="1:8" x14ac:dyDescent="0.35">
      <c r="A401">
        <v>1</v>
      </c>
      <c r="B401" t="s">
        <v>13</v>
      </c>
      <c r="C401" t="s">
        <v>27</v>
      </c>
      <c r="D401" t="s">
        <v>3</v>
      </c>
      <c r="E401" t="s">
        <v>7</v>
      </c>
      <c r="F401">
        <v>1</v>
      </c>
      <c r="G401" s="204">
        <v>43831</v>
      </c>
      <c r="H401" s="204" t="e">
        <f t="shared" si="6"/>
        <v>#NUM!</v>
      </c>
    </row>
    <row r="402" spans="1:8" x14ac:dyDescent="0.35">
      <c r="A402">
        <v>0</v>
      </c>
      <c r="B402" t="s">
        <v>14</v>
      </c>
      <c r="C402" t="s">
        <v>27</v>
      </c>
      <c r="D402" t="s">
        <v>3</v>
      </c>
      <c r="E402" t="s">
        <v>7</v>
      </c>
      <c r="F402">
        <v>0</v>
      </c>
      <c r="G402" s="204">
        <v>43831</v>
      </c>
      <c r="H402" s="204" t="e">
        <f t="shared" si="6"/>
        <v>#NUM!</v>
      </c>
    </row>
    <row r="403" spans="1:8" x14ac:dyDescent="0.35">
      <c r="A403">
        <v>0</v>
      </c>
      <c r="B403" t="s">
        <v>15</v>
      </c>
      <c r="C403" t="s">
        <v>27</v>
      </c>
      <c r="D403" t="s">
        <v>3</v>
      </c>
      <c r="E403" t="s">
        <v>7</v>
      </c>
      <c r="F403">
        <v>0</v>
      </c>
      <c r="G403" s="204">
        <v>43831</v>
      </c>
      <c r="H403" s="204" t="e">
        <f t="shared" si="6"/>
        <v>#NUM!</v>
      </c>
    </row>
    <row r="404" spans="1:8" x14ac:dyDescent="0.35">
      <c r="A404">
        <v>0</v>
      </c>
      <c r="B404" t="s">
        <v>16</v>
      </c>
      <c r="C404" t="s">
        <v>27</v>
      </c>
      <c r="D404" t="s">
        <v>3</v>
      </c>
      <c r="E404" t="s">
        <v>7</v>
      </c>
      <c r="F404">
        <v>0</v>
      </c>
      <c r="G404" s="204">
        <v>43831</v>
      </c>
      <c r="H404" s="204" t="e">
        <f t="shared" si="6"/>
        <v>#NUM!</v>
      </c>
    </row>
    <row r="405" spans="1:8" x14ac:dyDescent="0.35">
      <c r="A405">
        <v>0</v>
      </c>
      <c r="B405" t="s">
        <v>17</v>
      </c>
      <c r="C405" t="s">
        <v>27</v>
      </c>
      <c r="D405" t="s">
        <v>3</v>
      </c>
      <c r="E405" t="s">
        <v>7</v>
      </c>
      <c r="F405">
        <v>0</v>
      </c>
      <c r="G405" s="204">
        <v>43831</v>
      </c>
      <c r="H405" s="204" t="e">
        <f t="shared" si="6"/>
        <v>#NUM!</v>
      </c>
    </row>
    <row r="406" spans="1:8" x14ac:dyDescent="0.35">
      <c r="A406">
        <v>0</v>
      </c>
      <c r="B406" t="s">
        <v>18</v>
      </c>
      <c r="C406" t="s">
        <v>27</v>
      </c>
      <c r="D406" t="s">
        <v>3</v>
      </c>
      <c r="E406" t="s">
        <v>7</v>
      </c>
      <c r="F406">
        <v>0</v>
      </c>
      <c r="G406" s="204">
        <v>43831</v>
      </c>
      <c r="H406" s="204" t="e">
        <f t="shared" si="6"/>
        <v>#NUM!</v>
      </c>
    </row>
    <row r="407" spans="1:8" x14ac:dyDescent="0.35">
      <c r="A407">
        <v>777</v>
      </c>
      <c r="B407" t="s">
        <v>10</v>
      </c>
      <c r="C407" t="s">
        <v>28</v>
      </c>
      <c r="D407" t="s">
        <v>3</v>
      </c>
      <c r="E407" t="s">
        <v>8</v>
      </c>
      <c r="F407">
        <v>-20.225872689938399</v>
      </c>
      <c r="G407" s="204">
        <v>43831</v>
      </c>
      <c r="H407" s="204" t="e">
        <f t="shared" si="6"/>
        <v>#NUM!</v>
      </c>
    </row>
    <row r="408" spans="1:8" x14ac:dyDescent="0.35">
      <c r="A408">
        <v>79</v>
      </c>
      <c r="B408" t="s">
        <v>11</v>
      </c>
      <c r="C408" t="s">
        <v>28</v>
      </c>
      <c r="D408" t="s">
        <v>3</v>
      </c>
      <c r="E408" t="s">
        <v>8</v>
      </c>
      <c r="F408">
        <v>-17.708333333333336</v>
      </c>
      <c r="G408" s="204">
        <v>43831</v>
      </c>
      <c r="H408" s="204" t="e">
        <f t="shared" si="6"/>
        <v>#NUM!</v>
      </c>
    </row>
    <row r="409" spans="1:8" x14ac:dyDescent="0.35">
      <c r="A409">
        <v>121</v>
      </c>
      <c r="B409" t="s">
        <v>12</v>
      </c>
      <c r="C409" t="s">
        <v>28</v>
      </c>
      <c r="D409" t="s">
        <v>3</v>
      </c>
      <c r="E409" t="s">
        <v>8</v>
      </c>
      <c r="F409">
        <v>8.0357142857142865</v>
      </c>
      <c r="G409" s="204">
        <v>43831</v>
      </c>
      <c r="H409" s="204" t="e">
        <f t="shared" si="6"/>
        <v>#NUM!</v>
      </c>
    </row>
    <row r="410" spans="1:8" x14ac:dyDescent="0.35">
      <c r="A410">
        <v>129</v>
      </c>
      <c r="B410" t="s">
        <v>13</v>
      </c>
      <c r="C410" t="s">
        <v>28</v>
      </c>
      <c r="D410" t="s">
        <v>3</v>
      </c>
      <c r="E410" t="s">
        <v>8</v>
      </c>
      <c r="F410">
        <v>44.943820224719097</v>
      </c>
      <c r="G410" s="204">
        <v>43831</v>
      </c>
      <c r="H410" s="204" t="e">
        <f t="shared" si="6"/>
        <v>#NUM!</v>
      </c>
    </row>
    <row r="411" spans="1:8" x14ac:dyDescent="0.35">
      <c r="A411">
        <v>103</v>
      </c>
      <c r="B411" t="s">
        <v>14</v>
      </c>
      <c r="C411" t="s">
        <v>28</v>
      </c>
      <c r="D411" t="s">
        <v>3</v>
      </c>
      <c r="E411" t="s">
        <v>8</v>
      </c>
      <c r="F411">
        <v>128.88888888888889</v>
      </c>
      <c r="G411" s="204">
        <v>43831</v>
      </c>
      <c r="H411" s="204" t="e">
        <f t="shared" si="6"/>
        <v>#NUM!</v>
      </c>
    </row>
    <row r="412" spans="1:8" x14ac:dyDescent="0.35">
      <c r="A412">
        <v>206</v>
      </c>
      <c r="B412" t="s">
        <v>15</v>
      </c>
      <c r="C412" t="s">
        <v>28</v>
      </c>
      <c r="D412" t="s">
        <v>3</v>
      </c>
      <c r="E412" t="s">
        <v>8</v>
      </c>
      <c r="F412">
        <v>98.076923076923066</v>
      </c>
      <c r="G412" s="204">
        <v>43831</v>
      </c>
      <c r="H412" s="204" t="e">
        <f t="shared" si="6"/>
        <v>#NUM!</v>
      </c>
    </row>
    <row r="413" spans="1:8" x14ac:dyDescent="0.35">
      <c r="A413">
        <v>117</v>
      </c>
      <c r="B413" t="s">
        <v>16</v>
      </c>
      <c r="C413" t="s">
        <v>28</v>
      </c>
      <c r="D413" t="s">
        <v>3</v>
      </c>
      <c r="E413" t="s">
        <v>8</v>
      </c>
      <c r="F413">
        <v>88.709677419354833</v>
      </c>
      <c r="G413" s="204">
        <v>43831</v>
      </c>
      <c r="H413" s="204" t="e">
        <f t="shared" si="6"/>
        <v>#NUM!</v>
      </c>
    </row>
    <row r="414" spans="1:8" x14ac:dyDescent="0.35">
      <c r="A414">
        <v>32</v>
      </c>
      <c r="B414" t="s">
        <v>17</v>
      </c>
      <c r="C414" t="s">
        <v>28</v>
      </c>
      <c r="D414" t="s">
        <v>3</v>
      </c>
      <c r="E414" t="s">
        <v>8</v>
      </c>
      <c r="F414">
        <v>-3.0303030303030303</v>
      </c>
      <c r="G414" s="204">
        <v>43831</v>
      </c>
      <c r="H414" s="204" t="e">
        <f t="shared" si="6"/>
        <v>#NUM!</v>
      </c>
    </row>
    <row r="415" spans="1:8" x14ac:dyDescent="0.35">
      <c r="A415">
        <v>241</v>
      </c>
      <c r="B415" t="s">
        <v>18</v>
      </c>
      <c r="C415" t="s">
        <v>28</v>
      </c>
      <c r="D415" t="s">
        <v>3</v>
      </c>
      <c r="E415" t="s">
        <v>8</v>
      </c>
      <c r="F415">
        <v>141</v>
      </c>
      <c r="G415" s="204">
        <v>43831</v>
      </c>
      <c r="H415" s="204" t="e">
        <f t="shared" si="6"/>
        <v>#NUM!</v>
      </c>
    </row>
    <row r="416" spans="1:8" x14ac:dyDescent="0.35">
      <c r="A416">
        <v>211</v>
      </c>
      <c r="B416" t="s">
        <v>10</v>
      </c>
      <c r="C416" t="s">
        <v>29</v>
      </c>
      <c r="D416" t="s">
        <v>3</v>
      </c>
      <c r="E416" t="s">
        <v>8</v>
      </c>
      <c r="F416">
        <v>-32.802547770700635</v>
      </c>
      <c r="G416" s="204">
        <v>43831</v>
      </c>
      <c r="H416" s="204" t="e">
        <f t="shared" si="6"/>
        <v>#NUM!</v>
      </c>
    </row>
    <row r="417" spans="1:8" x14ac:dyDescent="0.35">
      <c r="A417">
        <v>10</v>
      </c>
      <c r="B417" t="s">
        <v>11</v>
      </c>
      <c r="C417" t="s">
        <v>29</v>
      </c>
      <c r="D417" t="s">
        <v>3</v>
      </c>
      <c r="E417" t="s">
        <v>8</v>
      </c>
      <c r="F417">
        <v>-56.521739130434781</v>
      </c>
      <c r="G417" s="204">
        <v>43831</v>
      </c>
      <c r="H417" s="204" t="e">
        <f t="shared" si="6"/>
        <v>#NUM!</v>
      </c>
    </row>
    <row r="418" spans="1:8" x14ac:dyDescent="0.35">
      <c r="A418">
        <v>22</v>
      </c>
      <c r="B418" t="s">
        <v>12</v>
      </c>
      <c r="C418" t="s">
        <v>29</v>
      </c>
      <c r="D418" t="s">
        <v>3</v>
      </c>
      <c r="E418" t="s">
        <v>8</v>
      </c>
      <c r="F418">
        <v>-21.428571428571427</v>
      </c>
      <c r="G418" s="204">
        <v>43831</v>
      </c>
      <c r="H418" s="204" t="e">
        <f t="shared" si="6"/>
        <v>#NUM!</v>
      </c>
    </row>
    <row r="419" spans="1:8" x14ac:dyDescent="0.35">
      <c r="A419">
        <v>19</v>
      </c>
      <c r="B419" t="s">
        <v>13</v>
      </c>
      <c r="C419" t="s">
        <v>29</v>
      </c>
      <c r="D419" t="s">
        <v>3</v>
      </c>
      <c r="E419" t="s">
        <v>8</v>
      </c>
      <c r="F419">
        <v>26.666666666666668</v>
      </c>
      <c r="G419" s="204">
        <v>43831</v>
      </c>
      <c r="H419" s="204" t="e">
        <f t="shared" si="6"/>
        <v>#NUM!</v>
      </c>
    </row>
    <row r="420" spans="1:8" x14ac:dyDescent="0.35">
      <c r="A420">
        <v>19</v>
      </c>
      <c r="B420" t="s">
        <v>14</v>
      </c>
      <c r="C420" t="s">
        <v>29</v>
      </c>
      <c r="D420" t="s">
        <v>3</v>
      </c>
      <c r="E420" t="s">
        <v>8</v>
      </c>
      <c r="F420">
        <v>5.5555555555555554</v>
      </c>
      <c r="G420" s="204">
        <v>43831</v>
      </c>
      <c r="H420" s="204" t="e">
        <f t="shared" si="6"/>
        <v>#NUM!</v>
      </c>
    </row>
    <row r="421" spans="1:8" x14ac:dyDescent="0.35">
      <c r="A421">
        <v>11</v>
      </c>
      <c r="B421" t="s">
        <v>15</v>
      </c>
      <c r="C421" t="s">
        <v>29</v>
      </c>
      <c r="D421" t="s">
        <v>3</v>
      </c>
      <c r="E421" t="s">
        <v>8</v>
      </c>
      <c r="F421">
        <v>-42.105263157894733</v>
      </c>
      <c r="G421" s="204">
        <v>43831</v>
      </c>
      <c r="H421" s="204" t="e">
        <f t="shared" si="6"/>
        <v>#NUM!</v>
      </c>
    </row>
    <row r="422" spans="1:8" x14ac:dyDescent="0.35">
      <c r="A422">
        <v>46</v>
      </c>
      <c r="B422" t="s">
        <v>16</v>
      </c>
      <c r="C422" t="s">
        <v>29</v>
      </c>
      <c r="D422" t="s">
        <v>3</v>
      </c>
      <c r="E422" t="s">
        <v>8</v>
      </c>
      <c r="F422">
        <v>-4.1666666666666661</v>
      </c>
      <c r="G422" s="204">
        <v>43831</v>
      </c>
      <c r="H422" s="204" t="e">
        <f t="shared" si="6"/>
        <v>#NUM!</v>
      </c>
    </row>
    <row r="423" spans="1:8" x14ac:dyDescent="0.35">
      <c r="A423">
        <v>1</v>
      </c>
      <c r="B423" t="s">
        <v>17</v>
      </c>
      <c r="C423" t="s">
        <v>29</v>
      </c>
      <c r="D423" t="s">
        <v>3</v>
      </c>
      <c r="E423" t="s">
        <v>8</v>
      </c>
      <c r="F423">
        <v>-92.307692307692307</v>
      </c>
      <c r="G423" s="204">
        <v>43831</v>
      </c>
      <c r="H423" s="204" t="e">
        <f t="shared" si="6"/>
        <v>#NUM!</v>
      </c>
    </row>
    <row r="424" spans="1:8" x14ac:dyDescent="0.35">
      <c r="A424">
        <v>68</v>
      </c>
      <c r="B424" t="s">
        <v>18</v>
      </c>
      <c r="C424" t="s">
        <v>29</v>
      </c>
      <c r="D424" t="s">
        <v>3</v>
      </c>
      <c r="E424" t="s">
        <v>8</v>
      </c>
      <c r="F424">
        <v>94.285714285714278</v>
      </c>
      <c r="G424" s="204">
        <v>43831</v>
      </c>
      <c r="H424" s="204" t="e">
        <f t="shared" si="6"/>
        <v>#NUM!</v>
      </c>
    </row>
    <row r="425" spans="1:8" x14ac:dyDescent="0.35">
      <c r="A425">
        <v>47</v>
      </c>
      <c r="B425" t="s">
        <v>10</v>
      </c>
      <c r="C425" t="s">
        <v>30</v>
      </c>
      <c r="D425" t="s">
        <v>3</v>
      </c>
      <c r="E425" t="s">
        <v>8</v>
      </c>
      <c r="F425">
        <v>-35.61643835616438</v>
      </c>
      <c r="G425" s="204">
        <v>43831</v>
      </c>
      <c r="H425" s="204" t="e">
        <f t="shared" si="6"/>
        <v>#NUM!</v>
      </c>
    </row>
    <row r="426" spans="1:8" x14ac:dyDescent="0.35">
      <c r="A426">
        <v>16</v>
      </c>
      <c r="B426" t="s">
        <v>11</v>
      </c>
      <c r="C426" t="s">
        <v>30</v>
      </c>
      <c r="D426" t="s">
        <v>3</v>
      </c>
      <c r="E426" t="s">
        <v>8</v>
      </c>
      <c r="F426">
        <v>166.66666666666669</v>
      </c>
      <c r="G426" s="204">
        <v>43831</v>
      </c>
      <c r="H426" s="204" t="e">
        <f t="shared" si="6"/>
        <v>#NUM!</v>
      </c>
    </row>
    <row r="427" spans="1:8" x14ac:dyDescent="0.35">
      <c r="A427">
        <v>19</v>
      </c>
      <c r="B427" t="s">
        <v>12</v>
      </c>
      <c r="C427" t="s">
        <v>30</v>
      </c>
      <c r="D427" t="s">
        <v>3</v>
      </c>
      <c r="E427" t="s">
        <v>8</v>
      </c>
      <c r="F427">
        <v>216.66666666666666</v>
      </c>
      <c r="G427" s="204">
        <v>43831</v>
      </c>
      <c r="H427" s="204" t="e">
        <f t="shared" si="6"/>
        <v>#NUM!</v>
      </c>
    </row>
    <row r="428" spans="1:8" x14ac:dyDescent="0.35">
      <c r="A428">
        <v>9</v>
      </c>
      <c r="B428" t="s">
        <v>13</v>
      </c>
      <c r="C428" t="s">
        <v>30</v>
      </c>
      <c r="D428" t="s">
        <v>3</v>
      </c>
      <c r="E428" t="s">
        <v>8</v>
      </c>
      <c r="F428">
        <v>-18.181818181818183</v>
      </c>
      <c r="G428" s="204">
        <v>43831</v>
      </c>
      <c r="H428" s="204" t="e">
        <f t="shared" si="6"/>
        <v>#NUM!</v>
      </c>
    </row>
    <row r="429" spans="1:8" x14ac:dyDescent="0.35">
      <c r="A429">
        <v>8</v>
      </c>
      <c r="B429" t="s">
        <v>14</v>
      </c>
      <c r="C429" t="s">
        <v>30</v>
      </c>
      <c r="D429" t="s">
        <v>3</v>
      </c>
      <c r="E429" t="s">
        <v>8</v>
      </c>
      <c r="F429">
        <v>-52.941176470588239</v>
      </c>
      <c r="G429" s="204">
        <v>43831</v>
      </c>
      <c r="H429" s="204" t="e">
        <f t="shared" si="6"/>
        <v>#NUM!</v>
      </c>
    </row>
    <row r="430" spans="1:8" x14ac:dyDescent="0.35">
      <c r="A430">
        <v>41</v>
      </c>
      <c r="B430" t="s">
        <v>15</v>
      </c>
      <c r="C430" t="s">
        <v>30</v>
      </c>
      <c r="D430" t="s">
        <v>3</v>
      </c>
      <c r="E430" t="s">
        <v>8</v>
      </c>
      <c r="F430">
        <v>41.379310344827587</v>
      </c>
      <c r="G430" s="204">
        <v>43831</v>
      </c>
      <c r="H430" s="204" t="e">
        <f t="shared" si="6"/>
        <v>#NUM!</v>
      </c>
    </row>
    <row r="431" spans="1:8" x14ac:dyDescent="0.35">
      <c r="A431">
        <v>8</v>
      </c>
      <c r="B431" t="s">
        <v>16</v>
      </c>
      <c r="C431" t="s">
        <v>30</v>
      </c>
      <c r="D431" t="s">
        <v>3</v>
      </c>
      <c r="E431" t="s">
        <v>8</v>
      </c>
      <c r="F431">
        <v>0</v>
      </c>
      <c r="G431" s="204">
        <v>43831</v>
      </c>
      <c r="H431" s="204" t="e">
        <f t="shared" si="6"/>
        <v>#NUM!</v>
      </c>
    </row>
    <row r="432" spans="1:8" x14ac:dyDescent="0.35">
      <c r="A432">
        <v>6</v>
      </c>
      <c r="B432" t="s">
        <v>17</v>
      </c>
      <c r="C432" t="s">
        <v>30</v>
      </c>
      <c r="D432" t="s">
        <v>3</v>
      </c>
      <c r="E432" t="s">
        <v>8</v>
      </c>
      <c r="F432">
        <v>-14.285714285714285</v>
      </c>
      <c r="G432" s="204">
        <v>43831</v>
      </c>
      <c r="H432" s="204" t="e">
        <f t="shared" si="6"/>
        <v>#NUM!</v>
      </c>
    </row>
    <row r="433" spans="1:8" x14ac:dyDescent="0.35">
      <c r="A433">
        <v>20</v>
      </c>
      <c r="B433" t="s">
        <v>18</v>
      </c>
      <c r="C433" t="s">
        <v>30</v>
      </c>
      <c r="D433" t="s">
        <v>3</v>
      </c>
      <c r="E433" t="s">
        <v>8</v>
      </c>
      <c r="F433">
        <v>-28.571428571428569</v>
      </c>
      <c r="G433" s="204">
        <v>43831</v>
      </c>
      <c r="H433" s="204" t="e">
        <f t="shared" si="6"/>
        <v>#NUM!</v>
      </c>
    </row>
    <row r="434" spans="1:8" x14ac:dyDescent="0.35">
      <c r="A434">
        <v>11</v>
      </c>
      <c r="B434" t="s">
        <v>10</v>
      </c>
      <c r="C434" t="s">
        <v>31</v>
      </c>
      <c r="D434" t="s">
        <v>3</v>
      </c>
      <c r="E434" t="s">
        <v>8</v>
      </c>
      <c r="F434">
        <v>-21.428571428571427</v>
      </c>
      <c r="G434" s="204">
        <v>43831</v>
      </c>
      <c r="H434" s="204" t="e">
        <f t="shared" si="6"/>
        <v>#NUM!</v>
      </c>
    </row>
    <row r="435" spans="1:8" x14ac:dyDescent="0.35">
      <c r="A435">
        <v>0</v>
      </c>
      <c r="B435" t="s">
        <v>11</v>
      </c>
      <c r="C435" t="s">
        <v>31</v>
      </c>
      <c r="D435" t="s">
        <v>3</v>
      </c>
      <c r="E435" t="s">
        <v>8</v>
      </c>
      <c r="F435">
        <v>-100</v>
      </c>
      <c r="G435" s="204">
        <v>43831</v>
      </c>
      <c r="H435" s="204" t="e">
        <f t="shared" si="6"/>
        <v>#NUM!</v>
      </c>
    </row>
    <row r="436" spans="1:8" x14ac:dyDescent="0.35">
      <c r="A436">
        <v>0</v>
      </c>
      <c r="B436" t="s">
        <v>12</v>
      </c>
      <c r="C436" t="s">
        <v>31</v>
      </c>
      <c r="D436" t="s">
        <v>3</v>
      </c>
      <c r="E436" t="s">
        <v>8</v>
      </c>
      <c r="F436">
        <v>0</v>
      </c>
      <c r="G436" s="204">
        <v>43831</v>
      </c>
      <c r="H436" s="204" t="e">
        <f t="shared" si="6"/>
        <v>#NUM!</v>
      </c>
    </row>
    <row r="437" spans="1:8" x14ac:dyDescent="0.35">
      <c r="A437">
        <v>1</v>
      </c>
      <c r="B437" t="s">
        <v>13</v>
      </c>
      <c r="C437" t="s">
        <v>31</v>
      </c>
      <c r="D437" t="s">
        <v>3</v>
      </c>
      <c r="E437" t="s">
        <v>8</v>
      </c>
      <c r="F437">
        <v>1</v>
      </c>
      <c r="G437" s="204">
        <v>43831</v>
      </c>
      <c r="H437" s="204" t="e">
        <f t="shared" si="6"/>
        <v>#NUM!</v>
      </c>
    </row>
    <row r="438" spans="1:8" x14ac:dyDescent="0.35">
      <c r="A438">
        <v>1</v>
      </c>
      <c r="B438" t="s">
        <v>14</v>
      </c>
      <c r="C438" t="s">
        <v>31</v>
      </c>
      <c r="D438" t="s">
        <v>3</v>
      </c>
      <c r="E438" t="s">
        <v>8</v>
      </c>
      <c r="F438">
        <v>-50</v>
      </c>
      <c r="G438" s="204">
        <v>43831</v>
      </c>
      <c r="H438" s="204" t="e">
        <f t="shared" si="6"/>
        <v>#NUM!</v>
      </c>
    </row>
    <row r="439" spans="1:8" x14ac:dyDescent="0.35">
      <c r="A439">
        <v>1</v>
      </c>
      <c r="B439" t="s">
        <v>15</v>
      </c>
      <c r="C439" t="s">
        <v>31</v>
      </c>
      <c r="D439" t="s">
        <v>3</v>
      </c>
      <c r="E439" t="s">
        <v>8</v>
      </c>
      <c r="F439">
        <v>0</v>
      </c>
      <c r="G439" s="204">
        <v>43831</v>
      </c>
      <c r="H439" s="204" t="e">
        <f t="shared" si="6"/>
        <v>#NUM!</v>
      </c>
    </row>
    <row r="440" spans="1:8" x14ac:dyDescent="0.35">
      <c r="A440">
        <v>19</v>
      </c>
      <c r="B440" t="s">
        <v>16</v>
      </c>
      <c r="C440" t="s">
        <v>31</v>
      </c>
      <c r="D440" t="s">
        <v>3</v>
      </c>
      <c r="E440" t="s">
        <v>8</v>
      </c>
      <c r="F440">
        <v>19</v>
      </c>
      <c r="G440" s="204">
        <v>43831</v>
      </c>
      <c r="H440" s="204" t="e">
        <f t="shared" si="6"/>
        <v>#NUM!</v>
      </c>
    </row>
    <row r="441" spans="1:8" x14ac:dyDescent="0.35">
      <c r="A441">
        <v>0</v>
      </c>
      <c r="B441" t="s">
        <v>17</v>
      </c>
      <c r="C441" t="s">
        <v>31</v>
      </c>
      <c r="D441" t="s">
        <v>3</v>
      </c>
      <c r="E441" t="s">
        <v>8</v>
      </c>
      <c r="F441">
        <v>0</v>
      </c>
      <c r="G441" s="204">
        <v>43831</v>
      </c>
      <c r="H441" s="204" t="e">
        <f t="shared" si="6"/>
        <v>#NUM!</v>
      </c>
    </row>
    <row r="442" spans="1:8" x14ac:dyDescent="0.35">
      <c r="A442">
        <v>4</v>
      </c>
      <c r="B442" t="s">
        <v>18</v>
      </c>
      <c r="C442" t="s">
        <v>31</v>
      </c>
      <c r="D442" t="s">
        <v>3</v>
      </c>
      <c r="E442" t="s">
        <v>8</v>
      </c>
      <c r="F442">
        <v>4</v>
      </c>
      <c r="G442" s="204">
        <v>43831</v>
      </c>
      <c r="H442" s="204" t="e">
        <f t="shared" si="6"/>
        <v>#NUM!</v>
      </c>
    </row>
    <row r="443" spans="1:8" x14ac:dyDescent="0.35">
      <c r="A443">
        <v>1297</v>
      </c>
      <c r="B443" t="s">
        <v>10</v>
      </c>
      <c r="C443" t="s">
        <v>32</v>
      </c>
      <c r="D443" t="s">
        <v>3</v>
      </c>
      <c r="E443" t="s">
        <v>8</v>
      </c>
      <c r="F443">
        <v>-22.288795686039546</v>
      </c>
      <c r="G443" s="204">
        <v>43831</v>
      </c>
      <c r="H443" s="204" t="e">
        <f t="shared" si="6"/>
        <v>#NUM!</v>
      </c>
    </row>
    <row r="444" spans="1:8" x14ac:dyDescent="0.35">
      <c r="A444">
        <v>236</v>
      </c>
      <c r="B444" t="s">
        <v>11</v>
      </c>
      <c r="C444" t="s">
        <v>32</v>
      </c>
      <c r="D444" t="s">
        <v>3</v>
      </c>
      <c r="E444" t="s">
        <v>8</v>
      </c>
      <c r="F444">
        <v>7.2727272727272725</v>
      </c>
      <c r="G444" s="204">
        <v>43831</v>
      </c>
      <c r="H444" s="204" t="e">
        <f t="shared" si="6"/>
        <v>#NUM!</v>
      </c>
    </row>
    <row r="445" spans="1:8" x14ac:dyDescent="0.35">
      <c r="A445">
        <v>170</v>
      </c>
      <c r="B445" t="s">
        <v>12</v>
      </c>
      <c r="C445" t="s">
        <v>32</v>
      </c>
      <c r="D445" t="s">
        <v>3</v>
      </c>
      <c r="E445" t="s">
        <v>8</v>
      </c>
      <c r="F445">
        <v>-34.108527131782942</v>
      </c>
      <c r="G445" s="204">
        <v>43831</v>
      </c>
      <c r="H445" s="204" t="e">
        <f t="shared" si="6"/>
        <v>#NUM!</v>
      </c>
    </row>
    <row r="446" spans="1:8" x14ac:dyDescent="0.35">
      <c r="A446">
        <v>288</v>
      </c>
      <c r="B446" t="s">
        <v>13</v>
      </c>
      <c r="C446" t="s">
        <v>32</v>
      </c>
      <c r="D446" t="s">
        <v>3</v>
      </c>
      <c r="E446" t="s">
        <v>8</v>
      </c>
      <c r="F446">
        <v>44</v>
      </c>
      <c r="G446" s="204">
        <v>43831</v>
      </c>
      <c r="H446" s="204" t="e">
        <f t="shared" si="6"/>
        <v>#NUM!</v>
      </c>
    </row>
    <row r="447" spans="1:8" x14ac:dyDescent="0.35">
      <c r="A447">
        <v>173</v>
      </c>
      <c r="B447" t="s">
        <v>14</v>
      </c>
      <c r="C447" t="s">
        <v>32</v>
      </c>
      <c r="D447" t="s">
        <v>3</v>
      </c>
      <c r="E447" t="s">
        <v>8</v>
      </c>
      <c r="F447">
        <v>-9.8958333333333321</v>
      </c>
      <c r="G447" s="204">
        <v>43831</v>
      </c>
      <c r="H447" s="204" t="e">
        <f t="shared" si="6"/>
        <v>#NUM!</v>
      </c>
    </row>
    <row r="448" spans="1:8" x14ac:dyDescent="0.35">
      <c r="A448">
        <v>252</v>
      </c>
      <c r="B448" t="s">
        <v>15</v>
      </c>
      <c r="C448" t="s">
        <v>32</v>
      </c>
      <c r="D448" t="s">
        <v>3</v>
      </c>
      <c r="E448" t="s">
        <v>8</v>
      </c>
      <c r="F448">
        <v>-43.370786516853933</v>
      </c>
      <c r="G448" s="204">
        <v>43831</v>
      </c>
      <c r="H448" s="204" t="e">
        <f t="shared" si="6"/>
        <v>#NUM!</v>
      </c>
    </row>
    <row r="449" spans="1:8" x14ac:dyDescent="0.35">
      <c r="A449">
        <v>188</v>
      </c>
      <c r="B449" t="s">
        <v>16</v>
      </c>
      <c r="C449" t="s">
        <v>32</v>
      </c>
      <c r="D449" t="s">
        <v>3</v>
      </c>
      <c r="E449" t="s">
        <v>8</v>
      </c>
      <c r="F449">
        <v>75.700934579439249</v>
      </c>
      <c r="G449" s="204">
        <v>43831</v>
      </c>
      <c r="H449" s="204" t="e">
        <f t="shared" si="6"/>
        <v>#NUM!</v>
      </c>
    </row>
    <row r="450" spans="1:8" x14ac:dyDescent="0.35">
      <c r="A450">
        <v>56</v>
      </c>
      <c r="B450" t="s">
        <v>17</v>
      </c>
      <c r="C450" t="s">
        <v>32</v>
      </c>
      <c r="D450" t="s">
        <v>3</v>
      </c>
      <c r="E450" t="s">
        <v>8</v>
      </c>
      <c r="F450">
        <v>-39.784946236559136</v>
      </c>
      <c r="G450" s="204">
        <v>43831</v>
      </c>
      <c r="H450" s="204" t="e">
        <f t="shared" si="6"/>
        <v>#NUM!</v>
      </c>
    </row>
    <row r="451" spans="1:8" x14ac:dyDescent="0.35">
      <c r="A451">
        <v>289</v>
      </c>
      <c r="B451" t="s">
        <v>18</v>
      </c>
      <c r="C451" t="s">
        <v>32</v>
      </c>
      <c r="D451" t="s">
        <v>3</v>
      </c>
      <c r="E451" t="s">
        <v>8</v>
      </c>
      <c r="F451">
        <v>79.503105590062106</v>
      </c>
      <c r="G451" s="204">
        <v>43831</v>
      </c>
      <c r="H451" s="204" t="e">
        <f t="shared" ref="G451:H514" si="7">DATE(G451,1,1)</f>
        <v>#NUM!</v>
      </c>
    </row>
    <row r="452" spans="1:8" x14ac:dyDescent="0.35">
      <c r="A452">
        <v>445</v>
      </c>
      <c r="B452" t="s">
        <v>10</v>
      </c>
      <c r="C452" t="s">
        <v>33</v>
      </c>
      <c r="D452" t="s">
        <v>3</v>
      </c>
      <c r="E452" t="s">
        <v>8</v>
      </c>
      <c r="F452">
        <v>2.0642201834862388</v>
      </c>
      <c r="G452" s="204">
        <v>43831</v>
      </c>
      <c r="H452" s="204" t="e">
        <f t="shared" si="7"/>
        <v>#NUM!</v>
      </c>
    </row>
    <row r="453" spans="1:8" x14ac:dyDescent="0.35">
      <c r="A453">
        <v>44</v>
      </c>
      <c r="B453" t="s">
        <v>11</v>
      </c>
      <c r="C453" t="s">
        <v>33</v>
      </c>
      <c r="D453" t="s">
        <v>3</v>
      </c>
      <c r="E453" t="s">
        <v>8</v>
      </c>
      <c r="F453">
        <v>-8.3333333333333321</v>
      </c>
      <c r="G453" s="204">
        <v>43831</v>
      </c>
      <c r="H453" s="204" t="e">
        <f t="shared" si="7"/>
        <v>#NUM!</v>
      </c>
    </row>
    <row r="454" spans="1:8" x14ac:dyDescent="0.35">
      <c r="A454">
        <v>55</v>
      </c>
      <c r="B454" t="s">
        <v>12</v>
      </c>
      <c r="C454" t="s">
        <v>33</v>
      </c>
      <c r="D454" t="s">
        <v>3</v>
      </c>
      <c r="E454" t="s">
        <v>8</v>
      </c>
      <c r="F454">
        <v>-28.571428571428569</v>
      </c>
      <c r="G454" s="204">
        <v>43831</v>
      </c>
      <c r="H454" s="204" t="e">
        <f t="shared" si="7"/>
        <v>#NUM!</v>
      </c>
    </row>
    <row r="455" spans="1:8" x14ac:dyDescent="0.35">
      <c r="A455">
        <v>132</v>
      </c>
      <c r="B455" t="s">
        <v>13</v>
      </c>
      <c r="C455" t="s">
        <v>33</v>
      </c>
      <c r="D455" t="s">
        <v>3</v>
      </c>
      <c r="E455" t="s">
        <v>8</v>
      </c>
      <c r="F455">
        <v>50</v>
      </c>
      <c r="G455" s="204">
        <v>43831</v>
      </c>
      <c r="H455" s="204" t="e">
        <f t="shared" si="7"/>
        <v>#NUM!</v>
      </c>
    </row>
    <row r="456" spans="1:8" x14ac:dyDescent="0.35">
      <c r="A456">
        <v>53</v>
      </c>
      <c r="B456" t="s">
        <v>14</v>
      </c>
      <c r="C456" t="s">
        <v>33</v>
      </c>
      <c r="D456" t="s">
        <v>3</v>
      </c>
      <c r="E456" t="s">
        <v>8</v>
      </c>
      <c r="F456">
        <v>12.76595744680851</v>
      </c>
      <c r="G456" s="204">
        <v>43831</v>
      </c>
      <c r="H456" s="204" t="e">
        <f t="shared" si="7"/>
        <v>#NUM!</v>
      </c>
    </row>
    <row r="457" spans="1:8" x14ac:dyDescent="0.35">
      <c r="A457">
        <v>141</v>
      </c>
      <c r="B457" t="s">
        <v>15</v>
      </c>
      <c r="C457" t="s">
        <v>33</v>
      </c>
      <c r="D457" t="s">
        <v>3</v>
      </c>
      <c r="E457" t="s">
        <v>8</v>
      </c>
      <c r="F457">
        <v>-3.4246575342465753</v>
      </c>
      <c r="G457" s="204">
        <v>43831</v>
      </c>
      <c r="H457" s="204" t="e">
        <f t="shared" si="7"/>
        <v>#NUM!</v>
      </c>
    </row>
    <row r="458" spans="1:8" x14ac:dyDescent="0.35">
      <c r="A458">
        <v>57</v>
      </c>
      <c r="B458" t="s">
        <v>16</v>
      </c>
      <c r="C458" t="s">
        <v>33</v>
      </c>
      <c r="D458" t="s">
        <v>3</v>
      </c>
      <c r="E458" t="s">
        <v>8</v>
      </c>
      <c r="F458">
        <v>16.326530612244898</v>
      </c>
      <c r="G458" s="204">
        <v>43831</v>
      </c>
      <c r="H458" s="204" t="e">
        <f t="shared" si="7"/>
        <v>#NUM!</v>
      </c>
    </row>
    <row r="459" spans="1:8" x14ac:dyDescent="0.35">
      <c r="A459">
        <v>48</v>
      </c>
      <c r="B459" t="s">
        <v>17</v>
      </c>
      <c r="C459" t="s">
        <v>33</v>
      </c>
      <c r="D459" t="s">
        <v>3</v>
      </c>
      <c r="E459" t="s">
        <v>8</v>
      </c>
      <c r="F459">
        <v>33.333333333333329</v>
      </c>
      <c r="G459" s="204">
        <v>43831</v>
      </c>
      <c r="H459" s="204" t="e">
        <f t="shared" si="7"/>
        <v>#NUM!</v>
      </c>
    </row>
    <row r="460" spans="1:8" x14ac:dyDescent="0.35">
      <c r="A460">
        <v>163</v>
      </c>
      <c r="B460" t="s">
        <v>18</v>
      </c>
      <c r="C460" t="s">
        <v>33</v>
      </c>
      <c r="D460" t="s">
        <v>3</v>
      </c>
      <c r="E460" t="s">
        <v>8</v>
      </c>
      <c r="F460">
        <v>352.77777777777777</v>
      </c>
      <c r="G460" s="204">
        <v>43831</v>
      </c>
      <c r="H460" s="204" t="e">
        <f t="shared" si="7"/>
        <v>#NUM!</v>
      </c>
    </row>
    <row r="461" spans="1:8" x14ac:dyDescent="0.35">
      <c r="A461">
        <v>518</v>
      </c>
      <c r="B461" t="s">
        <v>10</v>
      </c>
      <c r="C461" t="s">
        <v>34</v>
      </c>
      <c r="D461" t="s">
        <v>3</v>
      </c>
      <c r="E461" t="s">
        <v>8</v>
      </c>
      <c r="F461">
        <v>53.709198813056382</v>
      </c>
      <c r="G461" s="204">
        <v>43831</v>
      </c>
      <c r="H461" s="204" t="e">
        <f t="shared" si="7"/>
        <v>#NUM!</v>
      </c>
    </row>
    <row r="462" spans="1:8" x14ac:dyDescent="0.35">
      <c r="A462">
        <v>19</v>
      </c>
      <c r="B462" t="s">
        <v>11</v>
      </c>
      <c r="C462" t="s">
        <v>34</v>
      </c>
      <c r="D462" t="s">
        <v>3</v>
      </c>
      <c r="E462" t="s">
        <v>8</v>
      </c>
      <c r="F462">
        <v>-45.714285714285715</v>
      </c>
      <c r="G462" s="204">
        <v>43831</v>
      </c>
      <c r="H462" s="204" t="e">
        <f t="shared" si="7"/>
        <v>#NUM!</v>
      </c>
    </row>
    <row r="463" spans="1:8" x14ac:dyDescent="0.35">
      <c r="A463">
        <v>20</v>
      </c>
      <c r="B463" t="s">
        <v>12</v>
      </c>
      <c r="C463" t="s">
        <v>34</v>
      </c>
      <c r="D463" t="s">
        <v>3</v>
      </c>
      <c r="E463" t="s">
        <v>8</v>
      </c>
      <c r="F463">
        <v>-4.7619047619047619</v>
      </c>
      <c r="G463" s="204">
        <v>43831</v>
      </c>
      <c r="H463" s="204" t="e">
        <f t="shared" si="7"/>
        <v>#NUM!</v>
      </c>
    </row>
    <row r="464" spans="1:8" x14ac:dyDescent="0.35">
      <c r="A464">
        <v>32</v>
      </c>
      <c r="B464" t="s">
        <v>13</v>
      </c>
      <c r="C464" t="s">
        <v>34</v>
      </c>
      <c r="D464" t="s">
        <v>3</v>
      </c>
      <c r="E464" t="s">
        <v>8</v>
      </c>
      <c r="F464">
        <v>-71.681415929203538</v>
      </c>
      <c r="G464" s="204">
        <v>43831</v>
      </c>
      <c r="H464" s="204" t="e">
        <f t="shared" si="7"/>
        <v>#NUM!</v>
      </c>
    </row>
    <row r="465" spans="1:8" x14ac:dyDescent="0.35">
      <c r="A465">
        <v>54</v>
      </c>
      <c r="B465" t="s">
        <v>14</v>
      </c>
      <c r="C465" t="s">
        <v>34</v>
      </c>
      <c r="D465" t="s">
        <v>3</v>
      </c>
      <c r="E465" t="s">
        <v>8</v>
      </c>
      <c r="F465">
        <v>184.21052631578948</v>
      </c>
      <c r="G465" s="204">
        <v>43831</v>
      </c>
      <c r="H465" s="204" t="e">
        <f t="shared" si="7"/>
        <v>#NUM!</v>
      </c>
    </row>
    <row r="466" spans="1:8" x14ac:dyDescent="0.35">
      <c r="A466">
        <v>42</v>
      </c>
      <c r="B466" t="s">
        <v>15</v>
      </c>
      <c r="C466" t="s">
        <v>34</v>
      </c>
      <c r="D466" t="s">
        <v>3</v>
      </c>
      <c r="E466" t="s">
        <v>8</v>
      </c>
      <c r="F466">
        <v>16.666666666666664</v>
      </c>
      <c r="G466" s="204">
        <v>43831</v>
      </c>
      <c r="H466" s="204" t="e">
        <f t="shared" si="7"/>
        <v>#NUM!</v>
      </c>
    </row>
    <row r="467" spans="1:8" x14ac:dyDescent="0.35">
      <c r="A467">
        <v>33</v>
      </c>
      <c r="B467" t="s">
        <v>16</v>
      </c>
      <c r="C467" t="s">
        <v>34</v>
      </c>
      <c r="D467" t="s">
        <v>3</v>
      </c>
      <c r="E467" t="s">
        <v>8</v>
      </c>
      <c r="F467">
        <v>94.117647058823522</v>
      </c>
      <c r="G467" s="204">
        <v>43831</v>
      </c>
      <c r="H467" s="204" t="e">
        <f t="shared" si="7"/>
        <v>#NUM!</v>
      </c>
    </row>
    <row r="468" spans="1:8" x14ac:dyDescent="0.35">
      <c r="A468">
        <v>47</v>
      </c>
      <c r="B468" t="s">
        <v>17</v>
      </c>
      <c r="C468" t="s">
        <v>34</v>
      </c>
      <c r="D468" t="s">
        <v>3</v>
      </c>
      <c r="E468" t="s">
        <v>8</v>
      </c>
      <c r="F468">
        <v>51.612903225806448</v>
      </c>
      <c r="G468" s="204">
        <v>43831</v>
      </c>
      <c r="H468" s="204" t="e">
        <f t="shared" si="7"/>
        <v>#NUM!</v>
      </c>
    </row>
    <row r="469" spans="1:8" x14ac:dyDescent="0.35">
      <c r="A469">
        <v>27</v>
      </c>
      <c r="B469" t="s">
        <v>18</v>
      </c>
      <c r="C469" t="s">
        <v>34</v>
      </c>
      <c r="D469" t="s">
        <v>3</v>
      </c>
      <c r="E469" t="s">
        <v>8</v>
      </c>
      <c r="F469">
        <v>3.8461538461538463</v>
      </c>
      <c r="G469" s="204">
        <v>43831</v>
      </c>
      <c r="H469" s="204" t="e">
        <f t="shared" si="7"/>
        <v>#NUM!</v>
      </c>
    </row>
    <row r="470" spans="1:8" x14ac:dyDescent="0.35">
      <c r="A470">
        <v>86</v>
      </c>
      <c r="B470" t="s">
        <v>10</v>
      </c>
      <c r="C470" t="s">
        <v>22</v>
      </c>
      <c r="D470" t="s">
        <v>2</v>
      </c>
      <c r="E470" t="s">
        <v>7</v>
      </c>
      <c r="F470">
        <v>91.111111111111114</v>
      </c>
      <c r="G470" s="204">
        <v>43466</v>
      </c>
      <c r="H470" s="204" t="e">
        <f t="shared" si="7"/>
        <v>#NUM!</v>
      </c>
    </row>
    <row r="471" spans="1:8" x14ac:dyDescent="0.35">
      <c r="A471">
        <v>0</v>
      </c>
      <c r="B471" t="s">
        <v>11</v>
      </c>
      <c r="C471" t="s">
        <v>22</v>
      </c>
      <c r="D471" t="s">
        <v>2</v>
      </c>
      <c r="E471" t="s">
        <v>7</v>
      </c>
      <c r="F471">
        <v>0</v>
      </c>
      <c r="G471" s="204">
        <v>43466</v>
      </c>
      <c r="H471" s="204" t="e">
        <f t="shared" si="7"/>
        <v>#NUM!</v>
      </c>
    </row>
    <row r="472" spans="1:8" x14ac:dyDescent="0.35">
      <c r="A472">
        <v>8</v>
      </c>
      <c r="B472" t="s">
        <v>12</v>
      </c>
      <c r="C472" t="s">
        <v>22</v>
      </c>
      <c r="D472" t="s">
        <v>2</v>
      </c>
      <c r="E472" t="s">
        <v>7</v>
      </c>
      <c r="F472">
        <v>0</v>
      </c>
      <c r="G472" s="204">
        <v>43466</v>
      </c>
      <c r="H472" s="204" t="e">
        <f t="shared" si="7"/>
        <v>#NUM!</v>
      </c>
    </row>
    <row r="473" spans="1:8" x14ac:dyDescent="0.35">
      <c r="A473">
        <v>2</v>
      </c>
      <c r="B473" t="s">
        <v>13</v>
      </c>
      <c r="C473" t="s">
        <v>22</v>
      </c>
      <c r="D473" t="s">
        <v>2</v>
      </c>
      <c r="E473" t="s">
        <v>7</v>
      </c>
      <c r="F473">
        <v>2</v>
      </c>
      <c r="G473" s="204">
        <v>43466</v>
      </c>
      <c r="H473" s="204" t="e">
        <f t="shared" si="7"/>
        <v>#NUM!</v>
      </c>
    </row>
    <row r="474" spans="1:8" x14ac:dyDescent="0.35">
      <c r="A474">
        <v>2</v>
      </c>
      <c r="B474" t="s">
        <v>14</v>
      </c>
      <c r="C474" t="s">
        <v>22</v>
      </c>
      <c r="D474" t="s">
        <v>2</v>
      </c>
      <c r="E474" t="s">
        <v>7</v>
      </c>
      <c r="F474">
        <v>2</v>
      </c>
      <c r="G474" s="204">
        <v>43466</v>
      </c>
      <c r="H474" s="204" t="e">
        <f t="shared" si="7"/>
        <v>#NUM!</v>
      </c>
    </row>
    <row r="475" spans="1:8" x14ac:dyDescent="0.35">
      <c r="A475">
        <v>2</v>
      </c>
      <c r="B475" t="s">
        <v>15</v>
      </c>
      <c r="C475" t="s">
        <v>22</v>
      </c>
      <c r="D475" t="s">
        <v>2</v>
      </c>
      <c r="E475" t="s">
        <v>7</v>
      </c>
      <c r="F475">
        <v>-66.666666666666657</v>
      </c>
      <c r="G475" s="204">
        <v>43466</v>
      </c>
      <c r="H475" s="204" t="e">
        <f t="shared" si="7"/>
        <v>#NUM!</v>
      </c>
    </row>
    <row r="476" spans="1:8" x14ac:dyDescent="0.35">
      <c r="A476">
        <v>0</v>
      </c>
      <c r="B476" t="s">
        <v>16</v>
      </c>
      <c r="C476" t="s">
        <v>22</v>
      </c>
      <c r="D476" t="s">
        <v>2</v>
      </c>
      <c r="E476" t="s">
        <v>7</v>
      </c>
      <c r="F476">
        <v>0</v>
      </c>
      <c r="G476" s="204">
        <v>43466</v>
      </c>
      <c r="H476" s="204" t="e">
        <f t="shared" si="7"/>
        <v>#NUM!</v>
      </c>
    </row>
    <row r="477" spans="1:8" x14ac:dyDescent="0.35">
      <c r="A477">
        <v>2</v>
      </c>
      <c r="B477" t="s">
        <v>17</v>
      </c>
      <c r="C477" t="s">
        <v>22</v>
      </c>
      <c r="D477" t="s">
        <v>2</v>
      </c>
      <c r="E477" t="s">
        <v>7</v>
      </c>
      <c r="F477">
        <v>100</v>
      </c>
      <c r="G477" s="204">
        <v>43466</v>
      </c>
      <c r="H477" s="204" t="e">
        <f t="shared" si="7"/>
        <v>#NUM!</v>
      </c>
    </row>
    <row r="478" spans="1:8" x14ac:dyDescent="0.35">
      <c r="A478">
        <v>1</v>
      </c>
      <c r="B478" t="s">
        <v>18</v>
      </c>
      <c r="C478" t="s">
        <v>22</v>
      </c>
      <c r="D478" t="s">
        <v>2</v>
      </c>
      <c r="E478" t="s">
        <v>7</v>
      </c>
      <c r="F478">
        <v>-75</v>
      </c>
      <c r="G478" s="204">
        <v>43466</v>
      </c>
      <c r="H478" s="204" t="e">
        <f t="shared" si="7"/>
        <v>#NUM!</v>
      </c>
    </row>
    <row r="479" spans="1:8" x14ac:dyDescent="0.35">
      <c r="A479">
        <v>43</v>
      </c>
      <c r="B479" t="s">
        <v>10</v>
      </c>
      <c r="C479" t="s">
        <v>23</v>
      </c>
      <c r="D479" t="s">
        <v>2</v>
      </c>
      <c r="E479" t="s">
        <v>7</v>
      </c>
      <c r="F479">
        <v>-43.421052631578952</v>
      </c>
      <c r="G479" s="204">
        <v>43466</v>
      </c>
      <c r="H479" s="204" t="e">
        <f t="shared" si="7"/>
        <v>#NUM!</v>
      </c>
    </row>
    <row r="480" spans="1:8" x14ac:dyDescent="0.35">
      <c r="A480">
        <v>0</v>
      </c>
      <c r="B480" t="s">
        <v>11</v>
      </c>
      <c r="C480" t="s">
        <v>23</v>
      </c>
      <c r="D480" t="s">
        <v>2</v>
      </c>
      <c r="E480" t="s">
        <v>7</v>
      </c>
      <c r="F480">
        <v>0</v>
      </c>
      <c r="G480" s="204">
        <v>43466</v>
      </c>
      <c r="H480" s="204" t="e">
        <f t="shared" si="7"/>
        <v>#NUM!</v>
      </c>
    </row>
    <row r="481" spans="1:8" x14ac:dyDescent="0.35">
      <c r="A481">
        <v>0</v>
      </c>
      <c r="B481" t="s">
        <v>12</v>
      </c>
      <c r="C481" t="s">
        <v>23</v>
      </c>
      <c r="D481" t="s">
        <v>2</v>
      </c>
      <c r="E481" t="s">
        <v>7</v>
      </c>
      <c r="F481">
        <v>-100</v>
      </c>
      <c r="G481" s="204">
        <v>43466</v>
      </c>
      <c r="H481" s="204" t="e">
        <f t="shared" si="7"/>
        <v>#NUM!</v>
      </c>
    </row>
    <row r="482" spans="1:8" x14ac:dyDescent="0.35">
      <c r="A482">
        <v>2</v>
      </c>
      <c r="B482" t="s">
        <v>13</v>
      </c>
      <c r="C482" t="s">
        <v>23</v>
      </c>
      <c r="D482" t="s">
        <v>2</v>
      </c>
      <c r="E482" t="s">
        <v>7</v>
      </c>
      <c r="F482">
        <v>2</v>
      </c>
      <c r="G482" s="204">
        <v>43466</v>
      </c>
      <c r="H482" s="204" t="e">
        <f t="shared" si="7"/>
        <v>#NUM!</v>
      </c>
    </row>
    <row r="483" spans="1:8" x14ac:dyDescent="0.35">
      <c r="A483">
        <v>1</v>
      </c>
      <c r="B483" t="s">
        <v>14</v>
      </c>
      <c r="C483" t="s">
        <v>23</v>
      </c>
      <c r="D483" t="s">
        <v>2</v>
      </c>
      <c r="E483" t="s">
        <v>7</v>
      </c>
      <c r="F483">
        <v>1</v>
      </c>
      <c r="G483" s="204">
        <v>43466</v>
      </c>
      <c r="H483" s="204" t="e">
        <f t="shared" si="7"/>
        <v>#NUM!</v>
      </c>
    </row>
    <row r="484" spans="1:8" x14ac:dyDescent="0.35">
      <c r="A484">
        <v>3</v>
      </c>
      <c r="B484" t="s">
        <v>15</v>
      </c>
      <c r="C484" t="s">
        <v>23</v>
      </c>
      <c r="D484" t="s">
        <v>2</v>
      </c>
      <c r="E484" t="s">
        <v>7</v>
      </c>
      <c r="F484">
        <v>-57.142857142857139</v>
      </c>
      <c r="G484" s="204">
        <v>43466</v>
      </c>
      <c r="H484" s="204" t="e">
        <f t="shared" si="7"/>
        <v>#NUM!</v>
      </c>
    </row>
    <row r="485" spans="1:8" x14ac:dyDescent="0.35">
      <c r="A485">
        <v>0</v>
      </c>
      <c r="B485" t="s">
        <v>16</v>
      </c>
      <c r="C485" t="s">
        <v>23</v>
      </c>
      <c r="D485" t="s">
        <v>2</v>
      </c>
      <c r="E485" t="s">
        <v>7</v>
      </c>
      <c r="F485">
        <v>0</v>
      </c>
      <c r="G485" s="204">
        <v>43466</v>
      </c>
      <c r="H485" s="204" t="e">
        <f t="shared" si="7"/>
        <v>#NUM!</v>
      </c>
    </row>
    <row r="486" spans="1:8" x14ac:dyDescent="0.35">
      <c r="A486">
        <v>1</v>
      </c>
      <c r="B486" t="s">
        <v>17</v>
      </c>
      <c r="C486" t="s">
        <v>23</v>
      </c>
      <c r="D486" t="s">
        <v>2</v>
      </c>
      <c r="E486" t="s">
        <v>7</v>
      </c>
      <c r="F486">
        <v>-66.666666666666657</v>
      </c>
      <c r="G486" s="204">
        <v>43466</v>
      </c>
      <c r="H486" s="204" t="e">
        <f t="shared" si="7"/>
        <v>#NUM!</v>
      </c>
    </row>
    <row r="487" spans="1:8" x14ac:dyDescent="0.35">
      <c r="A487">
        <v>0</v>
      </c>
      <c r="B487" t="s">
        <v>18</v>
      </c>
      <c r="C487" t="s">
        <v>23</v>
      </c>
      <c r="D487" t="s">
        <v>2</v>
      </c>
      <c r="E487" t="s">
        <v>7</v>
      </c>
      <c r="F487">
        <v>-100</v>
      </c>
      <c r="G487" s="204">
        <v>43466</v>
      </c>
      <c r="H487" s="204" t="e">
        <f t="shared" si="7"/>
        <v>#NUM!</v>
      </c>
    </row>
    <row r="488" spans="1:8" x14ac:dyDescent="0.35">
      <c r="A488">
        <v>24</v>
      </c>
      <c r="B488" t="s">
        <v>10</v>
      </c>
      <c r="C488" t="s">
        <v>24</v>
      </c>
      <c r="D488" t="s">
        <v>2</v>
      </c>
      <c r="E488" t="s">
        <v>7</v>
      </c>
      <c r="F488">
        <v>50</v>
      </c>
      <c r="G488" s="204">
        <v>43466</v>
      </c>
      <c r="H488" s="204" t="e">
        <f t="shared" si="7"/>
        <v>#NUM!</v>
      </c>
    </row>
    <row r="489" spans="1:8" x14ac:dyDescent="0.35">
      <c r="A489">
        <v>0</v>
      </c>
      <c r="B489" t="s">
        <v>11</v>
      </c>
      <c r="C489" t="s">
        <v>24</v>
      </c>
      <c r="D489" t="s">
        <v>2</v>
      </c>
      <c r="E489" t="s">
        <v>7</v>
      </c>
      <c r="F489">
        <v>0</v>
      </c>
      <c r="G489" s="204">
        <v>43466</v>
      </c>
      <c r="H489" s="204" t="e">
        <f t="shared" si="7"/>
        <v>#NUM!</v>
      </c>
    </row>
    <row r="490" spans="1:8" x14ac:dyDescent="0.35">
      <c r="A490">
        <v>0</v>
      </c>
      <c r="B490" t="s">
        <v>12</v>
      </c>
      <c r="C490" t="s">
        <v>24</v>
      </c>
      <c r="D490" t="s">
        <v>2</v>
      </c>
      <c r="E490" t="s">
        <v>7</v>
      </c>
      <c r="F490">
        <v>-100</v>
      </c>
      <c r="G490" s="204">
        <v>43466</v>
      </c>
      <c r="H490" s="204" t="e">
        <f t="shared" si="7"/>
        <v>#NUM!</v>
      </c>
    </row>
    <row r="491" spans="1:8" x14ac:dyDescent="0.35">
      <c r="A491">
        <v>0</v>
      </c>
      <c r="B491" t="s">
        <v>13</v>
      </c>
      <c r="C491" t="s">
        <v>24</v>
      </c>
      <c r="D491" t="s">
        <v>2</v>
      </c>
      <c r="E491" t="s">
        <v>7</v>
      </c>
      <c r="F491">
        <v>-100</v>
      </c>
      <c r="G491" s="204">
        <v>43466</v>
      </c>
      <c r="H491" s="204" t="e">
        <f t="shared" si="7"/>
        <v>#NUM!</v>
      </c>
    </row>
    <row r="492" spans="1:8" x14ac:dyDescent="0.35">
      <c r="A492">
        <v>0</v>
      </c>
      <c r="B492" t="s">
        <v>14</v>
      </c>
      <c r="C492" t="s">
        <v>24</v>
      </c>
      <c r="D492" t="s">
        <v>2</v>
      </c>
      <c r="E492" t="s">
        <v>7</v>
      </c>
      <c r="F492">
        <v>0</v>
      </c>
      <c r="G492" s="204">
        <v>43466</v>
      </c>
      <c r="H492" s="204" t="e">
        <f t="shared" si="7"/>
        <v>#NUM!</v>
      </c>
    </row>
    <row r="493" spans="1:8" x14ac:dyDescent="0.35">
      <c r="A493">
        <v>1</v>
      </c>
      <c r="B493" t="s">
        <v>15</v>
      </c>
      <c r="C493" t="s">
        <v>24</v>
      </c>
      <c r="D493" t="s">
        <v>2</v>
      </c>
      <c r="E493" t="s">
        <v>7</v>
      </c>
      <c r="F493">
        <v>0</v>
      </c>
      <c r="G493" s="204">
        <v>43466</v>
      </c>
      <c r="H493" s="204" t="e">
        <f t="shared" si="7"/>
        <v>#NUM!</v>
      </c>
    </row>
    <row r="494" spans="1:8" x14ac:dyDescent="0.35">
      <c r="A494">
        <v>0</v>
      </c>
      <c r="B494" t="s">
        <v>16</v>
      </c>
      <c r="C494" t="s">
        <v>24</v>
      </c>
      <c r="D494" t="s">
        <v>2</v>
      </c>
      <c r="E494" t="s">
        <v>7</v>
      </c>
      <c r="F494">
        <v>0</v>
      </c>
      <c r="G494" s="204">
        <v>43466</v>
      </c>
      <c r="H494" s="204" t="e">
        <f t="shared" si="7"/>
        <v>#NUM!</v>
      </c>
    </row>
    <row r="495" spans="1:8" x14ac:dyDescent="0.35">
      <c r="A495">
        <v>0</v>
      </c>
      <c r="B495" t="s">
        <v>17</v>
      </c>
      <c r="C495" t="s">
        <v>24</v>
      </c>
      <c r="D495" t="s">
        <v>2</v>
      </c>
      <c r="E495" t="s">
        <v>7</v>
      </c>
      <c r="F495">
        <v>-100</v>
      </c>
      <c r="G495" s="204">
        <v>43466</v>
      </c>
      <c r="H495" s="204" t="e">
        <f t="shared" si="7"/>
        <v>#NUM!</v>
      </c>
    </row>
    <row r="496" spans="1:8" x14ac:dyDescent="0.35">
      <c r="A496">
        <v>0</v>
      </c>
      <c r="B496" t="s">
        <v>18</v>
      </c>
      <c r="C496" t="s">
        <v>24</v>
      </c>
      <c r="D496" t="s">
        <v>2</v>
      </c>
      <c r="E496" t="s">
        <v>7</v>
      </c>
      <c r="F496">
        <v>-100</v>
      </c>
      <c r="G496" s="204">
        <v>43466</v>
      </c>
      <c r="H496" s="204" t="e">
        <f t="shared" si="7"/>
        <v>#NUM!</v>
      </c>
    </row>
    <row r="497" spans="1:8" x14ac:dyDescent="0.35">
      <c r="A497">
        <v>21</v>
      </c>
      <c r="B497" t="s">
        <v>10</v>
      </c>
      <c r="C497" t="s">
        <v>25</v>
      </c>
      <c r="D497" t="s">
        <v>2</v>
      </c>
      <c r="E497" t="s">
        <v>7</v>
      </c>
      <c r="F497">
        <v>50</v>
      </c>
      <c r="G497" s="204">
        <v>43466</v>
      </c>
      <c r="H497" s="204" t="e">
        <f t="shared" si="7"/>
        <v>#NUM!</v>
      </c>
    </row>
    <row r="498" spans="1:8" x14ac:dyDescent="0.35">
      <c r="A498">
        <v>11</v>
      </c>
      <c r="B498" t="s">
        <v>11</v>
      </c>
      <c r="C498" t="s">
        <v>25</v>
      </c>
      <c r="D498" t="s">
        <v>2</v>
      </c>
      <c r="E498" t="s">
        <v>7</v>
      </c>
      <c r="F498">
        <v>450</v>
      </c>
      <c r="G498" s="204">
        <v>43466</v>
      </c>
      <c r="H498" s="204" t="e">
        <f t="shared" si="7"/>
        <v>#NUM!</v>
      </c>
    </row>
    <row r="499" spans="1:8" x14ac:dyDescent="0.35">
      <c r="A499">
        <v>4</v>
      </c>
      <c r="B499" t="s">
        <v>12</v>
      </c>
      <c r="C499" t="s">
        <v>25</v>
      </c>
      <c r="D499" t="s">
        <v>2</v>
      </c>
      <c r="E499" t="s">
        <v>7</v>
      </c>
      <c r="F499">
        <v>33.333333333333329</v>
      </c>
      <c r="G499" s="204">
        <v>43466</v>
      </c>
      <c r="H499" s="204" t="e">
        <f t="shared" si="7"/>
        <v>#NUM!</v>
      </c>
    </row>
    <row r="500" spans="1:8" x14ac:dyDescent="0.35">
      <c r="A500">
        <v>2</v>
      </c>
      <c r="B500" t="s">
        <v>13</v>
      </c>
      <c r="C500" t="s">
        <v>25</v>
      </c>
      <c r="D500" t="s">
        <v>2</v>
      </c>
      <c r="E500" t="s">
        <v>7</v>
      </c>
      <c r="F500">
        <v>-33.333333333333329</v>
      </c>
      <c r="G500" s="204">
        <v>43466</v>
      </c>
      <c r="H500" s="204" t="e">
        <f t="shared" si="7"/>
        <v>#NUM!</v>
      </c>
    </row>
    <row r="501" spans="1:8" x14ac:dyDescent="0.35">
      <c r="A501">
        <v>8</v>
      </c>
      <c r="B501" t="s">
        <v>14</v>
      </c>
      <c r="C501" t="s">
        <v>25</v>
      </c>
      <c r="D501" t="s">
        <v>2</v>
      </c>
      <c r="E501" t="s">
        <v>7</v>
      </c>
      <c r="F501">
        <v>-11.111111111111111</v>
      </c>
      <c r="G501" s="204">
        <v>43466</v>
      </c>
      <c r="H501" s="204" t="e">
        <f t="shared" si="7"/>
        <v>#NUM!</v>
      </c>
    </row>
    <row r="502" spans="1:8" x14ac:dyDescent="0.35">
      <c r="A502">
        <v>2</v>
      </c>
      <c r="B502" t="s">
        <v>15</v>
      </c>
      <c r="C502" t="s">
        <v>25</v>
      </c>
      <c r="D502" t="s">
        <v>2</v>
      </c>
      <c r="E502" t="s">
        <v>7</v>
      </c>
      <c r="F502">
        <v>-66.666666666666657</v>
      </c>
      <c r="G502" s="204">
        <v>43466</v>
      </c>
      <c r="H502" s="204" t="e">
        <f t="shared" si="7"/>
        <v>#NUM!</v>
      </c>
    </row>
    <row r="503" spans="1:8" x14ac:dyDescent="0.35">
      <c r="A503">
        <v>2</v>
      </c>
      <c r="B503" t="s">
        <v>16</v>
      </c>
      <c r="C503" t="s">
        <v>25</v>
      </c>
      <c r="D503" t="s">
        <v>2</v>
      </c>
      <c r="E503" t="s">
        <v>7</v>
      </c>
      <c r="F503">
        <v>100</v>
      </c>
      <c r="G503" s="204">
        <v>43466</v>
      </c>
      <c r="H503" s="204" t="e">
        <f t="shared" si="7"/>
        <v>#NUM!</v>
      </c>
    </row>
    <row r="504" spans="1:8" x14ac:dyDescent="0.35">
      <c r="A504">
        <v>2</v>
      </c>
      <c r="B504" t="s">
        <v>17</v>
      </c>
      <c r="C504" t="s">
        <v>25</v>
      </c>
      <c r="D504" t="s">
        <v>2</v>
      </c>
      <c r="E504" t="s">
        <v>7</v>
      </c>
      <c r="F504">
        <v>2</v>
      </c>
      <c r="G504" s="204">
        <v>43466</v>
      </c>
      <c r="H504" s="204" t="e">
        <f t="shared" si="7"/>
        <v>#NUM!</v>
      </c>
    </row>
    <row r="505" spans="1:8" x14ac:dyDescent="0.35">
      <c r="A505">
        <v>4</v>
      </c>
      <c r="B505" t="s">
        <v>18</v>
      </c>
      <c r="C505" t="s">
        <v>25</v>
      </c>
      <c r="D505" t="s">
        <v>2</v>
      </c>
      <c r="E505" t="s">
        <v>7</v>
      </c>
      <c r="F505">
        <v>33.333333333333329</v>
      </c>
      <c r="G505" s="204">
        <v>43466</v>
      </c>
      <c r="H505" s="204" t="e">
        <f t="shared" si="7"/>
        <v>#NUM!</v>
      </c>
    </row>
    <row r="506" spans="1:8" x14ac:dyDescent="0.35">
      <c r="A506">
        <v>0</v>
      </c>
      <c r="B506" t="s">
        <v>10</v>
      </c>
      <c r="C506" t="s">
        <v>26</v>
      </c>
      <c r="D506" t="s">
        <v>2</v>
      </c>
      <c r="E506" t="s">
        <v>7</v>
      </c>
      <c r="F506">
        <v>-100</v>
      </c>
      <c r="G506" s="204">
        <v>43466</v>
      </c>
      <c r="H506" s="204" t="e">
        <f t="shared" si="7"/>
        <v>#NUM!</v>
      </c>
    </row>
    <row r="507" spans="1:8" x14ac:dyDescent="0.35">
      <c r="A507">
        <v>1</v>
      </c>
      <c r="B507" t="s">
        <v>11</v>
      </c>
      <c r="C507" t="s">
        <v>26</v>
      </c>
      <c r="D507" t="s">
        <v>2</v>
      </c>
      <c r="E507" t="s">
        <v>7</v>
      </c>
      <c r="F507">
        <v>1</v>
      </c>
      <c r="G507" s="204">
        <v>43466</v>
      </c>
      <c r="H507" s="204" t="e">
        <f t="shared" si="7"/>
        <v>#NUM!</v>
      </c>
    </row>
    <row r="508" spans="1:8" x14ac:dyDescent="0.35">
      <c r="A508">
        <v>0</v>
      </c>
      <c r="B508" t="s">
        <v>12</v>
      </c>
      <c r="C508" t="s">
        <v>26</v>
      </c>
      <c r="D508" t="s">
        <v>2</v>
      </c>
      <c r="E508" t="s">
        <v>7</v>
      </c>
      <c r="F508">
        <v>0</v>
      </c>
      <c r="G508" s="204">
        <v>43466</v>
      </c>
      <c r="H508" s="204" t="e">
        <f t="shared" si="7"/>
        <v>#NUM!</v>
      </c>
    </row>
    <row r="509" spans="1:8" x14ac:dyDescent="0.35">
      <c r="A509">
        <v>0</v>
      </c>
      <c r="B509" t="s">
        <v>13</v>
      </c>
      <c r="C509" t="s">
        <v>26</v>
      </c>
      <c r="D509" t="s">
        <v>2</v>
      </c>
      <c r="E509" t="s">
        <v>7</v>
      </c>
      <c r="F509">
        <v>0</v>
      </c>
      <c r="G509" s="204">
        <v>43466</v>
      </c>
      <c r="H509" s="204" t="e">
        <f t="shared" si="7"/>
        <v>#NUM!</v>
      </c>
    </row>
    <row r="510" spans="1:8" x14ac:dyDescent="0.35">
      <c r="A510">
        <v>0</v>
      </c>
      <c r="B510" t="s">
        <v>14</v>
      </c>
      <c r="C510" t="s">
        <v>26</v>
      </c>
      <c r="D510" t="s">
        <v>2</v>
      </c>
      <c r="E510" t="s">
        <v>7</v>
      </c>
      <c r="F510">
        <v>0</v>
      </c>
      <c r="G510" s="204">
        <v>43466</v>
      </c>
      <c r="H510" s="204" t="e">
        <f t="shared" si="7"/>
        <v>#NUM!</v>
      </c>
    </row>
    <row r="511" spans="1:8" x14ac:dyDescent="0.35">
      <c r="A511">
        <v>0</v>
      </c>
      <c r="B511" t="s">
        <v>15</v>
      </c>
      <c r="C511" t="s">
        <v>26</v>
      </c>
      <c r="D511" t="s">
        <v>2</v>
      </c>
      <c r="E511" t="s">
        <v>7</v>
      </c>
      <c r="F511">
        <v>0</v>
      </c>
      <c r="G511" s="204">
        <v>43466</v>
      </c>
      <c r="H511" s="204" t="e">
        <f t="shared" si="7"/>
        <v>#NUM!</v>
      </c>
    </row>
    <row r="512" spans="1:8" x14ac:dyDescent="0.35">
      <c r="A512">
        <v>1</v>
      </c>
      <c r="B512" t="s">
        <v>16</v>
      </c>
      <c r="C512" t="s">
        <v>26</v>
      </c>
      <c r="D512" t="s">
        <v>2</v>
      </c>
      <c r="E512" t="s">
        <v>7</v>
      </c>
      <c r="F512">
        <v>1</v>
      </c>
      <c r="G512" s="204">
        <v>43466</v>
      </c>
      <c r="H512" s="204" t="e">
        <f t="shared" si="7"/>
        <v>#NUM!</v>
      </c>
    </row>
    <row r="513" spans="1:8" x14ac:dyDescent="0.35">
      <c r="A513">
        <v>0</v>
      </c>
      <c r="B513" t="s">
        <v>17</v>
      </c>
      <c r="C513" t="s">
        <v>26</v>
      </c>
      <c r="D513" t="s">
        <v>2</v>
      </c>
      <c r="E513" t="s">
        <v>7</v>
      </c>
      <c r="F513">
        <v>0</v>
      </c>
      <c r="G513" s="204">
        <v>43466</v>
      </c>
      <c r="H513" s="204" t="e">
        <f t="shared" si="7"/>
        <v>#NUM!</v>
      </c>
    </row>
    <row r="514" spans="1:8" x14ac:dyDescent="0.35">
      <c r="A514">
        <v>0</v>
      </c>
      <c r="B514" t="s">
        <v>18</v>
      </c>
      <c r="C514" t="s">
        <v>26</v>
      </c>
      <c r="D514" t="s">
        <v>2</v>
      </c>
      <c r="E514" t="s">
        <v>7</v>
      </c>
      <c r="F514">
        <v>-100</v>
      </c>
      <c r="G514" s="204">
        <v>43466</v>
      </c>
      <c r="H514" s="204" t="e">
        <f t="shared" si="7"/>
        <v>#NUM!</v>
      </c>
    </row>
    <row r="515" spans="1:8" x14ac:dyDescent="0.35">
      <c r="A515">
        <v>18</v>
      </c>
      <c r="B515" t="s">
        <v>10</v>
      </c>
      <c r="C515" t="s">
        <v>27</v>
      </c>
      <c r="D515" t="s">
        <v>2</v>
      </c>
      <c r="E515" t="s">
        <v>7</v>
      </c>
      <c r="F515">
        <v>28.571428571428569</v>
      </c>
      <c r="G515" s="204">
        <v>43466</v>
      </c>
      <c r="H515" s="204" t="e">
        <f t="shared" ref="G515:H578" si="8">DATE(G515,1,1)</f>
        <v>#NUM!</v>
      </c>
    </row>
    <row r="516" spans="1:8" x14ac:dyDescent="0.35">
      <c r="A516">
        <v>0</v>
      </c>
      <c r="B516" t="s">
        <v>11</v>
      </c>
      <c r="C516" t="s">
        <v>27</v>
      </c>
      <c r="D516" t="s">
        <v>2</v>
      </c>
      <c r="E516" t="s">
        <v>7</v>
      </c>
      <c r="F516">
        <v>-100</v>
      </c>
      <c r="G516" s="204">
        <v>43466</v>
      </c>
      <c r="H516" s="204" t="e">
        <f t="shared" si="8"/>
        <v>#NUM!</v>
      </c>
    </row>
    <row r="517" spans="1:8" x14ac:dyDescent="0.35">
      <c r="A517">
        <v>0</v>
      </c>
      <c r="B517" t="s">
        <v>12</v>
      </c>
      <c r="C517" t="s">
        <v>27</v>
      </c>
      <c r="D517" t="s">
        <v>2</v>
      </c>
      <c r="E517" t="s">
        <v>7</v>
      </c>
      <c r="F517">
        <v>0</v>
      </c>
      <c r="G517" s="204">
        <v>43466</v>
      </c>
      <c r="H517" s="204" t="e">
        <f t="shared" si="8"/>
        <v>#NUM!</v>
      </c>
    </row>
    <row r="518" spans="1:8" x14ac:dyDescent="0.35">
      <c r="A518">
        <v>0</v>
      </c>
      <c r="B518" t="s">
        <v>13</v>
      </c>
      <c r="C518" t="s">
        <v>27</v>
      </c>
      <c r="D518" t="s">
        <v>2</v>
      </c>
      <c r="E518" t="s">
        <v>7</v>
      </c>
      <c r="F518">
        <v>0</v>
      </c>
      <c r="G518" s="204">
        <v>43466</v>
      </c>
      <c r="H518" s="204" t="e">
        <f t="shared" si="8"/>
        <v>#NUM!</v>
      </c>
    </row>
    <row r="519" spans="1:8" x14ac:dyDescent="0.35">
      <c r="A519">
        <v>0</v>
      </c>
      <c r="B519" t="s">
        <v>14</v>
      </c>
      <c r="C519" t="s">
        <v>27</v>
      </c>
      <c r="D519" t="s">
        <v>2</v>
      </c>
      <c r="E519" t="s">
        <v>7</v>
      </c>
      <c r="F519">
        <v>0</v>
      </c>
      <c r="G519" s="204">
        <v>43466</v>
      </c>
      <c r="H519" s="204" t="e">
        <f t="shared" si="8"/>
        <v>#NUM!</v>
      </c>
    </row>
    <row r="520" spans="1:8" x14ac:dyDescent="0.35">
      <c r="A520">
        <v>0</v>
      </c>
      <c r="B520" t="s">
        <v>15</v>
      </c>
      <c r="C520" t="s">
        <v>27</v>
      </c>
      <c r="D520" t="s">
        <v>2</v>
      </c>
      <c r="E520" t="s">
        <v>7</v>
      </c>
      <c r="F520">
        <v>0</v>
      </c>
      <c r="G520" s="204">
        <v>43466</v>
      </c>
      <c r="H520" s="204" t="e">
        <f t="shared" si="8"/>
        <v>#NUM!</v>
      </c>
    </row>
    <row r="521" spans="1:8" x14ac:dyDescent="0.35">
      <c r="A521">
        <v>0</v>
      </c>
      <c r="B521" t="s">
        <v>16</v>
      </c>
      <c r="C521" t="s">
        <v>27</v>
      </c>
      <c r="D521" t="s">
        <v>2</v>
      </c>
      <c r="E521" t="s">
        <v>7</v>
      </c>
      <c r="F521">
        <v>0</v>
      </c>
      <c r="G521" s="204">
        <v>43466</v>
      </c>
      <c r="H521" s="204" t="e">
        <f t="shared" si="8"/>
        <v>#NUM!</v>
      </c>
    </row>
    <row r="522" spans="1:8" x14ac:dyDescent="0.35">
      <c r="A522">
        <v>0</v>
      </c>
      <c r="B522" t="s">
        <v>17</v>
      </c>
      <c r="C522" t="s">
        <v>27</v>
      </c>
      <c r="D522" t="s">
        <v>2</v>
      </c>
      <c r="E522" t="s">
        <v>7</v>
      </c>
      <c r="F522">
        <v>0</v>
      </c>
      <c r="G522" s="204">
        <v>43466</v>
      </c>
      <c r="H522" s="204" t="e">
        <f t="shared" si="8"/>
        <v>#NUM!</v>
      </c>
    </row>
    <row r="523" spans="1:8" x14ac:dyDescent="0.35">
      <c r="A523">
        <v>0</v>
      </c>
      <c r="B523" t="s">
        <v>18</v>
      </c>
      <c r="C523" t="s">
        <v>27</v>
      </c>
      <c r="D523" t="s">
        <v>2</v>
      </c>
      <c r="E523" t="s">
        <v>7</v>
      </c>
      <c r="F523">
        <v>0</v>
      </c>
      <c r="G523" s="204">
        <v>43466</v>
      </c>
      <c r="H523" s="204" t="e">
        <f t="shared" si="8"/>
        <v>#NUM!</v>
      </c>
    </row>
    <row r="524" spans="1:8" x14ac:dyDescent="0.35">
      <c r="A524">
        <v>974</v>
      </c>
      <c r="B524" t="s">
        <v>10</v>
      </c>
      <c r="C524" t="s">
        <v>28</v>
      </c>
      <c r="D524" t="s">
        <v>2</v>
      </c>
      <c r="E524" t="s">
        <v>8</v>
      </c>
      <c r="F524">
        <v>56.843800322061192</v>
      </c>
      <c r="G524" s="204">
        <v>43466</v>
      </c>
      <c r="H524" s="204" t="e">
        <f t="shared" si="8"/>
        <v>#NUM!</v>
      </c>
    </row>
    <row r="525" spans="1:8" x14ac:dyDescent="0.35">
      <c r="A525">
        <v>96</v>
      </c>
      <c r="B525" t="s">
        <v>11</v>
      </c>
      <c r="C525" t="s">
        <v>28</v>
      </c>
      <c r="D525" t="s">
        <v>2</v>
      </c>
      <c r="E525" t="s">
        <v>8</v>
      </c>
      <c r="F525">
        <v>-10.2803738317757</v>
      </c>
      <c r="G525" s="204">
        <v>43466</v>
      </c>
      <c r="H525" s="204" t="e">
        <f t="shared" si="8"/>
        <v>#NUM!</v>
      </c>
    </row>
    <row r="526" spans="1:8" x14ac:dyDescent="0.35">
      <c r="A526">
        <v>112</v>
      </c>
      <c r="B526" t="s">
        <v>12</v>
      </c>
      <c r="C526" t="s">
        <v>28</v>
      </c>
      <c r="D526" t="s">
        <v>2</v>
      </c>
      <c r="E526" t="s">
        <v>8</v>
      </c>
      <c r="F526">
        <v>41.77215189873418</v>
      </c>
      <c r="G526" s="204">
        <v>43466</v>
      </c>
      <c r="H526" s="204" t="e">
        <f t="shared" si="8"/>
        <v>#NUM!</v>
      </c>
    </row>
    <row r="527" spans="1:8" x14ac:dyDescent="0.35">
      <c r="A527">
        <v>89</v>
      </c>
      <c r="B527" t="s">
        <v>13</v>
      </c>
      <c r="C527" t="s">
        <v>28</v>
      </c>
      <c r="D527" t="s">
        <v>2</v>
      </c>
      <c r="E527" t="s">
        <v>8</v>
      </c>
      <c r="F527">
        <v>-32.575757575757578</v>
      </c>
      <c r="G527" s="204">
        <v>43466</v>
      </c>
      <c r="H527" s="204" t="e">
        <f t="shared" si="8"/>
        <v>#NUM!</v>
      </c>
    </row>
    <row r="528" spans="1:8" x14ac:dyDescent="0.35">
      <c r="A528">
        <v>45</v>
      </c>
      <c r="B528" t="s">
        <v>14</v>
      </c>
      <c r="C528" t="s">
        <v>28</v>
      </c>
      <c r="D528" t="s">
        <v>2</v>
      </c>
      <c r="E528" t="s">
        <v>8</v>
      </c>
      <c r="F528">
        <v>-68.965517241379317</v>
      </c>
      <c r="G528" s="204">
        <v>43466</v>
      </c>
      <c r="H528" s="204" t="e">
        <f t="shared" si="8"/>
        <v>#NUM!</v>
      </c>
    </row>
    <row r="529" spans="1:8" x14ac:dyDescent="0.35">
      <c r="A529">
        <v>104</v>
      </c>
      <c r="B529" t="s">
        <v>15</v>
      </c>
      <c r="C529" t="s">
        <v>28</v>
      </c>
      <c r="D529" t="s">
        <v>2</v>
      </c>
      <c r="E529" t="s">
        <v>8</v>
      </c>
      <c r="F529">
        <v>28.39506172839506</v>
      </c>
      <c r="G529" s="204">
        <v>43466</v>
      </c>
      <c r="H529" s="204" t="e">
        <f t="shared" si="8"/>
        <v>#NUM!</v>
      </c>
    </row>
    <row r="530" spans="1:8" x14ac:dyDescent="0.35">
      <c r="A530">
        <v>62</v>
      </c>
      <c r="B530" t="s">
        <v>16</v>
      </c>
      <c r="C530" t="s">
        <v>28</v>
      </c>
      <c r="D530" t="s">
        <v>2</v>
      </c>
      <c r="E530" t="s">
        <v>8</v>
      </c>
      <c r="F530">
        <v>-1.5873015873015872</v>
      </c>
      <c r="G530" s="204">
        <v>43466</v>
      </c>
      <c r="H530" s="204" t="e">
        <f t="shared" si="8"/>
        <v>#NUM!</v>
      </c>
    </row>
    <row r="531" spans="1:8" x14ac:dyDescent="0.35">
      <c r="A531">
        <v>33</v>
      </c>
      <c r="B531" t="s">
        <v>17</v>
      </c>
      <c r="C531" t="s">
        <v>28</v>
      </c>
      <c r="D531" t="s">
        <v>2</v>
      </c>
      <c r="E531" t="s">
        <v>8</v>
      </c>
      <c r="F531">
        <v>32</v>
      </c>
      <c r="G531" s="204">
        <v>43466</v>
      </c>
      <c r="H531" s="204" t="e">
        <f t="shared" si="8"/>
        <v>#NUM!</v>
      </c>
    </row>
    <row r="532" spans="1:8" x14ac:dyDescent="0.35">
      <c r="A532">
        <v>100</v>
      </c>
      <c r="B532" t="s">
        <v>18</v>
      </c>
      <c r="C532" t="s">
        <v>28</v>
      </c>
      <c r="D532" t="s">
        <v>2</v>
      </c>
      <c r="E532" t="s">
        <v>8</v>
      </c>
      <c r="F532">
        <v>-43.18181818181818</v>
      </c>
      <c r="G532" s="204">
        <v>43466</v>
      </c>
      <c r="H532" s="204" t="e">
        <f t="shared" si="8"/>
        <v>#NUM!</v>
      </c>
    </row>
    <row r="533" spans="1:8" x14ac:dyDescent="0.35">
      <c r="A533">
        <v>314</v>
      </c>
      <c r="B533" t="s">
        <v>10</v>
      </c>
      <c r="C533" t="s">
        <v>29</v>
      </c>
      <c r="D533" t="s">
        <v>2</v>
      </c>
      <c r="E533" t="s">
        <v>8</v>
      </c>
      <c r="F533">
        <v>51.690821256038646</v>
      </c>
      <c r="G533" s="204">
        <v>43466</v>
      </c>
      <c r="H533" s="204" t="e">
        <f t="shared" si="8"/>
        <v>#NUM!</v>
      </c>
    </row>
    <row r="534" spans="1:8" x14ac:dyDescent="0.35">
      <c r="A534">
        <v>23</v>
      </c>
      <c r="B534" t="s">
        <v>11</v>
      </c>
      <c r="C534" t="s">
        <v>29</v>
      </c>
      <c r="D534" t="s">
        <v>2</v>
      </c>
      <c r="E534" t="s">
        <v>8</v>
      </c>
      <c r="F534">
        <v>-42.5</v>
      </c>
      <c r="G534" s="204">
        <v>43466</v>
      </c>
      <c r="H534" s="204" t="e">
        <f t="shared" si="8"/>
        <v>#NUM!</v>
      </c>
    </row>
    <row r="535" spans="1:8" x14ac:dyDescent="0.35">
      <c r="A535">
        <v>28</v>
      </c>
      <c r="B535" t="s">
        <v>12</v>
      </c>
      <c r="C535" t="s">
        <v>29</v>
      </c>
      <c r="D535" t="s">
        <v>2</v>
      </c>
      <c r="E535" t="s">
        <v>8</v>
      </c>
      <c r="F535">
        <v>33.333333333333329</v>
      </c>
      <c r="G535" s="204">
        <v>43466</v>
      </c>
      <c r="H535" s="204" t="e">
        <f t="shared" si="8"/>
        <v>#NUM!</v>
      </c>
    </row>
    <row r="536" spans="1:8" x14ac:dyDescent="0.35">
      <c r="A536">
        <v>15</v>
      </c>
      <c r="B536" t="s">
        <v>13</v>
      </c>
      <c r="C536" t="s">
        <v>29</v>
      </c>
      <c r="D536" t="s">
        <v>2</v>
      </c>
      <c r="E536" t="s">
        <v>8</v>
      </c>
      <c r="F536">
        <v>-58.333333333333336</v>
      </c>
      <c r="G536" s="204">
        <v>43466</v>
      </c>
      <c r="H536" s="204" t="e">
        <f t="shared" si="8"/>
        <v>#NUM!</v>
      </c>
    </row>
    <row r="537" spans="1:8" x14ac:dyDescent="0.35">
      <c r="A537">
        <v>18</v>
      </c>
      <c r="B537" t="s">
        <v>14</v>
      </c>
      <c r="C537" t="s">
        <v>29</v>
      </c>
      <c r="D537" t="s">
        <v>2</v>
      </c>
      <c r="E537" t="s">
        <v>8</v>
      </c>
      <c r="F537">
        <v>-35.714285714285715</v>
      </c>
      <c r="G537" s="204">
        <v>43466</v>
      </c>
      <c r="H537" s="204" t="e">
        <f t="shared" si="8"/>
        <v>#NUM!</v>
      </c>
    </row>
    <row r="538" spans="1:8" x14ac:dyDescent="0.35">
      <c r="A538">
        <v>19</v>
      </c>
      <c r="B538" t="s">
        <v>15</v>
      </c>
      <c r="C538" t="s">
        <v>29</v>
      </c>
      <c r="D538" t="s">
        <v>2</v>
      </c>
      <c r="E538" t="s">
        <v>8</v>
      </c>
      <c r="F538">
        <v>-24</v>
      </c>
      <c r="G538" s="204">
        <v>43466</v>
      </c>
      <c r="H538" s="204" t="e">
        <f t="shared" si="8"/>
        <v>#NUM!</v>
      </c>
    </row>
    <row r="539" spans="1:8" x14ac:dyDescent="0.35">
      <c r="A539">
        <v>48</v>
      </c>
      <c r="B539" t="s">
        <v>16</v>
      </c>
      <c r="C539" t="s">
        <v>29</v>
      </c>
      <c r="D539" t="s">
        <v>2</v>
      </c>
      <c r="E539" t="s">
        <v>8</v>
      </c>
      <c r="F539">
        <v>60</v>
      </c>
      <c r="G539" s="204">
        <v>43466</v>
      </c>
      <c r="H539" s="204" t="e">
        <f t="shared" si="8"/>
        <v>#NUM!</v>
      </c>
    </row>
    <row r="540" spans="1:8" x14ac:dyDescent="0.35">
      <c r="A540">
        <v>13</v>
      </c>
      <c r="B540" t="s">
        <v>17</v>
      </c>
      <c r="C540" t="s">
        <v>29</v>
      </c>
      <c r="D540" t="s">
        <v>2</v>
      </c>
      <c r="E540" t="s">
        <v>8</v>
      </c>
      <c r="F540">
        <v>62.5</v>
      </c>
      <c r="G540" s="204">
        <v>43466</v>
      </c>
      <c r="H540" s="204" t="e">
        <f t="shared" si="8"/>
        <v>#NUM!</v>
      </c>
    </row>
    <row r="541" spans="1:8" x14ac:dyDescent="0.35">
      <c r="A541">
        <v>35</v>
      </c>
      <c r="B541" t="s">
        <v>18</v>
      </c>
      <c r="C541" t="s">
        <v>29</v>
      </c>
      <c r="D541" t="s">
        <v>2</v>
      </c>
      <c r="E541" t="s">
        <v>8</v>
      </c>
      <c r="F541">
        <v>25</v>
      </c>
      <c r="G541" s="204">
        <v>43466</v>
      </c>
      <c r="H541" s="204" t="e">
        <f t="shared" si="8"/>
        <v>#NUM!</v>
      </c>
    </row>
    <row r="542" spans="1:8" x14ac:dyDescent="0.35">
      <c r="A542">
        <v>73</v>
      </c>
      <c r="B542" t="s">
        <v>10</v>
      </c>
      <c r="C542" t="s">
        <v>30</v>
      </c>
      <c r="D542" t="s">
        <v>2</v>
      </c>
      <c r="E542" t="s">
        <v>8</v>
      </c>
      <c r="F542">
        <v>43.137254901960787</v>
      </c>
      <c r="G542" s="204">
        <v>43466</v>
      </c>
      <c r="H542" s="204" t="e">
        <f t="shared" si="8"/>
        <v>#NUM!</v>
      </c>
    </row>
    <row r="543" spans="1:8" x14ac:dyDescent="0.35">
      <c r="A543">
        <v>6</v>
      </c>
      <c r="B543" t="s">
        <v>11</v>
      </c>
      <c r="C543" t="s">
        <v>30</v>
      </c>
      <c r="D543" t="s">
        <v>2</v>
      </c>
      <c r="E543" t="s">
        <v>8</v>
      </c>
      <c r="F543">
        <v>-70</v>
      </c>
      <c r="G543" s="204">
        <v>43466</v>
      </c>
      <c r="H543" s="204" t="e">
        <f t="shared" si="8"/>
        <v>#NUM!</v>
      </c>
    </row>
    <row r="544" spans="1:8" x14ac:dyDescent="0.35">
      <c r="A544">
        <v>6</v>
      </c>
      <c r="B544" t="s">
        <v>12</v>
      </c>
      <c r="C544" t="s">
        <v>30</v>
      </c>
      <c r="D544" t="s">
        <v>2</v>
      </c>
      <c r="E544" t="s">
        <v>8</v>
      </c>
      <c r="F544">
        <v>-83.78378378378379</v>
      </c>
      <c r="G544" s="204">
        <v>43466</v>
      </c>
      <c r="H544" s="204" t="e">
        <f t="shared" si="8"/>
        <v>#NUM!</v>
      </c>
    </row>
    <row r="545" spans="1:8" x14ac:dyDescent="0.35">
      <c r="A545">
        <v>11</v>
      </c>
      <c r="B545" t="s">
        <v>13</v>
      </c>
      <c r="C545" t="s">
        <v>30</v>
      </c>
      <c r="D545" t="s">
        <v>2</v>
      </c>
      <c r="E545" t="s">
        <v>8</v>
      </c>
      <c r="F545">
        <v>-69.444444444444443</v>
      </c>
      <c r="G545" s="204">
        <v>43466</v>
      </c>
      <c r="H545" s="204" t="e">
        <f t="shared" si="8"/>
        <v>#NUM!</v>
      </c>
    </row>
    <row r="546" spans="1:8" x14ac:dyDescent="0.35">
      <c r="A546">
        <v>17</v>
      </c>
      <c r="B546" t="s">
        <v>14</v>
      </c>
      <c r="C546" t="s">
        <v>30</v>
      </c>
      <c r="D546" t="s">
        <v>2</v>
      </c>
      <c r="E546" t="s">
        <v>8</v>
      </c>
      <c r="F546">
        <v>41.666666666666671</v>
      </c>
      <c r="G546" s="204">
        <v>43466</v>
      </c>
      <c r="H546" s="204" t="e">
        <f t="shared" si="8"/>
        <v>#NUM!</v>
      </c>
    </row>
    <row r="547" spans="1:8" x14ac:dyDescent="0.35">
      <c r="A547">
        <v>29</v>
      </c>
      <c r="B547" t="s">
        <v>15</v>
      </c>
      <c r="C547" t="s">
        <v>30</v>
      </c>
      <c r="D547" t="s">
        <v>2</v>
      </c>
      <c r="E547" t="s">
        <v>8</v>
      </c>
      <c r="F547">
        <v>-42</v>
      </c>
      <c r="G547" s="204">
        <v>43466</v>
      </c>
      <c r="H547" s="204" t="e">
        <f t="shared" si="8"/>
        <v>#NUM!</v>
      </c>
    </row>
    <row r="548" spans="1:8" x14ac:dyDescent="0.35">
      <c r="A548">
        <v>8</v>
      </c>
      <c r="B548" t="s">
        <v>16</v>
      </c>
      <c r="C548" t="s">
        <v>30</v>
      </c>
      <c r="D548" t="s">
        <v>2</v>
      </c>
      <c r="E548" t="s">
        <v>8</v>
      </c>
      <c r="F548">
        <v>-60</v>
      </c>
      <c r="G548" s="204">
        <v>43466</v>
      </c>
      <c r="H548" s="204" t="e">
        <f t="shared" si="8"/>
        <v>#NUM!</v>
      </c>
    </row>
    <row r="549" spans="1:8" x14ac:dyDescent="0.35">
      <c r="A549">
        <v>7</v>
      </c>
      <c r="B549" t="s">
        <v>17</v>
      </c>
      <c r="C549" t="s">
        <v>30</v>
      </c>
      <c r="D549" t="s">
        <v>2</v>
      </c>
      <c r="E549" t="s">
        <v>8</v>
      </c>
      <c r="F549">
        <v>-53.333333333333336</v>
      </c>
      <c r="G549" s="204">
        <v>43466</v>
      </c>
      <c r="H549" s="204" t="e">
        <f t="shared" si="8"/>
        <v>#NUM!</v>
      </c>
    </row>
    <row r="550" spans="1:8" x14ac:dyDescent="0.35">
      <c r="A550">
        <v>28</v>
      </c>
      <c r="B550" t="s">
        <v>18</v>
      </c>
      <c r="C550" t="s">
        <v>30</v>
      </c>
      <c r="D550" t="s">
        <v>2</v>
      </c>
      <c r="E550" t="s">
        <v>8</v>
      </c>
      <c r="F550">
        <v>16.666666666666664</v>
      </c>
      <c r="G550" s="204">
        <v>43466</v>
      </c>
      <c r="H550" s="204" t="e">
        <f t="shared" si="8"/>
        <v>#NUM!</v>
      </c>
    </row>
    <row r="551" spans="1:8" x14ac:dyDescent="0.35">
      <c r="A551">
        <v>14</v>
      </c>
      <c r="B551" t="s">
        <v>10</v>
      </c>
      <c r="C551" t="s">
        <v>31</v>
      </c>
      <c r="D551" t="s">
        <v>2</v>
      </c>
      <c r="E551" t="s">
        <v>8</v>
      </c>
      <c r="F551">
        <v>-62.162162162162161</v>
      </c>
      <c r="G551" s="204">
        <v>43466</v>
      </c>
      <c r="H551" s="204" t="e">
        <f t="shared" si="8"/>
        <v>#NUM!</v>
      </c>
    </row>
    <row r="552" spans="1:8" x14ac:dyDescent="0.35">
      <c r="A552">
        <v>3</v>
      </c>
      <c r="B552" t="s">
        <v>11</v>
      </c>
      <c r="C552" t="s">
        <v>31</v>
      </c>
      <c r="D552" t="s">
        <v>2</v>
      </c>
      <c r="E552" t="s">
        <v>8</v>
      </c>
      <c r="F552">
        <v>200</v>
      </c>
      <c r="G552" s="204">
        <v>43466</v>
      </c>
      <c r="H552" s="204" t="e">
        <f t="shared" si="8"/>
        <v>#NUM!</v>
      </c>
    </row>
    <row r="553" spans="1:8" x14ac:dyDescent="0.35">
      <c r="A553">
        <v>0</v>
      </c>
      <c r="B553" t="s">
        <v>12</v>
      </c>
      <c r="C553" t="s">
        <v>31</v>
      </c>
      <c r="D553" t="s">
        <v>2</v>
      </c>
      <c r="E553" t="s">
        <v>8</v>
      </c>
      <c r="F553">
        <v>0</v>
      </c>
      <c r="G553" s="204">
        <v>43466</v>
      </c>
      <c r="H553" s="204" t="e">
        <f t="shared" si="8"/>
        <v>#NUM!</v>
      </c>
    </row>
    <row r="554" spans="1:8" x14ac:dyDescent="0.35">
      <c r="A554">
        <v>0</v>
      </c>
      <c r="B554" t="s">
        <v>13</v>
      </c>
      <c r="C554" t="s">
        <v>31</v>
      </c>
      <c r="D554" t="s">
        <v>2</v>
      </c>
      <c r="E554" t="s">
        <v>8</v>
      </c>
      <c r="F554">
        <v>0</v>
      </c>
      <c r="G554" s="204">
        <v>43466</v>
      </c>
      <c r="H554" s="204" t="e">
        <f t="shared" si="8"/>
        <v>#NUM!</v>
      </c>
    </row>
    <row r="555" spans="1:8" x14ac:dyDescent="0.35">
      <c r="A555">
        <v>2</v>
      </c>
      <c r="B555" t="s">
        <v>14</v>
      </c>
      <c r="C555" t="s">
        <v>31</v>
      </c>
      <c r="D555" t="s">
        <v>2</v>
      </c>
      <c r="E555" t="s">
        <v>8</v>
      </c>
      <c r="F555">
        <v>2</v>
      </c>
      <c r="G555" s="204">
        <v>43466</v>
      </c>
      <c r="H555" s="204" t="e">
        <f t="shared" si="8"/>
        <v>#NUM!</v>
      </c>
    </row>
    <row r="556" spans="1:8" x14ac:dyDescent="0.35">
      <c r="A556">
        <v>1</v>
      </c>
      <c r="B556" t="s">
        <v>15</v>
      </c>
      <c r="C556" t="s">
        <v>31</v>
      </c>
      <c r="D556" t="s">
        <v>2</v>
      </c>
      <c r="E556" t="s">
        <v>8</v>
      </c>
      <c r="F556">
        <v>0</v>
      </c>
      <c r="G556" s="204">
        <v>43466</v>
      </c>
      <c r="H556" s="204" t="e">
        <f t="shared" si="8"/>
        <v>#NUM!</v>
      </c>
    </row>
    <row r="557" spans="1:8" x14ac:dyDescent="0.35">
      <c r="A557">
        <v>0</v>
      </c>
      <c r="B557" t="s">
        <v>16</v>
      </c>
      <c r="C557" t="s">
        <v>31</v>
      </c>
      <c r="D557" t="s">
        <v>2</v>
      </c>
      <c r="E557" t="s">
        <v>8</v>
      </c>
      <c r="F557">
        <v>-100</v>
      </c>
      <c r="G557" s="204">
        <v>43466</v>
      </c>
      <c r="H557" s="204" t="e">
        <f t="shared" si="8"/>
        <v>#NUM!</v>
      </c>
    </row>
    <row r="558" spans="1:8" x14ac:dyDescent="0.35">
      <c r="A558">
        <v>0</v>
      </c>
      <c r="B558" t="s">
        <v>17</v>
      </c>
      <c r="C558" t="s">
        <v>31</v>
      </c>
      <c r="D558" t="s">
        <v>2</v>
      </c>
      <c r="E558" t="s">
        <v>8</v>
      </c>
      <c r="F558">
        <v>-100</v>
      </c>
      <c r="G558" s="204">
        <v>43466</v>
      </c>
      <c r="H558" s="204" t="e">
        <f t="shared" si="8"/>
        <v>#NUM!</v>
      </c>
    </row>
    <row r="559" spans="1:8" x14ac:dyDescent="0.35">
      <c r="A559">
        <v>0</v>
      </c>
      <c r="B559" t="s">
        <v>18</v>
      </c>
      <c r="C559" t="s">
        <v>31</v>
      </c>
      <c r="D559" t="s">
        <v>2</v>
      </c>
      <c r="E559" t="s">
        <v>8</v>
      </c>
      <c r="F559">
        <v>-100</v>
      </c>
      <c r="G559" s="204">
        <v>43466</v>
      </c>
      <c r="H559" s="204" t="e">
        <f t="shared" si="8"/>
        <v>#NUM!</v>
      </c>
    </row>
    <row r="560" spans="1:8" x14ac:dyDescent="0.35">
      <c r="A560">
        <v>1669</v>
      </c>
      <c r="B560" t="s">
        <v>10</v>
      </c>
      <c r="C560" t="s">
        <v>32</v>
      </c>
      <c r="D560" t="s">
        <v>2</v>
      </c>
      <c r="E560" t="s">
        <v>8</v>
      </c>
      <c r="F560">
        <v>31.210691823899374</v>
      </c>
      <c r="G560" s="204">
        <v>43466</v>
      </c>
      <c r="H560" s="204" t="e">
        <f t="shared" si="8"/>
        <v>#NUM!</v>
      </c>
    </row>
    <row r="561" spans="1:8" x14ac:dyDescent="0.35">
      <c r="A561">
        <v>220</v>
      </c>
      <c r="B561" t="s">
        <v>11</v>
      </c>
      <c r="C561" t="s">
        <v>32</v>
      </c>
      <c r="D561" t="s">
        <v>2</v>
      </c>
      <c r="E561" t="s">
        <v>8</v>
      </c>
      <c r="F561">
        <v>-19.117647058823529</v>
      </c>
      <c r="G561" s="204">
        <v>43466</v>
      </c>
      <c r="H561" s="204" t="e">
        <f t="shared" si="8"/>
        <v>#NUM!</v>
      </c>
    </row>
    <row r="562" spans="1:8" x14ac:dyDescent="0.35">
      <c r="A562">
        <v>258</v>
      </c>
      <c r="B562" t="s">
        <v>12</v>
      </c>
      <c r="C562" t="s">
        <v>32</v>
      </c>
      <c r="D562" t="s">
        <v>2</v>
      </c>
      <c r="E562" t="s">
        <v>8</v>
      </c>
      <c r="F562">
        <v>52.662721893491124</v>
      </c>
      <c r="G562" s="204">
        <v>43466</v>
      </c>
      <c r="H562" s="204" t="e">
        <f t="shared" si="8"/>
        <v>#NUM!</v>
      </c>
    </row>
    <row r="563" spans="1:8" x14ac:dyDescent="0.35">
      <c r="A563">
        <v>200</v>
      </c>
      <c r="B563" t="s">
        <v>13</v>
      </c>
      <c r="C563" t="s">
        <v>32</v>
      </c>
      <c r="D563" t="s">
        <v>2</v>
      </c>
      <c r="E563" t="s">
        <v>8</v>
      </c>
      <c r="F563">
        <v>-34.210526315789473</v>
      </c>
      <c r="G563" s="204">
        <v>43466</v>
      </c>
      <c r="H563" s="204" t="e">
        <f t="shared" si="8"/>
        <v>#NUM!</v>
      </c>
    </row>
    <row r="564" spans="1:8" x14ac:dyDescent="0.35">
      <c r="A564">
        <v>192</v>
      </c>
      <c r="B564" t="s">
        <v>14</v>
      </c>
      <c r="C564" t="s">
        <v>32</v>
      </c>
      <c r="D564" t="s">
        <v>2</v>
      </c>
      <c r="E564" t="s">
        <v>8</v>
      </c>
      <c r="F564">
        <v>-35.570469798657719</v>
      </c>
      <c r="G564" s="204">
        <v>43466</v>
      </c>
      <c r="H564" s="204" t="e">
        <f t="shared" si="8"/>
        <v>#NUM!</v>
      </c>
    </row>
    <row r="565" spans="1:8" x14ac:dyDescent="0.35">
      <c r="A565">
        <v>445</v>
      </c>
      <c r="B565" t="s">
        <v>15</v>
      </c>
      <c r="C565" t="s">
        <v>32</v>
      </c>
      <c r="D565" t="s">
        <v>2</v>
      </c>
      <c r="E565" t="s">
        <v>8</v>
      </c>
      <c r="F565">
        <v>164.88095238095238</v>
      </c>
      <c r="G565" s="204">
        <v>43466</v>
      </c>
      <c r="H565" s="204" t="e">
        <f t="shared" si="8"/>
        <v>#NUM!</v>
      </c>
    </row>
    <row r="566" spans="1:8" x14ac:dyDescent="0.35">
      <c r="A566">
        <v>107</v>
      </c>
      <c r="B566" t="s">
        <v>16</v>
      </c>
      <c r="C566" t="s">
        <v>32</v>
      </c>
      <c r="D566" t="s">
        <v>2</v>
      </c>
      <c r="E566" t="s">
        <v>8</v>
      </c>
      <c r="F566">
        <v>-40.22346368715084</v>
      </c>
      <c r="G566" s="204">
        <v>43466</v>
      </c>
      <c r="H566" s="204" t="e">
        <f t="shared" si="8"/>
        <v>#NUM!</v>
      </c>
    </row>
    <row r="567" spans="1:8" x14ac:dyDescent="0.35">
      <c r="A567">
        <v>93</v>
      </c>
      <c r="B567" t="s">
        <v>17</v>
      </c>
      <c r="C567" t="s">
        <v>32</v>
      </c>
      <c r="D567" t="s">
        <v>2</v>
      </c>
      <c r="E567" t="s">
        <v>8</v>
      </c>
      <c r="F567">
        <v>25.675675675675674</v>
      </c>
      <c r="G567" s="204">
        <v>43466</v>
      </c>
      <c r="H567" s="204" t="e">
        <f t="shared" si="8"/>
        <v>#NUM!</v>
      </c>
    </row>
    <row r="568" spans="1:8" x14ac:dyDescent="0.35">
      <c r="A568">
        <v>161</v>
      </c>
      <c r="B568" t="s">
        <v>18</v>
      </c>
      <c r="C568" t="s">
        <v>32</v>
      </c>
      <c r="D568" t="s">
        <v>2</v>
      </c>
      <c r="E568" t="s">
        <v>8</v>
      </c>
      <c r="F568">
        <v>-47.385620915032675</v>
      </c>
      <c r="G568" s="204">
        <v>43466</v>
      </c>
      <c r="H568" s="204" t="e">
        <f t="shared" si="8"/>
        <v>#NUM!</v>
      </c>
    </row>
    <row r="569" spans="1:8" x14ac:dyDescent="0.35">
      <c r="A569">
        <v>436</v>
      </c>
      <c r="B569" t="s">
        <v>10</v>
      </c>
      <c r="C569" t="s">
        <v>33</v>
      </c>
      <c r="D569" t="s">
        <v>2</v>
      </c>
      <c r="E569" t="s">
        <v>8</v>
      </c>
      <c r="F569">
        <v>-1.8018018018018018</v>
      </c>
      <c r="G569" s="204">
        <v>43466</v>
      </c>
      <c r="H569" s="204" t="e">
        <f t="shared" si="8"/>
        <v>#NUM!</v>
      </c>
    </row>
    <row r="570" spans="1:8" x14ac:dyDescent="0.35">
      <c r="A570">
        <v>48</v>
      </c>
      <c r="B570" t="s">
        <v>11</v>
      </c>
      <c r="C570" t="s">
        <v>33</v>
      </c>
      <c r="D570" t="s">
        <v>2</v>
      </c>
      <c r="E570" t="s">
        <v>8</v>
      </c>
      <c r="F570">
        <v>-43.529411764705884</v>
      </c>
      <c r="G570" s="204">
        <v>43466</v>
      </c>
      <c r="H570" s="204" t="e">
        <f t="shared" si="8"/>
        <v>#NUM!</v>
      </c>
    </row>
    <row r="571" spans="1:8" x14ac:dyDescent="0.35">
      <c r="A571">
        <v>77</v>
      </c>
      <c r="B571" t="s">
        <v>12</v>
      </c>
      <c r="C571" t="s">
        <v>33</v>
      </c>
      <c r="D571" t="s">
        <v>2</v>
      </c>
      <c r="E571" t="s">
        <v>8</v>
      </c>
      <c r="F571">
        <v>-45</v>
      </c>
      <c r="G571" s="204">
        <v>43466</v>
      </c>
      <c r="H571" s="204" t="e">
        <f t="shared" si="8"/>
        <v>#NUM!</v>
      </c>
    </row>
    <row r="572" spans="1:8" x14ac:dyDescent="0.35">
      <c r="A572">
        <v>88</v>
      </c>
      <c r="B572" t="s">
        <v>13</v>
      </c>
      <c r="C572" t="s">
        <v>33</v>
      </c>
      <c r="D572" t="s">
        <v>2</v>
      </c>
      <c r="E572" t="s">
        <v>8</v>
      </c>
      <c r="F572">
        <v>-25.423728813559322</v>
      </c>
      <c r="G572" s="204">
        <v>43466</v>
      </c>
      <c r="H572" s="204" t="e">
        <f t="shared" si="8"/>
        <v>#NUM!</v>
      </c>
    </row>
    <row r="573" spans="1:8" x14ac:dyDescent="0.35">
      <c r="A573">
        <v>47</v>
      </c>
      <c r="B573" t="s">
        <v>14</v>
      </c>
      <c r="C573" t="s">
        <v>33</v>
      </c>
      <c r="D573" t="s">
        <v>2</v>
      </c>
      <c r="E573" t="s">
        <v>8</v>
      </c>
      <c r="F573">
        <v>-76.5</v>
      </c>
      <c r="G573" s="204">
        <v>43466</v>
      </c>
      <c r="H573" s="204" t="e">
        <f t="shared" si="8"/>
        <v>#NUM!</v>
      </c>
    </row>
    <row r="574" spans="1:8" x14ac:dyDescent="0.35">
      <c r="A574">
        <v>146</v>
      </c>
      <c r="B574" t="s">
        <v>15</v>
      </c>
      <c r="C574" t="s">
        <v>33</v>
      </c>
      <c r="D574" t="s">
        <v>2</v>
      </c>
      <c r="E574" t="s">
        <v>8</v>
      </c>
      <c r="F574">
        <v>82.5</v>
      </c>
      <c r="G574" s="204">
        <v>43466</v>
      </c>
      <c r="H574" s="204" t="e">
        <f t="shared" si="8"/>
        <v>#NUM!</v>
      </c>
    </row>
    <row r="575" spans="1:8" x14ac:dyDescent="0.35">
      <c r="A575">
        <v>49</v>
      </c>
      <c r="B575" t="s">
        <v>16</v>
      </c>
      <c r="C575" t="s">
        <v>33</v>
      </c>
      <c r="D575" t="s">
        <v>2</v>
      </c>
      <c r="E575" t="s">
        <v>8</v>
      </c>
      <c r="F575">
        <v>-61.111111111111114</v>
      </c>
      <c r="G575" s="204">
        <v>43466</v>
      </c>
      <c r="H575" s="204" t="e">
        <f t="shared" si="8"/>
        <v>#NUM!</v>
      </c>
    </row>
    <row r="576" spans="1:8" x14ac:dyDescent="0.35">
      <c r="A576">
        <v>36</v>
      </c>
      <c r="B576" t="s">
        <v>17</v>
      </c>
      <c r="C576" t="s">
        <v>33</v>
      </c>
      <c r="D576" t="s">
        <v>2</v>
      </c>
      <c r="E576" t="s">
        <v>8</v>
      </c>
      <c r="F576">
        <v>-73.333333333333329</v>
      </c>
      <c r="G576" s="204">
        <v>43466</v>
      </c>
      <c r="H576" s="204" t="e">
        <f t="shared" si="8"/>
        <v>#NUM!</v>
      </c>
    </row>
    <row r="577" spans="1:8" x14ac:dyDescent="0.35">
      <c r="A577">
        <v>36</v>
      </c>
      <c r="B577" t="s">
        <v>18</v>
      </c>
      <c r="C577" t="s">
        <v>33</v>
      </c>
      <c r="D577" t="s">
        <v>2</v>
      </c>
      <c r="E577" t="s">
        <v>8</v>
      </c>
      <c r="F577">
        <v>-61.29032258064516</v>
      </c>
      <c r="G577" s="204">
        <v>43466</v>
      </c>
      <c r="H577" s="204" t="e">
        <f t="shared" si="8"/>
        <v>#NUM!</v>
      </c>
    </row>
    <row r="578" spans="1:8" x14ac:dyDescent="0.35">
      <c r="A578">
        <v>337</v>
      </c>
      <c r="B578" t="s">
        <v>10</v>
      </c>
      <c r="C578" t="s">
        <v>34</v>
      </c>
      <c r="D578" t="s">
        <v>2</v>
      </c>
      <c r="E578" t="s">
        <v>8</v>
      </c>
      <c r="F578">
        <v>85.164835164835168</v>
      </c>
      <c r="G578" s="204">
        <v>43466</v>
      </c>
      <c r="H578" s="204" t="e">
        <f t="shared" si="8"/>
        <v>#NUM!</v>
      </c>
    </row>
    <row r="579" spans="1:8" x14ac:dyDescent="0.35">
      <c r="A579">
        <v>35</v>
      </c>
      <c r="B579" t="s">
        <v>11</v>
      </c>
      <c r="C579" t="s">
        <v>34</v>
      </c>
      <c r="D579" t="s">
        <v>2</v>
      </c>
      <c r="E579" t="s">
        <v>8</v>
      </c>
      <c r="F579">
        <v>45.833333333333329</v>
      </c>
      <c r="G579" s="204">
        <v>43466</v>
      </c>
      <c r="H579" s="204" t="e">
        <f t="shared" ref="G579:H642" si="9">DATE(G579,1,1)</f>
        <v>#NUM!</v>
      </c>
    </row>
    <row r="580" spans="1:8" x14ac:dyDescent="0.35">
      <c r="A580">
        <v>21</v>
      </c>
      <c r="B580" t="s">
        <v>12</v>
      </c>
      <c r="C580" t="s">
        <v>34</v>
      </c>
      <c r="D580" t="s">
        <v>2</v>
      </c>
      <c r="E580" t="s">
        <v>8</v>
      </c>
      <c r="F580">
        <v>-22.222222222222221</v>
      </c>
      <c r="G580" s="204">
        <v>43466</v>
      </c>
      <c r="H580" s="204" t="e">
        <f t="shared" si="9"/>
        <v>#NUM!</v>
      </c>
    </row>
    <row r="581" spans="1:8" x14ac:dyDescent="0.35">
      <c r="A581">
        <v>113</v>
      </c>
      <c r="B581" t="s">
        <v>13</v>
      </c>
      <c r="C581" t="s">
        <v>34</v>
      </c>
      <c r="D581" t="s">
        <v>2</v>
      </c>
      <c r="E581" t="s">
        <v>8</v>
      </c>
      <c r="F581">
        <v>109.25925925925925</v>
      </c>
      <c r="G581" s="204">
        <v>43466</v>
      </c>
      <c r="H581" s="204" t="e">
        <f t="shared" si="9"/>
        <v>#NUM!</v>
      </c>
    </row>
    <row r="582" spans="1:8" x14ac:dyDescent="0.35">
      <c r="A582">
        <v>19</v>
      </c>
      <c r="B582" t="s">
        <v>14</v>
      </c>
      <c r="C582" t="s">
        <v>34</v>
      </c>
      <c r="D582" t="s">
        <v>2</v>
      </c>
      <c r="E582" t="s">
        <v>8</v>
      </c>
      <c r="F582">
        <v>-26.923076923076923</v>
      </c>
      <c r="G582" s="204">
        <v>43466</v>
      </c>
      <c r="H582" s="204" t="e">
        <f t="shared" si="9"/>
        <v>#NUM!</v>
      </c>
    </row>
    <row r="583" spans="1:8" x14ac:dyDescent="0.35">
      <c r="A583">
        <v>36</v>
      </c>
      <c r="B583" t="s">
        <v>15</v>
      </c>
      <c r="C583" t="s">
        <v>34</v>
      </c>
      <c r="D583" t="s">
        <v>2</v>
      </c>
      <c r="E583" t="s">
        <v>8</v>
      </c>
      <c r="F583">
        <v>56.521739130434781</v>
      </c>
      <c r="G583" s="204">
        <v>43466</v>
      </c>
      <c r="H583" s="204" t="e">
        <f t="shared" si="9"/>
        <v>#NUM!</v>
      </c>
    </row>
    <row r="584" spans="1:8" x14ac:dyDescent="0.35">
      <c r="A584">
        <v>17</v>
      </c>
      <c r="B584" t="s">
        <v>16</v>
      </c>
      <c r="C584" t="s">
        <v>34</v>
      </c>
      <c r="D584" t="s">
        <v>2</v>
      </c>
      <c r="E584" t="s">
        <v>8</v>
      </c>
      <c r="F584">
        <v>-51.428571428571423</v>
      </c>
      <c r="G584" s="204">
        <v>43466</v>
      </c>
      <c r="H584" s="204" t="e">
        <f t="shared" si="9"/>
        <v>#NUM!</v>
      </c>
    </row>
    <row r="585" spans="1:8" x14ac:dyDescent="0.35">
      <c r="A585">
        <v>31</v>
      </c>
      <c r="B585" t="s">
        <v>17</v>
      </c>
      <c r="C585" t="s">
        <v>34</v>
      </c>
      <c r="D585" t="s">
        <v>2</v>
      </c>
      <c r="E585" t="s">
        <v>8</v>
      </c>
      <c r="F585">
        <v>72.222222222222214</v>
      </c>
      <c r="G585" s="204">
        <v>43466</v>
      </c>
      <c r="H585" s="204" t="e">
        <f t="shared" si="9"/>
        <v>#NUM!</v>
      </c>
    </row>
    <row r="586" spans="1:8" x14ac:dyDescent="0.35">
      <c r="A586">
        <v>26</v>
      </c>
      <c r="B586" t="s">
        <v>18</v>
      </c>
      <c r="C586" t="s">
        <v>34</v>
      </c>
      <c r="D586" t="s">
        <v>2</v>
      </c>
      <c r="E586" t="s">
        <v>8</v>
      </c>
      <c r="F586">
        <v>100</v>
      </c>
      <c r="G586" s="204">
        <v>43466</v>
      </c>
      <c r="H586" s="204" t="e">
        <f t="shared" si="9"/>
        <v>#NUM!</v>
      </c>
    </row>
    <row r="587" spans="1:8" x14ac:dyDescent="0.35">
      <c r="A587">
        <v>45</v>
      </c>
      <c r="B587" t="s">
        <v>10</v>
      </c>
      <c r="C587" t="s">
        <v>22</v>
      </c>
      <c r="D587" t="s">
        <v>1</v>
      </c>
      <c r="E587" t="s">
        <v>7</v>
      </c>
      <c r="F587">
        <v>-43.037974683544306</v>
      </c>
      <c r="G587" s="204">
        <v>43101</v>
      </c>
      <c r="H587" s="204" t="e">
        <f t="shared" si="9"/>
        <v>#NUM!</v>
      </c>
    </row>
    <row r="588" spans="1:8" x14ac:dyDescent="0.35">
      <c r="A588">
        <v>0</v>
      </c>
      <c r="B588" t="s">
        <v>11</v>
      </c>
      <c r="C588" t="s">
        <v>22</v>
      </c>
      <c r="D588" t="s">
        <v>1</v>
      </c>
      <c r="E588" t="s">
        <v>7</v>
      </c>
      <c r="F588">
        <v>0</v>
      </c>
      <c r="G588" s="204">
        <v>43101</v>
      </c>
      <c r="H588" s="204" t="e">
        <f t="shared" si="9"/>
        <v>#NUM!</v>
      </c>
    </row>
    <row r="589" spans="1:8" x14ac:dyDescent="0.35">
      <c r="A589">
        <v>8</v>
      </c>
      <c r="B589" t="s">
        <v>12</v>
      </c>
      <c r="C589" t="s">
        <v>22</v>
      </c>
      <c r="D589" t="s">
        <v>1</v>
      </c>
      <c r="E589" t="s">
        <v>7</v>
      </c>
      <c r="F589">
        <v>166.66666666666669</v>
      </c>
      <c r="G589" s="204">
        <v>43101</v>
      </c>
      <c r="H589" s="204" t="e">
        <f t="shared" si="9"/>
        <v>#NUM!</v>
      </c>
    </row>
    <row r="590" spans="1:8" x14ac:dyDescent="0.35">
      <c r="A590">
        <v>0</v>
      </c>
      <c r="B590" t="s">
        <v>13</v>
      </c>
      <c r="C590" t="s">
        <v>22</v>
      </c>
      <c r="D590" t="s">
        <v>1</v>
      </c>
      <c r="E590" t="s">
        <v>7</v>
      </c>
      <c r="F590">
        <v>-100</v>
      </c>
      <c r="G590" s="204">
        <v>43101</v>
      </c>
      <c r="H590" s="204" t="e">
        <f t="shared" si="9"/>
        <v>#NUM!</v>
      </c>
    </row>
    <row r="591" spans="1:8" x14ac:dyDescent="0.35">
      <c r="A591">
        <v>0</v>
      </c>
      <c r="B591" t="s">
        <v>14</v>
      </c>
      <c r="C591" t="s">
        <v>22</v>
      </c>
      <c r="D591" t="s">
        <v>1</v>
      </c>
      <c r="E591" t="s">
        <v>7</v>
      </c>
      <c r="F591">
        <v>-100</v>
      </c>
      <c r="G591" s="204">
        <v>43101</v>
      </c>
      <c r="H591" s="204" t="e">
        <f t="shared" si="9"/>
        <v>#NUM!</v>
      </c>
    </row>
    <row r="592" spans="1:8" x14ac:dyDescent="0.35">
      <c r="A592">
        <v>6</v>
      </c>
      <c r="B592" t="s">
        <v>15</v>
      </c>
      <c r="C592" t="s">
        <v>22</v>
      </c>
      <c r="D592" t="s">
        <v>1</v>
      </c>
      <c r="E592" t="s">
        <v>7</v>
      </c>
      <c r="F592">
        <v>20</v>
      </c>
      <c r="G592" s="204">
        <v>43101</v>
      </c>
      <c r="H592" s="204" t="e">
        <f t="shared" si="9"/>
        <v>#NUM!</v>
      </c>
    </row>
    <row r="593" spans="1:8" x14ac:dyDescent="0.35">
      <c r="A593">
        <v>0</v>
      </c>
      <c r="B593" t="s">
        <v>16</v>
      </c>
      <c r="C593" t="s">
        <v>22</v>
      </c>
      <c r="D593" t="s">
        <v>1</v>
      </c>
      <c r="E593" t="s">
        <v>7</v>
      </c>
      <c r="F593">
        <v>0</v>
      </c>
      <c r="G593" s="204">
        <v>43101</v>
      </c>
      <c r="H593" s="204" t="e">
        <f t="shared" si="9"/>
        <v>#NUM!</v>
      </c>
    </row>
    <row r="594" spans="1:8" x14ac:dyDescent="0.35">
      <c r="A594">
        <v>1</v>
      </c>
      <c r="B594" t="s">
        <v>17</v>
      </c>
      <c r="C594" t="s">
        <v>22</v>
      </c>
      <c r="D594" t="s">
        <v>1</v>
      </c>
      <c r="E594" t="s">
        <v>7</v>
      </c>
      <c r="F594">
        <v>0</v>
      </c>
      <c r="G594" s="204">
        <v>43101</v>
      </c>
      <c r="H594" s="204" t="e">
        <f t="shared" si="9"/>
        <v>#NUM!</v>
      </c>
    </row>
    <row r="595" spans="1:8" x14ac:dyDescent="0.35">
      <c r="A595">
        <v>4</v>
      </c>
      <c r="B595" t="s">
        <v>18</v>
      </c>
      <c r="C595" t="s">
        <v>22</v>
      </c>
      <c r="D595" t="s">
        <v>1</v>
      </c>
      <c r="E595" t="s">
        <v>7</v>
      </c>
      <c r="F595">
        <v>-42.857142857142854</v>
      </c>
      <c r="G595" s="204">
        <v>43101</v>
      </c>
      <c r="H595" s="204" t="e">
        <f t="shared" si="9"/>
        <v>#NUM!</v>
      </c>
    </row>
    <row r="596" spans="1:8" x14ac:dyDescent="0.35">
      <c r="A596">
        <v>76</v>
      </c>
      <c r="B596" t="s">
        <v>10</v>
      </c>
      <c r="C596" t="s">
        <v>23</v>
      </c>
      <c r="D596" t="s">
        <v>1</v>
      </c>
      <c r="E596" t="s">
        <v>7</v>
      </c>
      <c r="F596">
        <v>-1.2987012987012987</v>
      </c>
      <c r="G596" s="204">
        <v>43101</v>
      </c>
      <c r="H596" s="204" t="e">
        <f t="shared" si="9"/>
        <v>#NUM!</v>
      </c>
    </row>
    <row r="597" spans="1:8" x14ac:dyDescent="0.35">
      <c r="A597">
        <v>0</v>
      </c>
      <c r="B597" t="s">
        <v>11</v>
      </c>
      <c r="C597" t="s">
        <v>23</v>
      </c>
      <c r="D597" t="s">
        <v>1</v>
      </c>
      <c r="E597" t="s">
        <v>7</v>
      </c>
      <c r="F597">
        <v>0</v>
      </c>
      <c r="G597" s="204">
        <v>43101</v>
      </c>
      <c r="H597" s="204" t="e">
        <f t="shared" si="9"/>
        <v>#NUM!</v>
      </c>
    </row>
    <row r="598" spans="1:8" x14ac:dyDescent="0.35">
      <c r="A598">
        <v>30</v>
      </c>
      <c r="B598" t="s">
        <v>12</v>
      </c>
      <c r="C598" t="s">
        <v>23</v>
      </c>
      <c r="D598" t="s">
        <v>1</v>
      </c>
      <c r="E598" t="s">
        <v>7</v>
      </c>
      <c r="F598">
        <v>2900</v>
      </c>
      <c r="G598" s="204">
        <v>43101</v>
      </c>
      <c r="H598" s="204" t="e">
        <f t="shared" si="9"/>
        <v>#NUM!</v>
      </c>
    </row>
    <row r="599" spans="1:8" x14ac:dyDescent="0.35">
      <c r="A599">
        <v>0</v>
      </c>
      <c r="B599" t="s">
        <v>13</v>
      </c>
      <c r="C599" t="s">
        <v>23</v>
      </c>
      <c r="D599" t="s">
        <v>1</v>
      </c>
      <c r="E599" t="s">
        <v>7</v>
      </c>
      <c r="F599">
        <v>-100</v>
      </c>
      <c r="G599" s="204">
        <v>43101</v>
      </c>
      <c r="H599" s="204" t="e">
        <f t="shared" si="9"/>
        <v>#NUM!</v>
      </c>
    </row>
    <row r="600" spans="1:8" x14ac:dyDescent="0.35">
      <c r="A600">
        <v>0</v>
      </c>
      <c r="B600" t="s">
        <v>14</v>
      </c>
      <c r="C600" t="s">
        <v>23</v>
      </c>
      <c r="D600" t="s">
        <v>1</v>
      </c>
      <c r="E600" t="s">
        <v>7</v>
      </c>
      <c r="F600">
        <v>0</v>
      </c>
      <c r="G600" s="204">
        <v>43101</v>
      </c>
      <c r="H600" s="204" t="e">
        <f t="shared" si="9"/>
        <v>#NUM!</v>
      </c>
    </row>
    <row r="601" spans="1:8" x14ac:dyDescent="0.35">
      <c r="A601">
        <v>7</v>
      </c>
      <c r="B601" t="s">
        <v>15</v>
      </c>
      <c r="C601" t="s">
        <v>23</v>
      </c>
      <c r="D601" t="s">
        <v>1</v>
      </c>
      <c r="E601" t="s">
        <v>7</v>
      </c>
      <c r="F601">
        <v>600</v>
      </c>
      <c r="G601" s="204">
        <v>43101</v>
      </c>
      <c r="H601" s="204" t="e">
        <f t="shared" si="9"/>
        <v>#NUM!</v>
      </c>
    </row>
    <row r="602" spans="1:8" x14ac:dyDescent="0.35">
      <c r="A602">
        <v>0</v>
      </c>
      <c r="B602" t="s">
        <v>16</v>
      </c>
      <c r="C602" t="s">
        <v>23</v>
      </c>
      <c r="D602" t="s">
        <v>1</v>
      </c>
      <c r="E602" t="s">
        <v>7</v>
      </c>
      <c r="F602">
        <v>0</v>
      </c>
      <c r="G602" s="204">
        <v>43101</v>
      </c>
      <c r="H602" s="204" t="e">
        <f t="shared" si="9"/>
        <v>#NUM!</v>
      </c>
    </row>
    <row r="603" spans="1:8" x14ac:dyDescent="0.35">
      <c r="A603">
        <v>3</v>
      </c>
      <c r="B603" t="s">
        <v>17</v>
      </c>
      <c r="C603" t="s">
        <v>23</v>
      </c>
      <c r="D603" t="s">
        <v>1</v>
      </c>
      <c r="E603" t="s">
        <v>7</v>
      </c>
      <c r="F603">
        <v>200</v>
      </c>
      <c r="G603" s="204">
        <v>43101</v>
      </c>
      <c r="H603" s="204" t="e">
        <f t="shared" si="9"/>
        <v>#NUM!</v>
      </c>
    </row>
    <row r="604" spans="1:8" x14ac:dyDescent="0.35">
      <c r="A604">
        <v>2</v>
      </c>
      <c r="B604" t="s">
        <v>18</v>
      </c>
      <c r="C604" t="s">
        <v>23</v>
      </c>
      <c r="D604" t="s">
        <v>1</v>
      </c>
      <c r="E604" t="s">
        <v>7</v>
      </c>
      <c r="F604">
        <v>2</v>
      </c>
      <c r="G604" s="204">
        <v>43101</v>
      </c>
      <c r="H604" s="204" t="e">
        <f t="shared" si="9"/>
        <v>#NUM!</v>
      </c>
    </row>
    <row r="605" spans="1:8" x14ac:dyDescent="0.35">
      <c r="A605">
        <v>16</v>
      </c>
      <c r="B605" t="s">
        <v>10</v>
      </c>
      <c r="C605" t="s">
        <v>24</v>
      </c>
      <c r="D605" t="s">
        <v>1</v>
      </c>
      <c r="E605" t="s">
        <v>7</v>
      </c>
      <c r="F605">
        <v>-38.461538461538467</v>
      </c>
      <c r="G605" s="204">
        <v>43101</v>
      </c>
      <c r="H605" s="204" t="e">
        <f t="shared" si="9"/>
        <v>#NUM!</v>
      </c>
    </row>
    <row r="606" spans="1:8" x14ac:dyDescent="0.35">
      <c r="A606">
        <v>0</v>
      </c>
      <c r="B606" t="s">
        <v>11</v>
      </c>
      <c r="C606" t="s">
        <v>24</v>
      </c>
      <c r="D606" t="s">
        <v>1</v>
      </c>
      <c r="E606" t="s">
        <v>7</v>
      </c>
      <c r="F606">
        <v>0</v>
      </c>
      <c r="G606" s="204">
        <v>43101</v>
      </c>
      <c r="H606" s="204" t="e">
        <f t="shared" si="9"/>
        <v>#NUM!</v>
      </c>
    </row>
    <row r="607" spans="1:8" x14ac:dyDescent="0.35">
      <c r="A607">
        <v>1</v>
      </c>
      <c r="B607" t="s">
        <v>12</v>
      </c>
      <c r="C607" t="s">
        <v>24</v>
      </c>
      <c r="D607" t="s">
        <v>1</v>
      </c>
      <c r="E607" t="s">
        <v>7</v>
      </c>
      <c r="F607">
        <v>0</v>
      </c>
      <c r="G607" s="204">
        <v>43101</v>
      </c>
      <c r="H607" s="204" t="e">
        <f t="shared" si="9"/>
        <v>#NUM!</v>
      </c>
    </row>
    <row r="608" spans="1:8" x14ac:dyDescent="0.35">
      <c r="A608">
        <v>1</v>
      </c>
      <c r="B608" t="s">
        <v>13</v>
      </c>
      <c r="C608" t="s">
        <v>24</v>
      </c>
      <c r="D608" t="s">
        <v>1</v>
      </c>
      <c r="E608" t="s">
        <v>7</v>
      </c>
      <c r="F608">
        <v>-50</v>
      </c>
      <c r="G608" s="204">
        <v>43101</v>
      </c>
      <c r="H608" s="204" t="e">
        <f t="shared" si="9"/>
        <v>#NUM!</v>
      </c>
    </row>
    <row r="609" spans="1:8" x14ac:dyDescent="0.35">
      <c r="A609">
        <v>0</v>
      </c>
      <c r="B609" t="s">
        <v>14</v>
      </c>
      <c r="C609" t="s">
        <v>24</v>
      </c>
      <c r="D609" t="s">
        <v>1</v>
      </c>
      <c r="E609" t="s">
        <v>7</v>
      </c>
      <c r="F609">
        <v>0</v>
      </c>
      <c r="G609" s="204">
        <v>43101</v>
      </c>
      <c r="H609" s="204" t="e">
        <f t="shared" si="9"/>
        <v>#NUM!</v>
      </c>
    </row>
    <row r="610" spans="1:8" x14ac:dyDescent="0.35">
      <c r="A610">
        <v>1</v>
      </c>
      <c r="B610" t="s">
        <v>15</v>
      </c>
      <c r="C610" t="s">
        <v>24</v>
      </c>
      <c r="D610" t="s">
        <v>1</v>
      </c>
      <c r="E610" t="s">
        <v>7</v>
      </c>
      <c r="F610">
        <v>-50</v>
      </c>
      <c r="G610" s="204">
        <v>43101</v>
      </c>
      <c r="H610" s="204" t="e">
        <f t="shared" si="9"/>
        <v>#NUM!</v>
      </c>
    </row>
    <row r="611" spans="1:8" x14ac:dyDescent="0.35">
      <c r="A611">
        <v>0</v>
      </c>
      <c r="B611" t="s">
        <v>16</v>
      </c>
      <c r="C611" t="s">
        <v>24</v>
      </c>
      <c r="D611" t="s">
        <v>1</v>
      </c>
      <c r="E611" t="s">
        <v>7</v>
      </c>
      <c r="F611">
        <v>0</v>
      </c>
      <c r="G611" s="204">
        <v>43101</v>
      </c>
      <c r="H611" s="204" t="e">
        <f t="shared" si="9"/>
        <v>#NUM!</v>
      </c>
    </row>
    <row r="612" spans="1:8" x14ac:dyDescent="0.35">
      <c r="A612">
        <v>2</v>
      </c>
      <c r="B612" t="s">
        <v>17</v>
      </c>
      <c r="C612" t="s">
        <v>24</v>
      </c>
      <c r="D612" t="s">
        <v>1</v>
      </c>
      <c r="E612" t="s">
        <v>7</v>
      </c>
      <c r="F612">
        <v>100</v>
      </c>
      <c r="G612" s="204">
        <v>43101</v>
      </c>
      <c r="H612" s="204" t="e">
        <f t="shared" si="9"/>
        <v>#NUM!</v>
      </c>
    </row>
    <row r="613" spans="1:8" x14ac:dyDescent="0.35">
      <c r="A613">
        <v>2</v>
      </c>
      <c r="B613" t="s">
        <v>18</v>
      </c>
      <c r="C613" t="s">
        <v>24</v>
      </c>
      <c r="D613" t="s">
        <v>1</v>
      </c>
      <c r="E613" t="s">
        <v>7</v>
      </c>
      <c r="F613">
        <v>2</v>
      </c>
      <c r="G613" s="204">
        <v>43101</v>
      </c>
      <c r="H613" s="204" t="e">
        <f t="shared" si="9"/>
        <v>#NUM!</v>
      </c>
    </row>
    <row r="614" spans="1:8" x14ac:dyDescent="0.35">
      <c r="A614">
        <v>14</v>
      </c>
      <c r="B614" t="s">
        <v>10</v>
      </c>
      <c r="C614" t="s">
        <v>25</v>
      </c>
      <c r="D614" t="s">
        <v>1</v>
      </c>
      <c r="E614" t="s">
        <v>7</v>
      </c>
      <c r="F614">
        <v>-6.666666666666667</v>
      </c>
      <c r="G614" s="204">
        <v>43101</v>
      </c>
      <c r="H614" s="204" t="e">
        <f t="shared" si="9"/>
        <v>#NUM!</v>
      </c>
    </row>
    <row r="615" spans="1:8" x14ac:dyDescent="0.35">
      <c r="A615">
        <v>2</v>
      </c>
      <c r="B615" t="s">
        <v>11</v>
      </c>
      <c r="C615" t="s">
        <v>25</v>
      </c>
      <c r="D615" t="s">
        <v>1</v>
      </c>
      <c r="E615" t="s">
        <v>7</v>
      </c>
      <c r="F615">
        <v>-50</v>
      </c>
      <c r="G615" s="204">
        <v>43101</v>
      </c>
      <c r="H615" s="204" t="e">
        <f t="shared" si="9"/>
        <v>#NUM!</v>
      </c>
    </row>
    <row r="616" spans="1:8" x14ac:dyDescent="0.35">
      <c r="A616">
        <v>3</v>
      </c>
      <c r="B616" t="s">
        <v>12</v>
      </c>
      <c r="C616" t="s">
        <v>25</v>
      </c>
      <c r="D616" t="s">
        <v>1</v>
      </c>
      <c r="E616" t="s">
        <v>7</v>
      </c>
      <c r="F616">
        <v>0</v>
      </c>
      <c r="G616" s="204">
        <v>43101</v>
      </c>
      <c r="H616" s="204" t="e">
        <f t="shared" si="9"/>
        <v>#NUM!</v>
      </c>
    </row>
    <row r="617" spans="1:8" x14ac:dyDescent="0.35">
      <c r="A617">
        <v>3</v>
      </c>
      <c r="B617" t="s">
        <v>13</v>
      </c>
      <c r="C617" t="s">
        <v>25</v>
      </c>
      <c r="D617" t="s">
        <v>1</v>
      </c>
      <c r="E617" t="s">
        <v>7</v>
      </c>
      <c r="F617">
        <v>-40</v>
      </c>
      <c r="G617" s="204">
        <v>43101</v>
      </c>
      <c r="H617" s="204" t="e">
        <f t="shared" si="9"/>
        <v>#NUM!</v>
      </c>
    </row>
    <row r="618" spans="1:8" x14ac:dyDescent="0.35">
      <c r="A618">
        <v>9</v>
      </c>
      <c r="B618" t="s">
        <v>14</v>
      </c>
      <c r="C618" t="s">
        <v>25</v>
      </c>
      <c r="D618" t="s">
        <v>1</v>
      </c>
      <c r="E618" t="s">
        <v>7</v>
      </c>
      <c r="F618">
        <v>0</v>
      </c>
      <c r="G618" s="204">
        <v>43101</v>
      </c>
      <c r="H618" s="204" t="e">
        <f t="shared" si="9"/>
        <v>#NUM!</v>
      </c>
    </row>
    <row r="619" spans="1:8" x14ac:dyDescent="0.35">
      <c r="A619">
        <v>6</v>
      </c>
      <c r="B619" t="s">
        <v>15</v>
      </c>
      <c r="C619" t="s">
        <v>25</v>
      </c>
      <c r="D619" t="s">
        <v>1</v>
      </c>
      <c r="E619" t="s">
        <v>7</v>
      </c>
      <c r="F619">
        <v>-33.333333333333329</v>
      </c>
      <c r="G619" s="204">
        <v>43101</v>
      </c>
      <c r="H619" s="204" t="e">
        <f t="shared" si="9"/>
        <v>#NUM!</v>
      </c>
    </row>
    <row r="620" spans="1:8" x14ac:dyDescent="0.35">
      <c r="A620">
        <v>1</v>
      </c>
      <c r="B620" t="s">
        <v>16</v>
      </c>
      <c r="C620" t="s">
        <v>25</v>
      </c>
      <c r="D620" t="s">
        <v>1</v>
      </c>
      <c r="E620" t="s">
        <v>7</v>
      </c>
      <c r="F620">
        <v>1</v>
      </c>
      <c r="G620" s="204">
        <v>43101</v>
      </c>
      <c r="H620" s="204" t="e">
        <f t="shared" si="9"/>
        <v>#NUM!</v>
      </c>
    </row>
    <row r="621" spans="1:8" x14ac:dyDescent="0.35">
      <c r="A621">
        <v>0</v>
      </c>
      <c r="B621" t="s">
        <v>17</v>
      </c>
      <c r="C621" t="s">
        <v>25</v>
      </c>
      <c r="D621" t="s">
        <v>1</v>
      </c>
      <c r="E621" t="s">
        <v>7</v>
      </c>
      <c r="F621">
        <v>-100</v>
      </c>
      <c r="G621" s="204">
        <v>43101</v>
      </c>
      <c r="H621" s="204" t="e">
        <f t="shared" si="9"/>
        <v>#NUM!</v>
      </c>
    </row>
    <row r="622" spans="1:8" x14ac:dyDescent="0.35">
      <c r="A622">
        <v>3</v>
      </c>
      <c r="B622" t="s">
        <v>18</v>
      </c>
      <c r="C622" t="s">
        <v>25</v>
      </c>
      <c r="D622" t="s">
        <v>1</v>
      </c>
      <c r="E622" t="s">
        <v>7</v>
      </c>
      <c r="F622">
        <v>-40</v>
      </c>
      <c r="G622" s="204">
        <v>43101</v>
      </c>
      <c r="H622" s="204" t="e">
        <f t="shared" si="9"/>
        <v>#NUM!</v>
      </c>
    </row>
    <row r="623" spans="1:8" x14ac:dyDescent="0.35">
      <c r="A623">
        <v>3</v>
      </c>
      <c r="B623" t="s">
        <v>10</v>
      </c>
      <c r="C623" t="s">
        <v>26</v>
      </c>
      <c r="D623" t="s">
        <v>1</v>
      </c>
      <c r="E623" t="s">
        <v>7</v>
      </c>
      <c r="F623">
        <v>-25</v>
      </c>
      <c r="G623" s="204">
        <v>43101</v>
      </c>
      <c r="H623" s="204" t="e">
        <f t="shared" si="9"/>
        <v>#NUM!</v>
      </c>
    </row>
    <row r="624" spans="1:8" x14ac:dyDescent="0.35">
      <c r="A624">
        <v>0</v>
      </c>
      <c r="B624" t="s">
        <v>11</v>
      </c>
      <c r="C624" t="s">
        <v>26</v>
      </c>
      <c r="D624" t="s">
        <v>1</v>
      </c>
      <c r="E624" t="s">
        <v>7</v>
      </c>
      <c r="F624">
        <v>0</v>
      </c>
      <c r="G624" s="204">
        <v>43101</v>
      </c>
      <c r="H624" s="204" t="e">
        <f t="shared" si="9"/>
        <v>#NUM!</v>
      </c>
    </row>
    <row r="625" spans="1:8" x14ac:dyDescent="0.35">
      <c r="A625">
        <v>0</v>
      </c>
      <c r="B625" t="s">
        <v>12</v>
      </c>
      <c r="C625" t="s">
        <v>26</v>
      </c>
      <c r="D625" t="s">
        <v>1</v>
      </c>
      <c r="E625" t="s">
        <v>7</v>
      </c>
      <c r="F625">
        <v>-100</v>
      </c>
      <c r="G625" s="204">
        <v>43101</v>
      </c>
      <c r="H625" s="204" t="e">
        <f t="shared" si="9"/>
        <v>#NUM!</v>
      </c>
    </row>
    <row r="626" spans="1:8" x14ac:dyDescent="0.35">
      <c r="A626">
        <v>0</v>
      </c>
      <c r="B626" t="s">
        <v>13</v>
      </c>
      <c r="C626" t="s">
        <v>26</v>
      </c>
      <c r="D626" t="s">
        <v>1</v>
      </c>
      <c r="E626" t="s">
        <v>7</v>
      </c>
      <c r="F626">
        <v>-100</v>
      </c>
      <c r="G626" s="204">
        <v>43101</v>
      </c>
      <c r="H626" s="204" t="e">
        <f t="shared" si="9"/>
        <v>#NUM!</v>
      </c>
    </row>
    <row r="627" spans="1:8" x14ac:dyDescent="0.35">
      <c r="A627">
        <v>0</v>
      </c>
      <c r="B627" t="s">
        <v>14</v>
      </c>
      <c r="C627" t="s">
        <v>26</v>
      </c>
      <c r="D627" t="s">
        <v>1</v>
      </c>
      <c r="E627" t="s">
        <v>7</v>
      </c>
      <c r="F627">
        <v>0</v>
      </c>
      <c r="G627" s="204">
        <v>43101</v>
      </c>
      <c r="H627" s="204" t="e">
        <f t="shared" si="9"/>
        <v>#NUM!</v>
      </c>
    </row>
    <row r="628" spans="1:8" x14ac:dyDescent="0.35">
      <c r="A628">
        <v>0</v>
      </c>
      <c r="B628" t="s">
        <v>15</v>
      </c>
      <c r="C628" t="s">
        <v>26</v>
      </c>
      <c r="D628" t="s">
        <v>1</v>
      </c>
      <c r="E628" t="s">
        <v>7</v>
      </c>
      <c r="F628">
        <v>0</v>
      </c>
      <c r="G628" s="204">
        <v>43101</v>
      </c>
      <c r="H628" s="204" t="e">
        <f t="shared" si="9"/>
        <v>#NUM!</v>
      </c>
    </row>
    <row r="629" spans="1:8" x14ac:dyDescent="0.35">
      <c r="A629">
        <v>0</v>
      </c>
      <c r="B629" t="s">
        <v>16</v>
      </c>
      <c r="C629" t="s">
        <v>26</v>
      </c>
      <c r="D629" t="s">
        <v>1</v>
      </c>
      <c r="E629" t="s">
        <v>7</v>
      </c>
      <c r="F629">
        <v>0</v>
      </c>
      <c r="G629" s="204">
        <v>43101</v>
      </c>
      <c r="H629" s="204" t="e">
        <f t="shared" si="9"/>
        <v>#NUM!</v>
      </c>
    </row>
    <row r="630" spans="1:8" x14ac:dyDescent="0.35">
      <c r="A630">
        <v>0</v>
      </c>
      <c r="B630" t="s">
        <v>17</v>
      </c>
      <c r="C630" t="s">
        <v>26</v>
      </c>
      <c r="D630" t="s">
        <v>1</v>
      </c>
      <c r="E630" t="s">
        <v>7</v>
      </c>
      <c r="F630">
        <v>0</v>
      </c>
      <c r="G630" s="204">
        <v>43101</v>
      </c>
      <c r="H630" s="204" t="e">
        <f t="shared" si="9"/>
        <v>#NUM!</v>
      </c>
    </row>
    <row r="631" spans="1:8" x14ac:dyDescent="0.35">
      <c r="A631">
        <v>2</v>
      </c>
      <c r="B631" t="s">
        <v>18</v>
      </c>
      <c r="C631" t="s">
        <v>26</v>
      </c>
      <c r="D631" t="s">
        <v>1</v>
      </c>
      <c r="E631" t="s">
        <v>7</v>
      </c>
      <c r="F631">
        <v>2</v>
      </c>
      <c r="G631" s="204">
        <v>43101</v>
      </c>
      <c r="H631" s="204" t="e">
        <f t="shared" si="9"/>
        <v>#NUM!</v>
      </c>
    </row>
    <row r="632" spans="1:8" x14ac:dyDescent="0.35">
      <c r="A632">
        <v>14</v>
      </c>
      <c r="B632" t="s">
        <v>10</v>
      </c>
      <c r="C632" t="s">
        <v>27</v>
      </c>
      <c r="D632" t="s">
        <v>1</v>
      </c>
      <c r="E632" t="s">
        <v>7</v>
      </c>
      <c r="F632">
        <v>16.666666666666664</v>
      </c>
      <c r="G632" s="204">
        <v>43101</v>
      </c>
      <c r="H632" s="204" t="e">
        <f t="shared" si="9"/>
        <v>#NUM!</v>
      </c>
    </row>
    <row r="633" spans="1:8" x14ac:dyDescent="0.35">
      <c r="A633">
        <v>1</v>
      </c>
      <c r="B633" t="s">
        <v>11</v>
      </c>
      <c r="C633" t="s">
        <v>27</v>
      </c>
      <c r="D633" t="s">
        <v>1</v>
      </c>
      <c r="E633" t="s">
        <v>7</v>
      </c>
      <c r="F633">
        <v>1</v>
      </c>
      <c r="G633" s="204">
        <v>43101</v>
      </c>
      <c r="H633" s="204" t="e">
        <f t="shared" si="9"/>
        <v>#NUM!</v>
      </c>
    </row>
    <row r="634" spans="1:8" x14ac:dyDescent="0.35">
      <c r="A634">
        <v>0</v>
      </c>
      <c r="B634" t="s">
        <v>12</v>
      </c>
      <c r="C634" t="s">
        <v>27</v>
      </c>
      <c r="D634" t="s">
        <v>1</v>
      </c>
      <c r="E634" t="s">
        <v>7</v>
      </c>
      <c r="F634">
        <v>-100</v>
      </c>
      <c r="G634" s="204">
        <v>43101</v>
      </c>
      <c r="H634" s="204" t="e">
        <f t="shared" si="9"/>
        <v>#NUM!</v>
      </c>
    </row>
    <row r="635" spans="1:8" x14ac:dyDescent="0.35">
      <c r="A635">
        <v>0</v>
      </c>
      <c r="B635" t="s">
        <v>13</v>
      </c>
      <c r="C635" t="s">
        <v>27</v>
      </c>
      <c r="D635" t="s">
        <v>1</v>
      </c>
      <c r="E635" t="s">
        <v>7</v>
      </c>
      <c r="F635">
        <v>0</v>
      </c>
      <c r="G635" s="204">
        <v>43101</v>
      </c>
      <c r="H635" s="204" t="e">
        <f t="shared" si="9"/>
        <v>#NUM!</v>
      </c>
    </row>
    <row r="636" spans="1:8" x14ac:dyDescent="0.35">
      <c r="A636">
        <v>0</v>
      </c>
      <c r="B636" t="s">
        <v>14</v>
      </c>
      <c r="C636" t="s">
        <v>27</v>
      </c>
      <c r="D636" t="s">
        <v>1</v>
      </c>
      <c r="E636" t="s">
        <v>7</v>
      </c>
      <c r="F636">
        <v>0</v>
      </c>
      <c r="G636" s="204">
        <v>43101</v>
      </c>
      <c r="H636" s="204" t="e">
        <f t="shared" si="9"/>
        <v>#NUM!</v>
      </c>
    </row>
    <row r="637" spans="1:8" x14ac:dyDescent="0.35">
      <c r="A637">
        <v>0</v>
      </c>
      <c r="B637" t="s">
        <v>15</v>
      </c>
      <c r="C637" t="s">
        <v>27</v>
      </c>
      <c r="D637" t="s">
        <v>1</v>
      </c>
      <c r="E637" t="s">
        <v>7</v>
      </c>
      <c r="F637">
        <v>0</v>
      </c>
      <c r="G637" s="204">
        <v>43101</v>
      </c>
      <c r="H637" s="204" t="e">
        <f t="shared" si="9"/>
        <v>#NUM!</v>
      </c>
    </row>
    <row r="638" spans="1:8" x14ac:dyDescent="0.35">
      <c r="A638">
        <v>0</v>
      </c>
      <c r="B638" t="s">
        <v>16</v>
      </c>
      <c r="C638" t="s">
        <v>27</v>
      </c>
      <c r="D638" t="s">
        <v>1</v>
      </c>
      <c r="E638" t="s">
        <v>7</v>
      </c>
      <c r="F638">
        <v>0</v>
      </c>
      <c r="G638" s="204">
        <v>43101</v>
      </c>
      <c r="H638" s="204" t="e">
        <f t="shared" si="9"/>
        <v>#NUM!</v>
      </c>
    </row>
    <row r="639" spans="1:8" x14ac:dyDescent="0.35">
      <c r="A639">
        <v>0</v>
      </c>
      <c r="B639" t="s">
        <v>17</v>
      </c>
      <c r="C639" t="s">
        <v>27</v>
      </c>
      <c r="D639" t="s">
        <v>1</v>
      </c>
      <c r="E639" t="s">
        <v>7</v>
      </c>
      <c r="F639">
        <v>0</v>
      </c>
      <c r="G639" s="204">
        <v>43101</v>
      </c>
      <c r="H639" s="204" t="e">
        <f t="shared" si="9"/>
        <v>#NUM!</v>
      </c>
    </row>
    <row r="640" spans="1:8" x14ac:dyDescent="0.35">
      <c r="A640">
        <v>0</v>
      </c>
      <c r="B640" t="s">
        <v>18</v>
      </c>
      <c r="C640" t="s">
        <v>27</v>
      </c>
      <c r="D640" t="s">
        <v>1</v>
      </c>
      <c r="E640" t="s">
        <v>7</v>
      </c>
      <c r="F640">
        <v>0</v>
      </c>
      <c r="G640" s="204">
        <v>43101</v>
      </c>
      <c r="H640" s="204" t="e">
        <f t="shared" si="9"/>
        <v>#NUM!</v>
      </c>
    </row>
    <row r="641" spans="1:8" x14ac:dyDescent="0.35">
      <c r="A641">
        <v>621</v>
      </c>
      <c r="B641" t="s">
        <v>10</v>
      </c>
      <c r="C641" t="s">
        <v>28</v>
      </c>
      <c r="D641" t="s">
        <v>1</v>
      </c>
      <c r="E641" t="s">
        <v>8</v>
      </c>
      <c r="F641">
        <v>16.729323308270676</v>
      </c>
      <c r="G641" s="204">
        <v>43101</v>
      </c>
      <c r="H641" s="204" t="e">
        <f t="shared" si="9"/>
        <v>#NUM!</v>
      </c>
    </row>
    <row r="642" spans="1:8" x14ac:dyDescent="0.35">
      <c r="A642">
        <v>107</v>
      </c>
      <c r="B642" t="s">
        <v>11</v>
      </c>
      <c r="C642" t="s">
        <v>28</v>
      </c>
      <c r="D642" t="s">
        <v>1</v>
      </c>
      <c r="E642" t="s">
        <v>8</v>
      </c>
      <c r="F642">
        <v>-13.008130081300814</v>
      </c>
      <c r="G642" s="204">
        <v>43101</v>
      </c>
      <c r="H642" s="204" t="e">
        <f t="shared" si="9"/>
        <v>#NUM!</v>
      </c>
    </row>
    <row r="643" spans="1:8" x14ac:dyDescent="0.35">
      <c r="A643">
        <v>79</v>
      </c>
      <c r="B643" t="s">
        <v>12</v>
      </c>
      <c r="C643" t="s">
        <v>28</v>
      </c>
      <c r="D643" t="s">
        <v>1</v>
      </c>
      <c r="E643" t="s">
        <v>8</v>
      </c>
      <c r="F643">
        <v>23.4375</v>
      </c>
      <c r="G643" s="204">
        <v>43101</v>
      </c>
      <c r="H643" s="204" t="e">
        <f t="shared" ref="G643:H706" si="10">DATE(G643,1,1)</f>
        <v>#NUM!</v>
      </c>
    </row>
    <row r="644" spans="1:8" x14ac:dyDescent="0.35">
      <c r="A644">
        <v>132</v>
      </c>
      <c r="B644" t="s">
        <v>13</v>
      </c>
      <c r="C644" t="s">
        <v>28</v>
      </c>
      <c r="D644" t="s">
        <v>1</v>
      </c>
      <c r="E644" t="s">
        <v>8</v>
      </c>
      <c r="F644">
        <v>20</v>
      </c>
      <c r="G644" s="204">
        <v>43101</v>
      </c>
      <c r="H644" s="204" t="e">
        <f t="shared" si="10"/>
        <v>#NUM!</v>
      </c>
    </row>
    <row r="645" spans="1:8" x14ac:dyDescent="0.35">
      <c r="A645">
        <v>145</v>
      </c>
      <c r="B645" t="s">
        <v>14</v>
      </c>
      <c r="C645" t="s">
        <v>28</v>
      </c>
      <c r="D645" t="s">
        <v>1</v>
      </c>
      <c r="E645" t="s">
        <v>8</v>
      </c>
      <c r="F645">
        <v>145.76271186440678</v>
      </c>
      <c r="G645" s="204">
        <v>43101</v>
      </c>
      <c r="H645" s="204" t="e">
        <f t="shared" si="10"/>
        <v>#NUM!</v>
      </c>
    </row>
    <row r="646" spans="1:8" x14ac:dyDescent="0.35">
      <c r="A646">
        <v>81</v>
      </c>
      <c r="B646" t="s">
        <v>15</v>
      </c>
      <c r="C646" t="s">
        <v>28</v>
      </c>
      <c r="D646" t="s">
        <v>1</v>
      </c>
      <c r="E646" t="s">
        <v>8</v>
      </c>
      <c r="F646">
        <v>30.64516129032258</v>
      </c>
      <c r="G646" s="204">
        <v>43101</v>
      </c>
      <c r="H646" s="204" t="e">
        <f t="shared" si="10"/>
        <v>#NUM!</v>
      </c>
    </row>
    <row r="647" spans="1:8" x14ac:dyDescent="0.35">
      <c r="A647">
        <v>63</v>
      </c>
      <c r="B647" t="s">
        <v>16</v>
      </c>
      <c r="C647" t="s">
        <v>28</v>
      </c>
      <c r="D647" t="s">
        <v>1</v>
      </c>
      <c r="E647" t="s">
        <v>8</v>
      </c>
      <c r="F647">
        <v>23.52941176470588</v>
      </c>
      <c r="G647" s="204">
        <v>43101</v>
      </c>
      <c r="H647" s="204" t="e">
        <f t="shared" si="10"/>
        <v>#NUM!</v>
      </c>
    </row>
    <row r="648" spans="1:8" x14ac:dyDescent="0.35">
      <c r="A648">
        <v>25</v>
      </c>
      <c r="B648" t="s">
        <v>17</v>
      </c>
      <c r="C648" t="s">
        <v>28</v>
      </c>
      <c r="D648" t="s">
        <v>1</v>
      </c>
      <c r="E648" t="s">
        <v>8</v>
      </c>
      <c r="F648">
        <v>-3.8461538461538463</v>
      </c>
      <c r="G648" s="204">
        <v>43101</v>
      </c>
      <c r="H648" s="204" t="e">
        <f t="shared" si="10"/>
        <v>#NUM!</v>
      </c>
    </row>
    <row r="649" spans="1:8" x14ac:dyDescent="0.35">
      <c r="A649">
        <v>176</v>
      </c>
      <c r="B649" t="s">
        <v>18</v>
      </c>
      <c r="C649" t="s">
        <v>28</v>
      </c>
      <c r="D649" t="s">
        <v>1</v>
      </c>
      <c r="E649" t="s">
        <v>8</v>
      </c>
      <c r="F649">
        <v>23.076923076923077</v>
      </c>
      <c r="G649" s="204">
        <v>43101</v>
      </c>
      <c r="H649" s="204" t="e">
        <f t="shared" si="10"/>
        <v>#NUM!</v>
      </c>
    </row>
    <row r="650" spans="1:8" x14ac:dyDescent="0.35">
      <c r="A650">
        <v>207</v>
      </c>
      <c r="B650" t="s">
        <v>10</v>
      </c>
      <c r="C650" t="s">
        <v>29</v>
      </c>
      <c r="D650" t="s">
        <v>1</v>
      </c>
      <c r="E650" t="s">
        <v>8</v>
      </c>
      <c r="F650">
        <v>2.4752475247524752</v>
      </c>
      <c r="G650" s="204">
        <v>43101</v>
      </c>
      <c r="H650" s="204" t="e">
        <f t="shared" si="10"/>
        <v>#NUM!</v>
      </c>
    </row>
    <row r="651" spans="1:8" x14ac:dyDescent="0.35">
      <c r="A651">
        <v>40</v>
      </c>
      <c r="B651" t="s">
        <v>11</v>
      </c>
      <c r="C651" t="s">
        <v>29</v>
      </c>
      <c r="D651" t="s">
        <v>1</v>
      </c>
      <c r="E651" t="s">
        <v>8</v>
      </c>
      <c r="F651">
        <v>150</v>
      </c>
      <c r="G651" s="204">
        <v>43101</v>
      </c>
      <c r="H651" s="204" t="e">
        <f t="shared" si="10"/>
        <v>#NUM!</v>
      </c>
    </row>
    <row r="652" spans="1:8" x14ac:dyDescent="0.35">
      <c r="A652">
        <v>21</v>
      </c>
      <c r="B652" t="s">
        <v>12</v>
      </c>
      <c r="C652" t="s">
        <v>29</v>
      </c>
      <c r="D652" t="s">
        <v>1</v>
      </c>
      <c r="E652" t="s">
        <v>8</v>
      </c>
      <c r="F652">
        <v>-34.375</v>
      </c>
      <c r="G652" s="204">
        <v>43101</v>
      </c>
      <c r="H652" s="204" t="e">
        <f t="shared" si="10"/>
        <v>#NUM!</v>
      </c>
    </row>
    <row r="653" spans="1:8" x14ac:dyDescent="0.35">
      <c r="A653">
        <v>36</v>
      </c>
      <c r="B653" t="s">
        <v>13</v>
      </c>
      <c r="C653" t="s">
        <v>29</v>
      </c>
      <c r="D653" t="s">
        <v>1</v>
      </c>
      <c r="E653" t="s">
        <v>8</v>
      </c>
      <c r="F653">
        <v>56.521739130434781</v>
      </c>
      <c r="G653" s="204">
        <v>43101</v>
      </c>
      <c r="H653" s="204" t="e">
        <f t="shared" si="10"/>
        <v>#NUM!</v>
      </c>
    </row>
    <row r="654" spans="1:8" x14ac:dyDescent="0.35">
      <c r="A654">
        <v>28</v>
      </c>
      <c r="B654" t="s">
        <v>14</v>
      </c>
      <c r="C654" t="s">
        <v>29</v>
      </c>
      <c r="D654" t="s">
        <v>1</v>
      </c>
      <c r="E654" t="s">
        <v>8</v>
      </c>
      <c r="F654">
        <v>47.368421052631575</v>
      </c>
      <c r="G654" s="204">
        <v>43101</v>
      </c>
      <c r="H654" s="204" t="e">
        <f t="shared" si="10"/>
        <v>#NUM!</v>
      </c>
    </row>
    <row r="655" spans="1:8" x14ac:dyDescent="0.35">
      <c r="A655">
        <v>25</v>
      </c>
      <c r="B655" t="s">
        <v>15</v>
      </c>
      <c r="C655" t="s">
        <v>29</v>
      </c>
      <c r="D655" t="s">
        <v>1</v>
      </c>
      <c r="E655" t="s">
        <v>8</v>
      </c>
      <c r="F655">
        <v>-3.8461538461538463</v>
      </c>
      <c r="G655" s="204">
        <v>43101</v>
      </c>
      <c r="H655" s="204" t="e">
        <f t="shared" si="10"/>
        <v>#NUM!</v>
      </c>
    </row>
    <row r="656" spans="1:8" x14ac:dyDescent="0.35">
      <c r="A656">
        <v>30</v>
      </c>
      <c r="B656" t="s">
        <v>16</v>
      </c>
      <c r="C656" t="s">
        <v>29</v>
      </c>
      <c r="D656" t="s">
        <v>1</v>
      </c>
      <c r="E656" t="s">
        <v>8</v>
      </c>
      <c r="F656">
        <v>50</v>
      </c>
      <c r="G656" s="204">
        <v>43101</v>
      </c>
      <c r="H656" s="204" t="e">
        <f t="shared" si="10"/>
        <v>#NUM!</v>
      </c>
    </row>
    <row r="657" spans="1:8" x14ac:dyDescent="0.35">
      <c r="A657">
        <v>8</v>
      </c>
      <c r="B657" t="s">
        <v>17</v>
      </c>
      <c r="C657" t="s">
        <v>29</v>
      </c>
      <c r="D657" t="s">
        <v>1</v>
      </c>
      <c r="E657" t="s">
        <v>8</v>
      </c>
      <c r="F657">
        <v>14.285714285714285</v>
      </c>
      <c r="G657" s="204">
        <v>43101</v>
      </c>
      <c r="H657" s="204" t="e">
        <f t="shared" si="10"/>
        <v>#NUM!</v>
      </c>
    </row>
    <row r="658" spans="1:8" x14ac:dyDescent="0.35">
      <c r="A658">
        <v>28</v>
      </c>
      <c r="B658" t="s">
        <v>18</v>
      </c>
      <c r="C658" t="s">
        <v>29</v>
      </c>
      <c r="D658" t="s">
        <v>1</v>
      </c>
      <c r="E658" t="s">
        <v>8</v>
      </c>
      <c r="F658">
        <v>-20</v>
      </c>
      <c r="G658" s="204">
        <v>43101</v>
      </c>
      <c r="H658" s="204" t="e">
        <f t="shared" si="10"/>
        <v>#NUM!</v>
      </c>
    </row>
    <row r="659" spans="1:8" x14ac:dyDescent="0.35">
      <c r="A659">
        <v>51</v>
      </c>
      <c r="B659" t="s">
        <v>10</v>
      </c>
      <c r="C659" t="s">
        <v>30</v>
      </c>
      <c r="D659" t="s">
        <v>1</v>
      </c>
      <c r="E659" t="s">
        <v>8</v>
      </c>
      <c r="F659">
        <v>-56.410256410256409</v>
      </c>
      <c r="G659" s="204">
        <v>43101</v>
      </c>
      <c r="H659" s="204" t="e">
        <f t="shared" si="10"/>
        <v>#NUM!</v>
      </c>
    </row>
    <row r="660" spans="1:8" x14ac:dyDescent="0.35">
      <c r="A660">
        <v>20</v>
      </c>
      <c r="B660" t="s">
        <v>11</v>
      </c>
      <c r="C660" t="s">
        <v>30</v>
      </c>
      <c r="D660" t="s">
        <v>1</v>
      </c>
      <c r="E660" t="s">
        <v>8</v>
      </c>
      <c r="F660">
        <v>53.846153846153847</v>
      </c>
      <c r="G660" s="204">
        <v>43101</v>
      </c>
      <c r="H660" s="204" t="e">
        <f t="shared" si="10"/>
        <v>#NUM!</v>
      </c>
    </row>
    <row r="661" spans="1:8" x14ac:dyDescent="0.35">
      <c r="A661">
        <v>37</v>
      </c>
      <c r="B661" t="s">
        <v>12</v>
      </c>
      <c r="C661" t="s">
        <v>30</v>
      </c>
      <c r="D661" t="s">
        <v>1</v>
      </c>
      <c r="E661" t="s">
        <v>8</v>
      </c>
      <c r="F661">
        <v>164.28571428571428</v>
      </c>
      <c r="G661" s="204">
        <v>43101</v>
      </c>
      <c r="H661" s="204" t="e">
        <f t="shared" si="10"/>
        <v>#NUM!</v>
      </c>
    </row>
    <row r="662" spans="1:8" x14ac:dyDescent="0.35">
      <c r="A662">
        <v>36</v>
      </c>
      <c r="B662" t="s">
        <v>13</v>
      </c>
      <c r="C662" t="s">
        <v>30</v>
      </c>
      <c r="D662" t="s">
        <v>1</v>
      </c>
      <c r="E662" t="s">
        <v>8</v>
      </c>
      <c r="F662">
        <v>157.14285714285714</v>
      </c>
      <c r="G662" s="204">
        <v>43101</v>
      </c>
      <c r="H662" s="204" t="e">
        <f t="shared" si="10"/>
        <v>#NUM!</v>
      </c>
    </row>
    <row r="663" spans="1:8" x14ac:dyDescent="0.35">
      <c r="A663">
        <v>12</v>
      </c>
      <c r="B663" t="s">
        <v>14</v>
      </c>
      <c r="C663" t="s">
        <v>30</v>
      </c>
      <c r="D663" t="s">
        <v>1</v>
      </c>
      <c r="E663" t="s">
        <v>8</v>
      </c>
      <c r="F663">
        <v>-50</v>
      </c>
      <c r="G663" s="204">
        <v>43101</v>
      </c>
      <c r="H663" s="204" t="e">
        <f t="shared" si="10"/>
        <v>#NUM!</v>
      </c>
    </row>
    <row r="664" spans="1:8" x14ac:dyDescent="0.35">
      <c r="A664">
        <v>50</v>
      </c>
      <c r="B664" t="s">
        <v>15</v>
      </c>
      <c r="C664" t="s">
        <v>30</v>
      </c>
      <c r="D664" t="s">
        <v>1</v>
      </c>
      <c r="E664" t="s">
        <v>8</v>
      </c>
      <c r="F664">
        <v>150</v>
      </c>
      <c r="G664" s="204">
        <v>43101</v>
      </c>
      <c r="H664" s="204" t="e">
        <f t="shared" si="10"/>
        <v>#NUM!</v>
      </c>
    </row>
    <row r="665" spans="1:8" x14ac:dyDescent="0.35">
      <c r="A665">
        <v>20</v>
      </c>
      <c r="B665" t="s">
        <v>16</v>
      </c>
      <c r="C665" t="s">
        <v>30</v>
      </c>
      <c r="D665" t="s">
        <v>1</v>
      </c>
      <c r="E665" t="s">
        <v>8</v>
      </c>
      <c r="F665">
        <v>300</v>
      </c>
      <c r="G665" s="204">
        <v>43101</v>
      </c>
      <c r="H665" s="204" t="e">
        <f t="shared" si="10"/>
        <v>#NUM!</v>
      </c>
    </row>
    <row r="666" spans="1:8" x14ac:dyDescent="0.35">
      <c r="A666">
        <v>15</v>
      </c>
      <c r="B666" t="s">
        <v>17</v>
      </c>
      <c r="C666" t="s">
        <v>30</v>
      </c>
      <c r="D666" t="s">
        <v>1</v>
      </c>
      <c r="E666" t="s">
        <v>8</v>
      </c>
      <c r="F666">
        <v>-84.536082474226802</v>
      </c>
      <c r="G666" s="204">
        <v>43101</v>
      </c>
      <c r="H666" s="204" t="e">
        <f t="shared" si="10"/>
        <v>#NUM!</v>
      </c>
    </row>
    <row r="667" spans="1:8" x14ac:dyDescent="0.35">
      <c r="A667">
        <v>24</v>
      </c>
      <c r="B667" t="s">
        <v>18</v>
      </c>
      <c r="C667" t="s">
        <v>30</v>
      </c>
      <c r="D667" t="s">
        <v>1</v>
      </c>
      <c r="E667" t="s">
        <v>8</v>
      </c>
      <c r="F667">
        <v>100</v>
      </c>
      <c r="G667" s="204">
        <v>43101</v>
      </c>
      <c r="H667" s="204" t="e">
        <f t="shared" si="10"/>
        <v>#NUM!</v>
      </c>
    </row>
    <row r="668" spans="1:8" x14ac:dyDescent="0.35">
      <c r="A668">
        <v>37</v>
      </c>
      <c r="B668" t="s">
        <v>10</v>
      </c>
      <c r="C668" t="s">
        <v>31</v>
      </c>
      <c r="D668" t="s">
        <v>1</v>
      </c>
      <c r="E668" t="s">
        <v>8</v>
      </c>
      <c r="F668">
        <v>-24.489795918367346</v>
      </c>
      <c r="G668" s="204">
        <v>43101</v>
      </c>
      <c r="H668" s="204" t="e">
        <f t="shared" si="10"/>
        <v>#NUM!</v>
      </c>
    </row>
    <row r="669" spans="1:8" x14ac:dyDescent="0.35">
      <c r="A669">
        <v>1</v>
      </c>
      <c r="B669" t="s">
        <v>11</v>
      </c>
      <c r="C669" t="s">
        <v>31</v>
      </c>
      <c r="D669" t="s">
        <v>1</v>
      </c>
      <c r="E669" t="s">
        <v>8</v>
      </c>
      <c r="F669">
        <v>-80</v>
      </c>
      <c r="G669" s="204">
        <v>43101</v>
      </c>
      <c r="H669" s="204" t="e">
        <f t="shared" si="10"/>
        <v>#NUM!</v>
      </c>
    </row>
    <row r="670" spans="1:8" x14ac:dyDescent="0.35">
      <c r="A670">
        <v>0</v>
      </c>
      <c r="B670" t="s">
        <v>12</v>
      </c>
      <c r="C670" t="s">
        <v>31</v>
      </c>
      <c r="D670" t="s">
        <v>1</v>
      </c>
      <c r="E670" t="s">
        <v>8</v>
      </c>
      <c r="F670">
        <v>-100</v>
      </c>
      <c r="G670" s="204">
        <v>43101</v>
      </c>
      <c r="H670" s="204" t="e">
        <f t="shared" si="10"/>
        <v>#NUM!</v>
      </c>
    </row>
    <row r="671" spans="1:8" x14ac:dyDescent="0.35">
      <c r="A671">
        <v>0</v>
      </c>
      <c r="B671" t="s">
        <v>13</v>
      </c>
      <c r="C671" t="s">
        <v>31</v>
      </c>
      <c r="D671" t="s">
        <v>1</v>
      </c>
      <c r="E671" t="s">
        <v>8</v>
      </c>
      <c r="F671">
        <v>-100</v>
      </c>
      <c r="G671" s="204">
        <v>43101</v>
      </c>
      <c r="H671" s="204" t="e">
        <f t="shared" si="10"/>
        <v>#NUM!</v>
      </c>
    </row>
    <row r="672" spans="1:8" x14ac:dyDescent="0.35">
      <c r="A672">
        <v>0</v>
      </c>
      <c r="B672" t="s">
        <v>14</v>
      </c>
      <c r="C672" t="s">
        <v>31</v>
      </c>
      <c r="D672" t="s">
        <v>1</v>
      </c>
      <c r="E672" t="s">
        <v>8</v>
      </c>
      <c r="F672">
        <v>-100</v>
      </c>
      <c r="G672" s="204">
        <v>43101</v>
      </c>
      <c r="H672" s="204" t="e">
        <f t="shared" si="10"/>
        <v>#NUM!</v>
      </c>
    </row>
    <row r="673" spans="1:8" x14ac:dyDescent="0.35">
      <c r="A673">
        <v>1</v>
      </c>
      <c r="B673" t="s">
        <v>15</v>
      </c>
      <c r="C673" t="s">
        <v>31</v>
      </c>
      <c r="D673" t="s">
        <v>1</v>
      </c>
      <c r="E673" t="s">
        <v>8</v>
      </c>
      <c r="F673">
        <v>1</v>
      </c>
      <c r="G673" s="204">
        <v>43101</v>
      </c>
      <c r="H673" s="204" t="e">
        <f t="shared" si="10"/>
        <v>#NUM!</v>
      </c>
    </row>
    <row r="674" spans="1:8" x14ac:dyDescent="0.35">
      <c r="A674">
        <v>1</v>
      </c>
      <c r="B674" t="s">
        <v>16</v>
      </c>
      <c r="C674" t="s">
        <v>31</v>
      </c>
      <c r="D674" t="s">
        <v>1</v>
      </c>
      <c r="E674" t="s">
        <v>8</v>
      </c>
      <c r="F674">
        <v>0</v>
      </c>
      <c r="G674" s="204">
        <v>43101</v>
      </c>
      <c r="H674" s="204" t="e">
        <f t="shared" si="10"/>
        <v>#NUM!</v>
      </c>
    </row>
    <row r="675" spans="1:8" x14ac:dyDescent="0.35">
      <c r="A675">
        <v>1</v>
      </c>
      <c r="B675" t="s">
        <v>17</v>
      </c>
      <c r="C675" t="s">
        <v>31</v>
      </c>
      <c r="D675" t="s">
        <v>1</v>
      </c>
      <c r="E675" t="s">
        <v>8</v>
      </c>
      <c r="F675">
        <v>1</v>
      </c>
      <c r="G675" s="204">
        <v>43101</v>
      </c>
      <c r="H675" s="204" t="e">
        <f t="shared" si="10"/>
        <v>#NUM!</v>
      </c>
    </row>
    <row r="676" spans="1:8" x14ac:dyDescent="0.35">
      <c r="A676">
        <v>21</v>
      </c>
      <c r="B676" t="s">
        <v>18</v>
      </c>
      <c r="C676" t="s">
        <v>31</v>
      </c>
      <c r="D676" t="s">
        <v>1</v>
      </c>
      <c r="E676" t="s">
        <v>8</v>
      </c>
      <c r="F676">
        <v>250</v>
      </c>
      <c r="G676" s="204">
        <v>43101</v>
      </c>
      <c r="H676" s="204" t="e">
        <f t="shared" si="10"/>
        <v>#NUM!</v>
      </c>
    </row>
    <row r="677" spans="1:8" x14ac:dyDescent="0.35">
      <c r="A677">
        <v>1272</v>
      </c>
      <c r="B677" t="s">
        <v>10</v>
      </c>
      <c r="C677" t="s">
        <v>32</v>
      </c>
      <c r="D677" t="s">
        <v>1</v>
      </c>
      <c r="E677" t="s">
        <v>8</v>
      </c>
      <c r="F677">
        <v>-21.771217712177123</v>
      </c>
      <c r="G677" s="204">
        <v>43101</v>
      </c>
      <c r="H677" s="204" t="e">
        <f t="shared" si="10"/>
        <v>#NUM!</v>
      </c>
    </row>
    <row r="678" spans="1:8" x14ac:dyDescent="0.35">
      <c r="A678">
        <v>272</v>
      </c>
      <c r="B678" t="s">
        <v>11</v>
      </c>
      <c r="C678" t="s">
        <v>32</v>
      </c>
      <c r="D678" t="s">
        <v>1</v>
      </c>
      <c r="E678" t="s">
        <v>8</v>
      </c>
      <c r="F678">
        <v>46.236559139784944</v>
      </c>
      <c r="G678" s="204">
        <v>43101</v>
      </c>
      <c r="H678" s="204" t="e">
        <f t="shared" si="10"/>
        <v>#NUM!</v>
      </c>
    </row>
    <row r="679" spans="1:8" x14ac:dyDescent="0.35">
      <c r="A679">
        <v>169</v>
      </c>
      <c r="B679" t="s">
        <v>12</v>
      </c>
      <c r="C679" t="s">
        <v>32</v>
      </c>
      <c r="D679" t="s">
        <v>1</v>
      </c>
      <c r="E679" t="s">
        <v>8</v>
      </c>
      <c r="F679">
        <v>1.1976047904191618</v>
      </c>
      <c r="G679" s="204">
        <v>43101</v>
      </c>
      <c r="H679" s="204" t="e">
        <f t="shared" si="10"/>
        <v>#NUM!</v>
      </c>
    </row>
    <row r="680" spans="1:8" x14ac:dyDescent="0.35">
      <c r="A680">
        <v>304</v>
      </c>
      <c r="B680" t="s">
        <v>13</v>
      </c>
      <c r="C680" t="s">
        <v>32</v>
      </c>
      <c r="D680" t="s">
        <v>1</v>
      </c>
      <c r="E680" t="s">
        <v>8</v>
      </c>
      <c r="F680">
        <v>23.577235772357724</v>
      </c>
      <c r="G680" s="204">
        <v>43101</v>
      </c>
      <c r="H680" s="204" t="e">
        <f t="shared" si="10"/>
        <v>#NUM!</v>
      </c>
    </row>
    <row r="681" spans="1:8" x14ac:dyDescent="0.35">
      <c r="A681">
        <v>298</v>
      </c>
      <c r="B681" t="s">
        <v>14</v>
      </c>
      <c r="C681" t="s">
        <v>32</v>
      </c>
      <c r="D681" t="s">
        <v>1</v>
      </c>
      <c r="E681" t="s">
        <v>8</v>
      </c>
      <c r="F681">
        <v>12.030075187969924</v>
      </c>
      <c r="G681" s="204">
        <v>43101</v>
      </c>
      <c r="H681" s="204" t="e">
        <f t="shared" si="10"/>
        <v>#NUM!</v>
      </c>
    </row>
    <row r="682" spans="1:8" x14ac:dyDescent="0.35">
      <c r="A682">
        <v>168</v>
      </c>
      <c r="B682" t="s">
        <v>15</v>
      </c>
      <c r="C682" t="s">
        <v>32</v>
      </c>
      <c r="D682" t="s">
        <v>1</v>
      </c>
      <c r="E682" t="s">
        <v>8</v>
      </c>
      <c r="F682">
        <v>42.372881355932201</v>
      </c>
      <c r="G682" s="204">
        <v>43101</v>
      </c>
      <c r="H682" s="204" t="e">
        <f t="shared" si="10"/>
        <v>#NUM!</v>
      </c>
    </row>
    <row r="683" spans="1:8" x14ac:dyDescent="0.35">
      <c r="A683">
        <v>179</v>
      </c>
      <c r="B683" t="s">
        <v>16</v>
      </c>
      <c r="C683" t="s">
        <v>32</v>
      </c>
      <c r="D683" t="s">
        <v>1</v>
      </c>
      <c r="E683" t="s">
        <v>8</v>
      </c>
      <c r="F683">
        <v>101.12359550561798</v>
      </c>
      <c r="G683" s="204">
        <v>43101</v>
      </c>
      <c r="H683" s="204" t="e">
        <f t="shared" si="10"/>
        <v>#NUM!</v>
      </c>
    </row>
    <row r="684" spans="1:8" x14ac:dyDescent="0.35">
      <c r="A684">
        <v>74</v>
      </c>
      <c r="B684" t="s">
        <v>17</v>
      </c>
      <c r="C684" t="s">
        <v>32</v>
      </c>
      <c r="D684" t="s">
        <v>1</v>
      </c>
      <c r="E684" t="s">
        <v>8</v>
      </c>
      <c r="F684">
        <v>17.460317460317459</v>
      </c>
      <c r="G684" s="204">
        <v>43101</v>
      </c>
      <c r="H684" s="204" t="e">
        <f t="shared" si="10"/>
        <v>#NUM!</v>
      </c>
    </row>
    <row r="685" spans="1:8" x14ac:dyDescent="0.35">
      <c r="A685">
        <v>306</v>
      </c>
      <c r="B685" t="s">
        <v>18</v>
      </c>
      <c r="C685" t="s">
        <v>32</v>
      </c>
      <c r="D685" t="s">
        <v>1</v>
      </c>
      <c r="E685" t="s">
        <v>8</v>
      </c>
      <c r="F685">
        <v>25.925925925925924</v>
      </c>
      <c r="G685" s="204">
        <v>43101</v>
      </c>
      <c r="H685" s="204" t="e">
        <f t="shared" si="10"/>
        <v>#NUM!</v>
      </c>
    </row>
    <row r="686" spans="1:8" x14ac:dyDescent="0.35">
      <c r="A686">
        <v>444</v>
      </c>
      <c r="B686" t="s">
        <v>10</v>
      </c>
      <c r="C686" t="s">
        <v>33</v>
      </c>
      <c r="D686" t="s">
        <v>1</v>
      </c>
      <c r="E686" t="s">
        <v>8</v>
      </c>
      <c r="F686">
        <v>-53.507853403141361</v>
      </c>
      <c r="G686" s="204">
        <v>43101</v>
      </c>
      <c r="H686" s="204" t="e">
        <f t="shared" si="10"/>
        <v>#NUM!</v>
      </c>
    </row>
    <row r="687" spans="1:8" x14ac:dyDescent="0.35">
      <c r="A687">
        <v>85</v>
      </c>
      <c r="B687" t="s">
        <v>11</v>
      </c>
      <c r="C687" t="s">
        <v>33</v>
      </c>
      <c r="D687" t="s">
        <v>1</v>
      </c>
      <c r="E687" t="s">
        <v>8</v>
      </c>
      <c r="F687">
        <v>51.785714285714292</v>
      </c>
      <c r="G687" s="204">
        <v>43101</v>
      </c>
      <c r="H687" s="204" t="e">
        <f t="shared" si="10"/>
        <v>#NUM!</v>
      </c>
    </row>
    <row r="688" spans="1:8" x14ac:dyDescent="0.35">
      <c r="A688">
        <v>140</v>
      </c>
      <c r="B688" t="s">
        <v>12</v>
      </c>
      <c r="C688" t="s">
        <v>33</v>
      </c>
      <c r="D688" t="s">
        <v>1</v>
      </c>
      <c r="E688" t="s">
        <v>8</v>
      </c>
      <c r="F688">
        <v>28.440366972477065</v>
      </c>
      <c r="G688" s="204">
        <v>43101</v>
      </c>
      <c r="H688" s="204" t="e">
        <f t="shared" si="10"/>
        <v>#NUM!</v>
      </c>
    </row>
    <row r="689" spans="1:8" x14ac:dyDescent="0.35">
      <c r="A689">
        <v>118</v>
      </c>
      <c r="B689" t="s">
        <v>13</v>
      </c>
      <c r="C689" t="s">
        <v>33</v>
      </c>
      <c r="D689" t="s">
        <v>1</v>
      </c>
      <c r="E689" t="s">
        <v>8</v>
      </c>
      <c r="F689">
        <v>-23.376623376623375</v>
      </c>
      <c r="G689" s="204">
        <v>43101</v>
      </c>
      <c r="H689" s="204" t="e">
        <f t="shared" si="10"/>
        <v>#NUM!</v>
      </c>
    </row>
    <row r="690" spans="1:8" x14ac:dyDescent="0.35">
      <c r="A690">
        <v>200</v>
      </c>
      <c r="B690" t="s">
        <v>14</v>
      </c>
      <c r="C690" t="s">
        <v>33</v>
      </c>
      <c r="D690" t="s">
        <v>1</v>
      </c>
      <c r="E690" t="s">
        <v>8</v>
      </c>
      <c r="F690">
        <v>344.44444444444446</v>
      </c>
      <c r="G690" s="204">
        <v>43101</v>
      </c>
      <c r="H690" s="204" t="e">
        <f t="shared" si="10"/>
        <v>#NUM!</v>
      </c>
    </row>
    <row r="691" spans="1:8" x14ac:dyDescent="0.35">
      <c r="A691">
        <v>80</v>
      </c>
      <c r="B691" t="s">
        <v>15</v>
      </c>
      <c r="C691" t="s">
        <v>33</v>
      </c>
      <c r="D691" t="s">
        <v>1</v>
      </c>
      <c r="E691" t="s">
        <v>8</v>
      </c>
      <c r="F691">
        <v>23.076923076923077</v>
      </c>
      <c r="G691" s="204">
        <v>43101</v>
      </c>
      <c r="H691" s="204" t="e">
        <f t="shared" si="10"/>
        <v>#NUM!</v>
      </c>
    </row>
    <row r="692" spans="1:8" x14ac:dyDescent="0.35">
      <c r="A692">
        <v>126</v>
      </c>
      <c r="B692" t="s">
        <v>16</v>
      </c>
      <c r="C692" t="s">
        <v>33</v>
      </c>
      <c r="D692" t="s">
        <v>1</v>
      </c>
      <c r="E692" t="s">
        <v>8</v>
      </c>
      <c r="F692">
        <v>-2.3255813953488373</v>
      </c>
      <c r="G692" s="204">
        <v>43101</v>
      </c>
      <c r="H692" s="204" t="e">
        <f t="shared" si="10"/>
        <v>#NUM!</v>
      </c>
    </row>
    <row r="693" spans="1:8" x14ac:dyDescent="0.35">
      <c r="A693">
        <v>135</v>
      </c>
      <c r="B693" t="s">
        <v>17</v>
      </c>
      <c r="C693" t="s">
        <v>33</v>
      </c>
      <c r="D693" t="s">
        <v>1</v>
      </c>
      <c r="E693" t="s">
        <v>8</v>
      </c>
      <c r="F693">
        <v>117.74193548387098</v>
      </c>
      <c r="G693" s="204">
        <v>43101</v>
      </c>
      <c r="H693" s="204" t="e">
        <f t="shared" si="10"/>
        <v>#NUM!</v>
      </c>
    </row>
    <row r="694" spans="1:8" x14ac:dyDescent="0.35">
      <c r="A694">
        <v>93</v>
      </c>
      <c r="B694" t="s">
        <v>18</v>
      </c>
      <c r="C694" t="s">
        <v>33</v>
      </c>
      <c r="D694" t="s">
        <v>1</v>
      </c>
      <c r="E694" t="s">
        <v>8</v>
      </c>
      <c r="F694">
        <v>-69.902912621359221</v>
      </c>
      <c r="G694" s="204">
        <v>43101</v>
      </c>
      <c r="H694" s="204" t="e">
        <f t="shared" si="10"/>
        <v>#NUM!</v>
      </c>
    </row>
    <row r="695" spans="1:8" x14ac:dyDescent="0.35">
      <c r="A695">
        <v>182</v>
      </c>
      <c r="B695" t="s">
        <v>10</v>
      </c>
      <c r="C695" t="s">
        <v>34</v>
      </c>
      <c r="D695" t="s">
        <v>1</v>
      </c>
      <c r="E695" t="s">
        <v>8</v>
      </c>
      <c r="F695">
        <v>-28.627450980392155</v>
      </c>
      <c r="G695" s="204">
        <v>43101</v>
      </c>
      <c r="H695" s="204" t="e">
        <f t="shared" si="10"/>
        <v>#NUM!</v>
      </c>
    </row>
    <row r="696" spans="1:8" x14ac:dyDescent="0.35">
      <c r="A696">
        <v>24</v>
      </c>
      <c r="B696" t="s">
        <v>11</v>
      </c>
      <c r="C696" t="s">
        <v>34</v>
      </c>
      <c r="D696" t="s">
        <v>1</v>
      </c>
      <c r="E696" t="s">
        <v>8</v>
      </c>
      <c r="F696">
        <v>-11.111111111111111</v>
      </c>
      <c r="G696" s="204">
        <v>43101</v>
      </c>
      <c r="H696" s="204" t="e">
        <f t="shared" si="10"/>
        <v>#NUM!</v>
      </c>
    </row>
    <row r="697" spans="1:8" x14ac:dyDescent="0.35">
      <c r="A697">
        <v>27</v>
      </c>
      <c r="B697" t="s">
        <v>12</v>
      </c>
      <c r="C697" t="s">
        <v>34</v>
      </c>
      <c r="D697" t="s">
        <v>1</v>
      </c>
      <c r="E697" t="s">
        <v>8</v>
      </c>
      <c r="F697">
        <v>-81.11888111888112</v>
      </c>
      <c r="G697" s="204">
        <v>43101</v>
      </c>
      <c r="H697" s="204" t="e">
        <f t="shared" si="10"/>
        <v>#NUM!</v>
      </c>
    </row>
    <row r="698" spans="1:8" x14ac:dyDescent="0.35">
      <c r="A698">
        <v>54</v>
      </c>
      <c r="B698" t="s">
        <v>13</v>
      </c>
      <c r="C698" t="s">
        <v>34</v>
      </c>
      <c r="D698" t="s">
        <v>1</v>
      </c>
      <c r="E698" t="s">
        <v>8</v>
      </c>
      <c r="F698">
        <v>125</v>
      </c>
      <c r="G698" s="204">
        <v>43101</v>
      </c>
      <c r="H698" s="204" t="e">
        <f t="shared" si="10"/>
        <v>#NUM!</v>
      </c>
    </row>
    <row r="699" spans="1:8" x14ac:dyDescent="0.35">
      <c r="A699">
        <v>26</v>
      </c>
      <c r="B699" t="s">
        <v>14</v>
      </c>
      <c r="C699" t="s">
        <v>34</v>
      </c>
      <c r="D699" t="s">
        <v>1</v>
      </c>
      <c r="E699" t="s">
        <v>8</v>
      </c>
      <c r="F699">
        <v>62.5</v>
      </c>
      <c r="G699" s="204">
        <v>43101</v>
      </c>
      <c r="H699" s="204" t="e">
        <f t="shared" si="10"/>
        <v>#NUM!</v>
      </c>
    </row>
    <row r="700" spans="1:8" x14ac:dyDescent="0.35">
      <c r="A700">
        <v>23</v>
      </c>
      <c r="B700" t="s">
        <v>15</v>
      </c>
      <c r="C700" t="s">
        <v>34</v>
      </c>
      <c r="D700" t="s">
        <v>1</v>
      </c>
      <c r="E700" t="s">
        <v>8</v>
      </c>
      <c r="F700">
        <v>-4.1666666666666661</v>
      </c>
      <c r="G700" s="204">
        <v>43101</v>
      </c>
      <c r="H700" s="204" t="e">
        <f t="shared" si="10"/>
        <v>#NUM!</v>
      </c>
    </row>
    <row r="701" spans="1:8" x14ac:dyDescent="0.35">
      <c r="A701">
        <v>35</v>
      </c>
      <c r="B701" t="s">
        <v>16</v>
      </c>
      <c r="C701" t="s">
        <v>34</v>
      </c>
      <c r="D701" t="s">
        <v>1</v>
      </c>
      <c r="E701" t="s">
        <v>8</v>
      </c>
      <c r="F701">
        <v>218.18181818181816</v>
      </c>
      <c r="G701" s="204">
        <v>43101</v>
      </c>
      <c r="H701" s="204" t="e">
        <f t="shared" si="10"/>
        <v>#NUM!</v>
      </c>
    </row>
    <row r="702" spans="1:8" x14ac:dyDescent="0.35">
      <c r="A702">
        <v>18</v>
      </c>
      <c r="B702" t="s">
        <v>17</v>
      </c>
      <c r="C702" t="s">
        <v>34</v>
      </c>
      <c r="D702" t="s">
        <v>1</v>
      </c>
      <c r="E702" t="s">
        <v>8</v>
      </c>
      <c r="F702">
        <v>-63.265306122448983</v>
      </c>
      <c r="G702" s="204">
        <v>43101</v>
      </c>
      <c r="H702" s="204" t="e">
        <f t="shared" si="10"/>
        <v>#NUM!</v>
      </c>
    </row>
    <row r="703" spans="1:8" x14ac:dyDescent="0.35">
      <c r="A703">
        <v>13</v>
      </c>
      <c r="B703" t="s">
        <v>18</v>
      </c>
      <c r="C703" t="s">
        <v>34</v>
      </c>
      <c r="D703" t="s">
        <v>1</v>
      </c>
      <c r="E703" t="s">
        <v>8</v>
      </c>
      <c r="F703">
        <v>-69.047619047619051</v>
      </c>
      <c r="G703" s="204">
        <v>43101</v>
      </c>
      <c r="H703" s="204" t="e">
        <f t="shared" si="10"/>
        <v>#NUM!</v>
      </c>
    </row>
    <row r="704" spans="1:8" x14ac:dyDescent="0.35">
      <c r="A704">
        <v>79</v>
      </c>
      <c r="B704" t="s">
        <v>10</v>
      </c>
      <c r="C704" t="s">
        <v>22</v>
      </c>
      <c r="D704" t="s">
        <v>0</v>
      </c>
      <c r="E704" t="s">
        <v>7</v>
      </c>
      <c r="F704">
        <v>79</v>
      </c>
      <c r="G704" s="204">
        <v>42736</v>
      </c>
      <c r="H704" s="204" t="e">
        <f t="shared" si="10"/>
        <v>#NUM!</v>
      </c>
    </row>
    <row r="705" spans="1:8" x14ac:dyDescent="0.35">
      <c r="A705">
        <v>0</v>
      </c>
      <c r="B705" t="s">
        <v>11</v>
      </c>
      <c r="C705" t="s">
        <v>22</v>
      </c>
      <c r="D705" t="s">
        <v>0</v>
      </c>
      <c r="E705" t="s">
        <v>7</v>
      </c>
      <c r="F705">
        <v>0</v>
      </c>
      <c r="G705" s="204">
        <v>42736</v>
      </c>
      <c r="H705" s="204" t="e">
        <f t="shared" si="10"/>
        <v>#NUM!</v>
      </c>
    </row>
    <row r="706" spans="1:8" x14ac:dyDescent="0.35">
      <c r="A706">
        <v>3</v>
      </c>
      <c r="B706" t="s">
        <v>12</v>
      </c>
      <c r="C706" t="s">
        <v>22</v>
      </c>
      <c r="D706" t="s">
        <v>0</v>
      </c>
      <c r="E706" t="s">
        <v>7</v>
      </c>
      <c r="F706">
        <v>3</v>
      </c>
      <c r="G706" s="204">
        <v>42736</v>
      </c>
      <c r="H706" s="204" t="e">
        <f t="shared" si="10"/>
        <v>#NUM!</v>
      </c>
    </row>
    <row r="707" spans="1:8" x14ac:dyDescent="0.35">
      <c r="A707">
        <v>1</v>
      </c>
      <c r="B707" t="s">
        <v>13</v>
      </c>
      <c r="C707" t="s">
        <v>22</v>
      </c>
      <c r="D707" t="s">
        <v>0</v>
      </c>
      <c r="E707" t="s">
        <v>7</v>
      </c>
      <c r="F707">
        <v>1</v>
      </c>
      <c r="G707" s="204">
        <v>42736</v>
      </c>
      <c r="H707" s="204" t="e">
        <f t="shared" ref="G707:H770" si="11">DATE(G707,1,1)</f>
        <v>#NUM!</v>
      </c>
    </row>
    <row r="708" spans="1:8" x14ac:dyDescent="0.35">
      <c r="A708">
        <v>2</v>
      </c>
      <c r="B708" t="s">
        <v>14</v>
      </c>
      <c r="C708" t="s">
        <v>22</v>
      </c>
      <c r="D708" t="s">
        <v>0</v>
      </c>
      <c r="E708" t="s">
        <v>7</v>
      </c>
      <c r="F708">
        <v>2</v>
      </c>
      <c r="G708" s="204">
        <v>42736</v>
      </c>
      <c r="H708" s="204" t="e">
        <f t="shared" si="11"/>
        <v>#NUM!</v>
      </c>
    </row>
    <row r="709" spans="1:8" x14ac:dyDescent="0.35">
      <c r="A709">
        <v>5</v>
      </c>
      <c r="B709" t="s">
        <v>15</v>
      </c>
      <c r="C709" t="s">
        <v>22</v>
      </c>
      <c r="D709" t="s">
        <v>0</v>
      </c>
      <c r="E709" t="s">
        <v>7</v>
      </c>
      <c r="F709">
        <v>5</v>
      </c>
      <c r="G709" s="204">
        <v>42736</v>
      </c>
      <c r="H709" s="204" t="e">
        <f t="shared" si="11"/>
        <v>#NUM!</v>
      </c>
    </row>
    <row r="710" spans="1:8" x14ac:dyDescent="0.35">
      <c r="A710">
        <v>0</v>
      </c>
      <c r="B710" t="s">
        <v>16</v>
      </c>
      <c r="C710" t="s">
        <v>22</v>
      </c>
      <c r="D710" t="s">
        <v>0</v>
      </c>
      <c r="E710" t="s">
        <v>7</v>
      </c>
      <c r="F710">
        <v>0</v>
      </c>
      <c r="G710" s="204">
        <v>42736</v>
      </c>
      <c r="H710" s="204" t="e">
        <f t="shared" si="11"/>
        <v>#NUM!</v>
      </c>
    </row>
    <row r="711" spans="1:8" x14ac:dyDescent="0.35">
      <c r="A711">
        <v>1</v>
      </c>
      <c r="B711" t="s">
        <v>17</v>
      </c>
      <c r="C711" t="s">
        <v>22</v>
      </c>
      <c r="D711" t="s">
        <v>0</v>
      </c>
      <c r="E711" t="s">
        <v>7</v>
      </c>
      <c r="F711">
        <v>1</v>
      </c>
      <c r="G711" s="204">
        <v>42736</v>
      </c>
      <c r="H711" s="204" t="e">
        <f t="shared" si="11"/>
        <v>#NUM!</v>
      </c>
    </row>
    <row r="712" spans="1:8" x14ac:dyDescent="0.35">
      <c r="A712">
        <v>7</v>
      </c>
      <c r="B712" t="s">
        <v>18</v>
      </c>
      <c r="C712" t="s">
        <v>22</v>
      </c>
      <c r="D712" t="s">
        <v>0</v>
      </c>
      <c r="E712" t="s">
        <v>7</v>
      </c>
      <c r="F712">
        <v>7</v>
      </c>
      <c r="G712" s="204">
        <v>42736</v>
      </c>
      <c r="H712" s="204" t="e">
        <f t="shared" si="11"/>
        <v>#NUM!</v>
      </c>
    </row>
    <row r="713" spans="1:8" x14ac:dyDescent="0.35">
      <c r="A713">
        <v>77</v>
      </c>
      <c r="B713" t="s">
        <v>10</v>
      </c>
      <c r="C713" t="s">
        <v>23</v>
      </c>
      <c r="D713" t="s">
        <v>0</v>
      </c>
      <c r="E713" t="s">
        <v>7</v>
      </c>
      <c r="F713">
        <v>77</v>
      </c>
      <c r="G713" s="204">
        <v>42736</v>
      </c>
      <c r="H713" s="204" t="e">
        <f t="shared" si="11"/>
        <v>#NUM!</v>
      </c>
    </row>
    <row r="714" spans="1:8" x14ac:dyDescent="0.35">
      <c r="A714">
        <v>0</v>
      </c>
      <c r="B714" t="s">
        <v>11</v>
      </c>
      <c r="C714" t="s">
        <v>23</v>
      </c>
      <c r="D714" t="s">
        <v>0</v>
      </c>
      <c r="E714" t="s">
        <v>7</v>
      </c>
      <c r="F714">
        <v>0</v>
      </c>
      <c r="G714" s="204">
        <v>42736</v>
      </c>
      <c r="H714" s="204" t="e">
        <f t="shared" si="11"/>
        <v>#NUM!</v>
      </c>
    </row>
    <row r="715" spans="1:8" x14ac:dyDescent="0.35">
      <c r="A715">
        <v>1</v>
      </c>
      <c r="B715" t="s">
        <v>12</v>
      </c>
      <c r="C715" t="s">
        <v>23</v>
      </c>
      <c r="D715" t="s">
        <v>0</v>
      </c>
      <c r="E715" t="s">
        <v>7</v>
      </c>
      <c r="F715">
        <v>1</v>
      </c>
      <c r="G715" s="204">
        <v>42736</v>
      </c>
      <c r="H715" s="204" t="e">
        <f t="shared" si="11"/>
        <v>#NUM!</v>
      </c>
    </row>
    <row r="716" spans="1:8" x14ac:dyDescent="0.35">
      <c r="A716">
        <v>3</v>
      </c>
      <c r="B716" t="s">
        <v>13</v>
      </c>
      <c r="C716" t="s">
        <v>23</v>
      </c>
      <c r="D716" t="s">
        <v>0</v>
      </c>
      <c r="E716" t="s">
        <v>7</v>
      </c>
      <c r="F716">
        <v>3</v>
      </c>
      <c r="G716" s="204">
        <v>42736</v>
      </c>
      <c r="H716" s="204" t="e">
        <f t="shared" si="11"/>
        <v>#NUM!</v>
      </c>
    </row>
    <row r="717" spans="1:8" x14ac:dyDescent="0.35">
      <c r="A717">
        <v>0</v>
      </c>
      <c r="B717" t="s">
        <v>14</v>
      </c>
      <c r="C717" t="s">
        <v>23</v>
      </c>
      <c r="D717" t="s">
        <v>0</v>
      </c>
      <c r="E717" t="s">
        <v>7</v>
      </c>
      <c r="F717">
        <v>0</v>
      </c>
      <c r="G717" s="204">
        <v>42736</v>
      </c>
      <c r="H717" s="204" t="e">
        <f t="shared" si="11"/>
        <v>#NUM!</v>
      </c>
    </row>
    <row r="718" spans="1:8" x14ac:dyDescent="0.35">
      <c r="A718">
        <v>1</v>
      </c>
      <c r="B718" t="s">
        <v>15</v>
      </c>
      <c r="C718" t="s">
        <v>23</v>
      </c>
      <c r="D718" t="s">
        <v>0</v>
      </c>
      <c r="E718" t="s">
        <v>7</v>
      </c>
      <c r="F718">
        <v>1</v>
      </c>
      <c r="G718" s="204">
        <v>42736</v>
      </c>
      <c r="H718" s="204" t="e">
        <f t="shared" si="11"/>
        <v>#NUM!</v>
      </c>
    </row>
    <row r="719" spans="1:8" x14ac:dyDescent="0.35">
      <c r="A719">
        <v>0</v>
      </c>
      <c r="B719" t="s">
        <v>16</v>
      </c>
      <c r="C719" t="s">
        <v>23</v>
      </c>
      <c r="D719" t="s">
        <v>0</v>
      </c>
      <c r="E719" t="s">
        <v>7</v>
      </c>
      <c r="F719">
        <v>0</v>
      </c>
      <c r="G719" s="204">
        <v>42736</v>
      </c>
      <c r="H719" s="204" t="e">
        <f t="shared" si="11"/>
        <v>#NUM!</v>
      </c>
    </row>
    <row r="720" spans="1:8" x14ac:dyDescent="0.35">
      <c r="A720">
        <v>1</v>
      </c>
      <c r="B720" t="s">
        <v>17</v>
      </c>
      <c r="C720" t="s">
        <v>23</v>
      </c>
      <c r="D720" t="s">
        <v>0</v>
      </c>
      <c r="E720" t="s">
        <v>7</v>
      </c>
      <c r="F720">
        <v>1</v>
      </c>
      <c r="G720" s="204">
        <v>42736</v>
      </c>
      <c r="H720" s="204" t="e">
        <f t="shared" si="11"/>
        <v>#NUM!</v>
      </c>
    </row>
    <row r="721" spans="1:8" x14ac:dyDescent="0.35">
      <c r="A721">
        <v>0</v>
      </c>
      <c r="B721" t="s">
        <v>18</v>
      </c>
      <c r="C721" t="s">
        <v>23</v>
      </c>
      <c r="D721" t="s">
        <v>0</v>
      </c>
      <c r="E721" t="s">
        <v>7</v>
      </c>
      <c r="F721">
        <v>0</v>
      </c>
      <c r="G721" s="204">
        <v>42736</v>
      </c>
      <c r="H721" s="204" t="e">
        <f t="shared" si="11"/>
        <v>#NUM!</v>
      </c>
    </row>
    <row r="722" spans="1:8" x14ac:dyDescent="0.35">
      <c r="A722">
        <v>26</v>
      </c>
      <c r="B722" t="s">
        <v>10</v>
      </c>
      <c r="C722" t="s">
        <v>24</v>
      </c>
      <c r="D722" t="s">
        <v>0</v>
      </c>
      <c r="E722" t="s">
        <v>7</v>
      </c>
      <c r="F722">
        <v>26</v>
      </c>
      <c r="G722" s="204">
        <v>42736</v>
      </c>
      <c r="H722" s="204" t="e">
        <f t="shared" si="11"/>
        <v>#NUM!</v>
      </c>
    </row>
    <row r="723" spans="1:8" x14ac:dyDescent="0.35">
      <c r="A723">
        <v>0</v>
      </c>
      <c r="B723" t="s">
        <v>11</v>
      </c>
      <c r="C723" t="s">
        <v>24</v>
      </c>
      <c r="D723" t="s">
        <v>0</v>
      </c>
      <c r="E723" t="s">
        <v>7</v>
      </c>
      <c r="F723">
        <v>0</v>
      </c>
      <c r="G723" s="204">
        <v>42736</v>
      </c>
      <c r="H723" s="204" t="e">
        <f t="shared" si="11"/>
        <v>#NUM!</v>
      </c>
    </row>
    <row r="724" spans="1:8" x14ac:dyDescent="0.35">
      <c r="A724">
        <v>1</v>
      </c>
      <c r="B724" t="s">
        <v>12</v>
      </c>
      <c r="C724" t="s">
        <v>24</v>
      </c>
      <c r="D724" t="s">
        <v>0</v>
      </c>
      <c r="E724" t="s">
        <v>7</v>
      </c>
      <c r="F724">
        <v>1</v>
      </c>
      <c r="G724" s="204">
        <v>42736</v>
      </c>
      <c r="H724" s="204" t="e">
        <f t="shared" si="11"/>
        <v>#NUM!</v>
      </c>
    </row>
    <row r="725" spans="1:8" x14ac:dyDescent="0.35">
      <c r="A725">
        <v>2</v>
      </c>
      <c r="B725" t="s">
        <v>13</v>
      </c>
      <c r="C725" t="s">
        <v>24</v>
      </c>
      <c r="D725" t="s">
        <v>0</v>
      </c>
      <c r="E725" t="s">
        <v>7</v>
      </c>
      <c r="F725">
        <v>2</v>
      </c>
      <c r="G725" s="204">
        <v>42736</v>
      </c>
      <c r="H725" s="204" t="e">
        <f t="shared" si="11"/>
        <v>#NUM!</v>
      </c>
    </row>
    <row r="726" spans="1:8" x14ac:dyDescent="0.35">
      <c r="A726">
        <v>0</v>
      </c>
      <c r="B726" t="s">
        <v>14</v>
      </c>
      <c r="C726" t="s">
        <v>24</v>
      </c>
      <c r="D726" t="s">
        <v>0</v>
      </c>
      <c r="E726" t="s">
        <v>7</v>
      </c>
      <c r="F726">
        <v>0</v>
      </c>
      <c r="G726" s="204">
        <v>42736</v>
      </c>
      <c r="H726" s="204" t="e">
        <f t="shared" si="11"/>
        <v>#NUM!</v>
      </c>
    </row>
    <row r="727" spans="1:8" x14ac:dyDescent="0.35">
      <c r="A727">
        <v>2</v>
      </c>
      <c r="B727" t="s">
        <v>15</v>
      </c>
      <c r="C727" t="s">
        <v>24</v>
      </c>
      <c r="D727" t="s">
        <v>0</v>
      </c>
      <c r="E727" t="s">
        <v>7</v>
      </c>
      <c r="F727">
        <v>2</v>
      </c>
      <c r="G727" s="204">
        <v>42736</v>
      </c>
      <c r="H727" s="204" t="e">
        <f t="shared" si="11"/>
        <v>#NUM!</v>
      </c>
    </row>
    <row r="728" spans="1:8" x14ac:dyDescent="0.35">
      <c r="A728">
        <v>0</v>
      </c>
      <c r="B728" t="s">
        <v>16</v>
      </c>
      <c r="C728" t="s">
        <v>24</v>
      </c>
      <c r="D728" t="s">
        <v>0</v>
      </c>
      <c r="E728" t="s">
        <v>7</v>
      </c>
      <c r="F728">
        <v>0</v>
      </c>
      <c r="G728" s="204">
        <v>42736</v>
      </c>
      <c r="H728" s="204" t="e">
        <f t="shared" si="11"/>
        <v>#NUM!</v>
      </c>
    </row>
    <row r="729" spans="1:8" x14ac:dyDescent="0.35">
      <c r="A729">
        <v>1</v>
      </c>
      <c r="B729" t="s">
        <v>17</v>
      </c>
      <c r="C729" t="s">
        <v>24</v>
      </c>
      <c r="D729" t="s">
        <v>0</v>
      </c>
      <c r="E729" t="s">
        <v>7</v>
      </c>
      <c r="F729">
        <v>1</v>
      </c>
      <c r="G729" s="204">
        <v>42736</v>
      </c>
      <c r="H729" s="204" t="e">
        <f t="shared" si="11"/>
        <v>#NUM!</v>
      </c>
    </row>
    <row r="730" spans="1:8" x14ac:dyDescent="0.35">
      <c r="A730">
        <v>0</v>
      </c>
      <c r="B730" t="s">
        <v>18</v>
      </c>
      <c r="C730" t="s">
        <v>24</v>
      </c>
      <c r="D730" t="s">
        <v>0</v>
      </c>
      <c r="E730" t="s">
        <v>7</v>
      </c>
      <c r="F730">
        <v>0</v>
      </c>
      <c r="G730" s="204">
        <v>42736</v>
      </c>
      <c r="H730" s="204" t="e">
        <f t="shared" si="11"/>
        <v>#NUM!</v>
      </c>
    </row>
    <row r="731" spans="1:8" x14ac:dyDescent="0.35">
      <c r="A731">
        <v>15</v>
      </c>
      <c r="B731" t="s">
        <v>10</v>
      </c>
      <c r="C731" t="s">
        <v>25</v>
      </c>
      <c r="D731" t="s">
        <v>0</v>
      </c>
      <c r="E731" t="s">
        <v>7</v>
      </c>
      <c r="F731">
        <v>15</v>
      </c>
      <c r="G731" s="204">
        <v>42736</v>
      </c>
      <c r="H731" s="204" t="e">
        <f t="shared" si="11"/>
        <v>#NUM!</v>
      </c>
    </row>
    <row r="732" spans="1:8" x14ac:dyDescent="0.35">
      <c r="A732">
        <v>4</v>
      </c>
      <c r="B732" t="s">
        <v>11</v>
      </c>
      <c r="C732" t="s">
        <v>25</v>
      </c>
      <c r="D732" t="s">
        <v>0</v>
      </c>
      <c r="E732" t="s">
        <v>7</v>
      </c>
      <c r="F732">
        <v>4</v>
      </c>
      <c r="G732" s="204">
        <v>42736</v>
      </c>
      <c r="H732" s="204" t="e">
        <f t="shared" si="11"/>
        <v>#NUM!</v>
      </c>
    </row>
    <row r="733" spans="1:8" x14ac:dyDescent="0.35">
      <c r="A733">
        <v>3</v>
      </c>
      <c r="B733" t="s">
        <v>12</v>
      </c>
      <c r="C733" t="s">
        <v>25</v>
      </c>
      <c r="D733" t="s">
        <v>0</v>
      </c>
      <c r="E733" t="s">
        <v>7</v>
      </c>
      <c r="F733">
        <v>3</v>
      </c>
      <c r="G733" s="204">
        <v>42736</v>
      </c>
      <c r="H733" s="204" t="e">
        <f t="shared" si="11"/>
        <v>#NUM!</v>
      </c>
    </row>
    <row r="734" spans="1:8" x14ac:dyDescent="0.35">
      <c r="A734">
        <v>5</v>
      </c>
      <c r="B734" t="s">
        <v>13</v>
      </c>
      <c r="C734" t="s">
        <v>25</v>
      </c>
      <c r="D734" t="s">
        <v>0</v>
      </c>
      <c r="E734" t="s">
        <v>7</v>
      </c>
      <c r="F734">
        <v>5</v>
      </c>
      <c r="G734" s="204">
        <v>42736</v>
      </c>
      <c r="H734" s="204" t="e">
        <f t="shared" si="11"/>
        <v>#NUM!</v>
      </c>
    </row>
    <row r="735" spans="1:8" x14ac:dyDescent="0.35">
      <c r="A735">
        <v>9</v>
      </c>
      <c r="B735" t="s">
        <v>14</v>
      </c>
      <c r="C735" t="s">
        <v>25</v>
      </c>
      <c r="D735" t="s">
        <v>0</v>
      </c>
      <c r="E735" t="s">
        <v>7</v>
      </c>
      <c r="F735">
        <v>9</v>
      </c>
      <c r="G735" s="204">
        <v>42736</v>
      </c>
      <c r="H735" s="204" t="e">
        <f t="shared" si="11"/>
        <v>#NUM!</v>
      </c>
    </row>
    <row r="736" spans="1:8" x14ac:dyDescent="0.35">
      <c r="A736">
        <v>9</v>
      </c>
      <c r="B736" t="s">
        <v>15</v>
      </c>
      <c r="C736" t="s">
        <v>25</v>
      </c>
      <c r="D736" t="s">
        <v>0</v>
      </c>
      <c r="E736" t="s">
        <v>7</v>
      </c>
      <c r="F736">
        <v>9</v>
      </c>
      <c r="G736" s="204">
        <v>42736</v>
      </c>
      <c r="H736" s="204" t="e">
        <f t="shared" si="11"/>
        <v>#NUM!</v>
      </c>
    </row>
    <row r="737" spans="1:8" x14ac:dyDescent="0.35">
      <c r="A737">
        <v>0</v>
      </c>
      <c r="B737" t="s">
        <v>16</v>
      </c>
      <c r="C737" t="s">
        <v>25</v>
      </c>
      <c r="D737" t="s">
        <v>0</v>
      </c>
      <c r="E737" t="s">
        <v>7</v>
      </c>
      <c r="F737">
        <v>0</v>
      </c>
      <c r="G737" s="204">
        <v>42736</v>
      </c>
      <c r="H737" s="204" t="e">
        <f t="shared" si="11"/>
        <v>#NUM!</v>
      </c>
    </row>
    <row r="738" spans="1:8" x14ac:dyDescent="0.35">
      <c r="A738">
        <v>1</v>
      </c>
      <c r="B738" t="s">
        <v>17</v>
      </c>
      <c r="C738" t="s">
        <v>25</v>
      </c>
      <c r="D738" t="s">
        <v>0</v>
      </c>
      <c r="E738" t="s">
        <v>7</v>
      </c>
      <c r="F738">
        <v>1</v>
      </c>
      <c r="G738" s="204">
        <v>42736</v>
      </c>
      <c r="H738" s="204" t="e">
        <f t="shared" si="11"/>
        <v>#NUM!</v>
      </c>
    </row>
    <row r="739" spans="1:8" x14ac:dyDescent="0.35">
      <c r="A739">
        <v>5</v>
      </c>
      <c r="B739" t="s">
        <v>18</v>
      </c>
      <c r="C739" t="s">
        <v>25</v>
      </c>
      <c r="D739" t="s">
        <v>0</v>
      </c>
      <c r="E739" t="s">
        <v>7</v>
      </c>
      <c r="F739">
        <v>5</v>
      </c>
      <c r="G739" s="204">
        <v>42736</v>
      </c>
      <c r="H739" s="204" t="e">
        <f t="shared" si="11"/>
        <v>#NUM!</v>
      </c>
    </row>
    <row r="740" spans="1:8" x14ac:dyDescent="0.35">
      <c r="A740">
        <v>4</v>
      </c>
      <c r="B740" t="s">
        <v>10</v>
      </c>
      <c r="C740" t="s">
        <v>26</v>
      </c>
      <c r="D740" t="s">
        <v>0</v>
      </c>
      <c r="E740" t="s">
        <v>7</v>
      </c>
      <c r="F740">
        <v>4</v>
      </c>
      <c r="G740" s="204">
        <v>42736</v>
      </c>
      <c r="H740" s="204" t="e">
        <f t="shared" si="11"/>
        <v>#NUM!</v>
      </c>
    </row>
    <row r="741" spans="1:8" x14ac:dyDescent="0.35">
      <c r="A741">
        <v>0</v>
      </c>
      <c r="B741" t="s">
        <v>11</v>
      </c>
      <c r="C741" t="s">
        <v>26</v>
      </c>
      <c r="D741" t="s">
        <v>0</v>
      </c>
      <c r="E741" t="s">
        <v>7</v>
      </c>
      <c r="F741">
        <v>0</v>
      </c>
      <c r="G741" s="204">
        <v>42736</v>
      </c>
      <c r="H741" s="204" t="e">
        <f t="shared" si="11"/>
        <v>#NUM!</v>
      </c>
    </row>
    <row r="742" spans="1:8" x14ac:dyDescent="0.35">
      <c r="A742">
        <v>1</v>
      </c>
      <c r="B742" t="s">
        <v>12</v>
      </c>
      <c r="C742" t="s">
        <v>26</v>
      </c>
      <c r="D742" t="s">
        <v>0</v>
      </c>
      <c r="E742" t="s">
        <v>7</v>
      </c>
      <c r="F742">
        <v>1</v>
      </c>
      <c r="G742" s="204">
        <v>42736</v>
      </c>
      <c r="H742" s="204" t="e">
        <f t="shared" si="11"/>
        <v>#NUM!</v>
      </c>
    </row>
    <row r="743" spans="1:8" x14ac:dyDescent="0.35">
      <c r="A743">
        <v>1</v>
      </c>
      <c r="B743" t="s">
        <v>13</v>
      </c>
      <c r="C743" t="s">
        <v>26</v>
      </c>
      <c r="D743" t="s">
        <v>0</v>
      </c>
      <c r="E743" t="s">
        <v>7</v>
      </c>
      <c r="F743">
        <v>1</v>
      </c>
      <c r="G743" s="204">
        <v>42736</v>
      </c>
      <c r="H743" s="204" t="e">
        <f t="shared" si="11"/>
        <v>#NUM!</v>
      </c>
    </row>
    <row r="744" spans="1:8" x14ac:dyDescent="0.35">
      <c r="A744">
        <v>0</v>
      </c>
      <c r="B744" t="s">
        <v>14</v>
      </c>
      <c r="C744" t="s">
        <v>26</v>
      </c>
      <c r="D744" t="s">
        <v>0</v>
      </c>
      <c r="E744" t="s">
        <v>7</v>
      </c>
      <c r="F744">
        <v>0</v>
      </c>
      <c r="G744" s="204">
        <v>42736</v>
      </c>
      <c r="H744" s="204" t="e">
        <f t="shared" si="11"/>
        <v>#NUM!</v>
      </c>
    </row>
    <row r="745" spans="1:8" x14ac:dyDescent="0.35">
      <c r="A745">
        <v>0</v>
      </c>
      <c r="B745" t="s">
        <v>15</v>
      </c>
      <c r="C745" t="s">
        <v>26</v>
      </c>
      <c r="D745" t="s">
        <v>0</v>
      </c>
      <c r="E745" t="s">
        <v>7</v>
      </c>
      <c r="F745">
        <v>0</v>
      </c>
      <c r="G745" s="204">
        <v>42736</v>
      </c>
      <c r="H745" s="204" t="e">
        <f t="shared" si="11"/>
        <v>#NUM!</v>
      </c>
    </row>
    <row r="746" spans="1:8" x14ac:dyDescent="0.35">
      <c r="A746">
        <v>0</v>
      </c>
      <c r="B746" t="s">
        <v>16</v>
      </c>
      <c r="C746" t="s">
        <v>26</v>
      </c>
      <c r="D746" t="s">
        <v>0</v>
      </c>
      <c r="E746" t="s">
        <v>7</v>
      </c>
      <c r="F746">
        <v>0</v>
      </c>
      <c r="G746" s="204">
        <v>42736</v>
      </c>
      <c r="H746" s="204" t="e">
        <f t="shared" si="11"/>
        <v>#NUM!</v>
      </c>
    </row>
    <row r="747" spans="1:8" x14ac:dyDescent="0.35">
      <c r="A747">
        <v>0</v>
      </c>
      <c r="B747" t="s">
        <v>17</v>
      </c>
      <c r="C747" t="s">
        <v>26</v>
      </c>
      <c r="D747" t="s">
        <v>0</v>
      </c>
      <c r="E747" t="s">
        <v>7</v>
      </c>
      <c r="F747">
        <v>0</v>
      </c>
      <c r="G747" s="204">
        <v>42736</v>
      </c>
      <c r="H747" s="204" t="e">
        <f t="shared" si="11"/>
        <v>#NUM!</v>
      </c>
    </row>
    <row r="748" spans="1:8" x14ac:dyDescent="0.35">
      <c r="A748">
        <v>0</v>
      </c>
      <c r="B748" t="s">
        <v>18</v>
      </c>
      <c r="C748" t="s">
        <v>26</v>
      </c>
      <c r="D748" t="s">
        <v>0</v>
      </c>
      <c r="E748" t="s">
        <v>7</v>
      </c>
      <c r="F748">
        <v>0</v>
      </c>
      <c r="G748" s="204">
        <v>42736</v>
      </c>
      <c r="H748" s="204" t="e">
        <f t="shared" si="11"/>
        <v>#NUM!</v>
      </c>
    </row>
    <row r="749" spans="1:8" x14ac:dyDescent="0.35">
      <c r="A749">
        <v>12</v>
      </c>
      <c r="B749" t="s">
        <v>10</v>
      </c>
      <c r="C749" t="s">
        <v>27</v>
      </c>
      <c r="D749" t="s">
        <v>0</v>
      </c>
      <c r="E749" t="s">
        <v>7</v>
      </c>
      <c r="F749">
        <v>12</v>
      </c>
      <c r="G749" s="204">
        <v>42736</v>
      </c>
      <c r="H749" s="204" t="e">
        <f t="shared" si="11"/>
        <v>#NUM!</v>
      </c>
    </row>
    <row r="750" spans="1:8" x14ac:dyDescent="0.35">
      <c r="A750">
        <v>0</v>
      </c>
      <c r="B750" t="s">
        <v>11</v>
      </c>
      <c r="C750" t="s">
        <v>27</v>
      </c>
      <c r="D750" t="s">
        <v>0</v>
      </c>
      <c r="E750" t="s">
        <v>7</v>
      </c>
      <c r="F750">
        <v>0</v>
      </c>
      <c r="G750" s="204">
        <v>42736</v>
      </c>
      <c r="H750" s="204" t="e">
        <f t="shared" si="11"/>
        <v>#NUM!</v>
      </c>
    </row>
    <row r="751" spans="1:8" x14ac:dyDescent="0.35">
      <c r="A751">
        <v>2</v>
      </c>
      <c r="B751" t="s">
        <v>12</v>
      </c>
      <c r="C751" t="s">
        <v>27</v>
      </c>
      <c r="D751" t="s">
        <v>0</v>
      </c>
      <c r="E751" t="s">
        <v>7</v>
      </c>
      <c r="F751">
        <v>2</v>
      </c>
      <c r="G751" s="204">
        <v>42736</v>
      </c>
      <c r="H751" s="204" t="e">
        <f t="shared" si="11"/>
        <v>#NUM!</v>
      </c>
    </row>
    <row r="752" spans="1:8" x14ac:dyDescent="0.35">
      <c r="A752">
        <v>0</v>
      </c>
      <c r="B752" t="s">
        <v>13</v>
      </c>
      <c r="C752" t="s">
        <v>27</v>
      </c>
      <c r="D752" t="s">
        <v>0</v>
      </c>
      <c r="E752" t="s">
        <v>7</v>
      </c>
      <c r="F752">
        <v>0</v>
      </c>
      <c r="G752" s="204">
        <v>42736</v>
      </c>
      <c r="H752" s="204" t="e">
        <f t="shared" si="11"/>
        <v>#NUM!</v>
      </c>
    </row>
    <row r="753" spans="1:8" x14ac:dyDescent="0.35">
      <c r="A753">
        <v>0</v>
      </c>
      <c r="B753" t="s">
        <v>14</v>
      </c>
      <c r="C753" t="s">
        <v>27</v>
      </c>
      <c r="D753" t="s">
        <v>0</v>
      </c>
      <c r="E753" t="s">
        <v>7</v>
      </c>
      <c r="F753">
        <v>0</v>
      </c>
      <c r="G753" s="204">
        <v>42736</v>
      </c>
      <c r="H753" s="204" t="e">
        <f t="shared" si="11"/>
        <v>#NUM!</v>
      </c>
    </row>
    <row r="754" spans="1:8" x14ac:dyDescent="0.35">
      <c r="A754">
        <v>0</v>
      </c>
      <c r="B754" t="s">
        <v>15</v>
      </c>
      <c r="C754" t="s">
        <v>27</v>
      </c>
      <c r="D754" t="s">
        <v>0</v>
      </c>
      <c r="E754" t="s">
        <v>7</v>
      </c>
      <c r="F754">
        <v>0</v>
      </c>
      <c r="G754" s="204">
        <v>42736</v>
      </c>
      <c r="H754" s="204" t="e">
        <f t="shared" si="11"/>
        <v>#NUM!</v>
      </c>
    </row>
    <row r="755" spans="1:8" x14ac:dyDescent="0.35">
      <c r="A755">
        <v>0</v>
      </c>
      <c r="B755" t="s">
        <v>16</v>
      </c>
      <c r="C755" t="s">
        <v>27</v>
      </c>
      <c r="D755" t="s">
        <v>0</v>
      </c>
      <c r="E755" t="s">
        <v>7</v>
      </c>
      <c r="F755">
        <v>0</v>
      </c>
      <c r="G755" s="204">
        <v>42736</v>
      </c>
      <c r="H755" s="204" t="e">
        <f t="shared" si="11"/>
        <v>#NUM!</v>
      </c>
    </row>
    <row r="756" spans="1:8" x14ac:dyDescent="0.35">
      <c r="A756">
        <v>0</v>
      </c>
      <c r="B756" t="s">
        <v>17</v>
      </c>
      <c r="C756" t="s">
        <v>27</v>
      </c>
      <c r="D756" t="s">
        <v>0</v>
      </c>
      <c r="E756" t="s">
        <v>7</v>
      </c>
      <c r="F756">
        <v>0</v>
      </c>
      <c r="G756" s="204">
        <v>42736</v>
      </c>
      <c r="H756" s="204" t="e">
        <f t="shared" si="11"/>
        <v>#NUM!</v>
      </c>
    </row>
    <row r="757" spans="1:8" x14ac:dyDescent="0.35">
      <c r="A757">
        <v>0</v>
      </c>
      <c r="B757" t="s">
        <v>18</v>
      </c>
      <c r="C757" t="s">
        <v>27</v>
      </c>
      <c r="D757" t="s">
        <v>0</v>
      </c>
      <c r="E757" t="s">
        <v>7</v>
      </c>
      <c r="F757">
        <v>0</v>
      </c>
      <c r="G757" s="204">
        <v>42736</v>
      </c>
      <c r="H757" s="204" t="e">
        <f t="shared" si="11"/>
        <v>#NUM!</v>
      </c>
    </row>
    <row r="758" spans="1:8" x14ac:dyDescent="0.35">
      <c r="A758">
        <v>532</v>
      </c>
      <c r="B758" t="s">
        <v>10</v>
      </c>
      <c r="C758" t="s">
        <v>28</v>
      </c>
      <c r="D758" t="s">
        <v>0</v>
      </c>
      <c r="E758" t="s">
        <v>8</v>
      </c>
      <c r="F758">
        <v>532</v>
      </c>
      <c r="G758" s="204">
        <v>42736</v>
      </c>
      <c r="H758" s="204" t="e">
        <f t="shared" si="11"/>
        <v>#NUM!</v>
      </c>
    </row>
    <row r="759" spans="1:8" x14ac:dyDescent="0.35">
      <c r="A759">
        <v>123</v>
      </c>
      <c r="B759" t="s">
        <v>11</v>
      </c>
      <c r="C759" t="s">
        <v>28</v>
      </c>
      <c r="D759" t="s">
        <v>0</v>
      </c>
      <c r="E759" t="s">
        <v>8</v>
      </c>
      <c r="F759">
        <v>123</v>
      </c>
      <c r="G759" s="204">
        <v>42736</v>
      </c>
      <c r="H759" s="204" t="e">
        <f t="shared" si="11"/>
        <v>#NUM!</v>
      </c>
    </row>
    <row r="760" spans="1:8" x14ac:dyDescent="0.35">
      <c r="A760">
        <v>64</v>
      </c>
      <c r="B760" t="s">
        <v>12</v>
      </c>
      <c r="C760" t="s">
        <v>28</v>
      </c>
      <c r="D760" t="s">
        <v>0</v>
      </c>
      <c r="E760" t="s">
        <v>8</v>
      </c>
      <c r="F760">
        <v>64</v>
      </c>
      <c r="G760" s="204">
        <v>42736</v>
      </c>
      <c r="H760" s="204" t="e">
        <f t="shared" si="11"/>
        <v>#NUM!</v>
      </c>
    </row>
    <row r="761" spans="1:8" x14ac:dyDescent="0.35">
      <c r="A761">
        <v>110</v>
      </c>
      <c r="B761" t="s">
        <v>13</v>
      </c>
      <c r="C761" t="s">
        <v>28</v>
      </c>
      <c r="D761" t="s">
        <v>0</v>
      </c>
      <c r="E761" t="s">
        <v>8</v>
      </c>
      <c r="F761">
        <v>110</v>
      </c>
      <c r="G761" s="204">
        <v>42736</v>
      </c>
      <c r="H761" s="204" t="e">
        <f t="shared" si="11"/>
        <v>#NUM!</v>
      </c>
    </row>
    <row r="762" spans="1:8" x14ac:dyDescent="0.35">
      <c r="A762">
        <v>59</v>
      </c>
      <c r="B762" t="s">
        <v>14</v>
      </c>
      <c r="C762" t="s">
        <v>28</v>
      </c>
      <c r="D762" t="s">
        <v>0</v>
      </c>
      <c r="E762" t="s">
        <v>8</v>
      </c>
      <c r="F762">
        <v>59</v>
      </c>
      <c r="G762" s="204">
        <v>42736</v>
      </c>
      <c r="H762" s="204" t="e">
        <f t="shared" si="11"/>
        <v>#NUM!</v>
      </c>
    </row>
    <row r="763" spans="1:8" x14ac:dyDescent="0.35">
      <c r="A763">
        <v>62</v>
      </c>
      <c r="B763" t="s">
        <v>15</v>
      </c>
      <c r="C763" t="s">
        <v>28</v>
      </c>
      <c r="D763" t="s">
        <v>0</v>
      </c>
      <c r="E763" t="s">
        <v>8</v>
      </c>
      <c r="F763">
        <v>62</v>
      </c>
      <c r="G763" s="204">
        <v>42736</v>
      </c>
      <c r="H763" s="204" t="e">
        <f t="shared" si="11"/>
        <v>#NUM!</v>
      </c>
    </row>
    <row r="764" spans="1:8" x14ac:dyDescent="0.35">
      <c r="A764">
        <v>51</v>
      </c>
      <c r="B764" t="s">
        <v>16</v>
      </c>
      <c r="C764" t="s">
        <v>28</v>
      </c>
      <c r="D764" t="s">
        <v>0</v>
      </c>
      <c r="E764" t="s">
        <v>8</v>
      </c>
      <c r="F764">
        <v>51</v>
      </c>
      <c r="G764" s="204">
        <v>42736</v>
      </c>
      <c r="H764" s="204" t="e">
        <f t="shared" si="11"/>
        <v>#NUM!</v>
      </c>
    </row>
    <row r="765" spans="1:8" x14ac:dyDescent="0.35">
      <c r="A765">
        <v>26</v>
      </c>
      <c r="B765" t="s">
        <v>17</v>
      </c>
      <c r="C765" t="s">
        <v>28</v>
      </c>
      <c r="D765" t="s">
        <v>0</v>
      </c>
      <c r="E765" t="s">
        <v>8</v>
      </c>
      <c r="F765">
        <v>26</v>
      </c>
      <c r="G765" s="204">
        <v>42736</v>
      </c>
      <c r="H765" s="204" t="e">
        <f t="shared" si="11"/>
        <v>#NUM!</v>
      </c>
    </row>
    <row r="766" spans="1:8" x14ac:dyDescent="0.35">
      <c r="A766">
        <v>143</v>
      </c>
      <c r="B766" t="s">
        <v>18</v>
      </c>
      <c r="C766" t="s">
        <v>28</v>
      </c>
      <c r="D766" t="s">
        <v>0</v>
      </c>
      <c r="E766" t="s">
        <v>8</v>
      </c>
      <c r="F766">
        <v>143</v>
      </c>
      <c r="G766" s="204">
        <v>42736</v>
      </c>
      <c r="H766" s="204" t="e">
        <f t="shared" si="11"/>
        <v>#NUM!</v>
      </c>
    </row>
    <row r="767" spans="1:8" x14ac:dyDescent="0.35">
      <c r="A767">
        <v>202</v>
      </c>
      <c r="B767" t="s">
        <v>10</v>
      </c>
      <c r="C767" t="s">
        <v>29</v>
      </c>
      <c r="D767" t="s">
        <v>0</v>
      </c>
      <c r="E767" t="s">
        <v>8</v>
      </c>
      <c r="F767">
        <v>202</v>
      </c>
      <c r="G767" s="204">
        <v>42736</v>
      </c>
      <c r="H767" s="204" t="e">
        <f t="shared" si="11"/>
        <v>#NUM!</v>
      </c>
    </row>
    <row r="768" spans="1:8" x14ac:dyDescent="0.35">
      <c r="A768">
        <v>16</v>
      </c>
      <c r="B768" t="s">
        <v>11</v>
      </c>
      <c r="C768" t="s">
        <v>29</v>
      </c>
      <c r="D768" t="s">
        <v>0</v>
      </c>
      <c r="E768" t="s">
        <v>8</v>
      </c>
      <c r="F768">
        <v>16</v>
      </c>
      <c r="G768" s="204">
        <v>42736</v>
      </c>
      <c r="H768" s="204" t="e">
        <f t="shared" si="11"/>
        <v>#NUM!</v>
      </c>
    </row>
    <row r="769" spans="1:8" x14ac:dyDescent="0.35">
      <c r="A769">
        <v>32</v>
      </c>
      <c r="B769" t="s">
        <v>12</v>
      </c>
      <c r="C769" t="s">
        <v>29</v>
      </c>
      <c r="D769" t="s">
        <v>0</v>
      </c>
      <c r="E769" t="s">
        <v>8</v>
      </c>
      <c r="F769">
        <v>32</v>
      </c>
      <c r="G769" s="204">
        <v>42736</v>
      </c>
      <c r="H769" s="204" t="e">
        <f t="shared" si="11"/>
        <v>#NUM!</v>
      </c>
    </row>
    <row r="770" spans="1:8" x14ac:dyDescent="0.35">
      <c r="A770">
        <v>23</v>
      </c>
      <c r="B770" t="s">
        <v>13</v>
      </c>
      <c r="C770" t="s">
        <v>29</v>
      </c>
      <c r="D770" t="s">
        <v>0</v>
      </c>
      <c r="E770" t="s">
        <v>8</v>
      </c>
      <c r="F770">
        <v>23</v>
      </c>
      <c r="G770" s="204">
        <v>42736</v>
      </c>
      <c r="H770" s="204" t="e">
        <f t="shared" si="11"/>
        <v>#NUM!</v>
      </c>
    </row>
    <row r="771" spans="1:8" x14ac:dyDescent="0.35">
      <c r="A771">
        <v>19</v>
      </c>
      <c r="B771" t="s">
        <v>14</v>
      </c>
      <c r="C771" t="s">
        <v>29</v>
      </c>
      <c r="D771" t="s">
        <v>0</v>
      </c>
      <c r="E771" t="s">
        <v>8</v>
      </c>
      <c r="F771">
        <v>19</v>
      </c>
      <c r="G771" s="204">
        <v>42736</v>
      </c>
      <c r="H771" s="204" t="e">
        <f t="shared" ref="G771:H820" si="12">DATE(G771,1,1)</f>
        <v>#NUM!</v>
      </c>
    </row>
    <row r="772" spans="1:8" x14ac:dyDescent="0.35">
      <c r="A772">
        <v>26</v>
      </c>
      <c r="B772" t="s">
        <v>15</v>
      </c>
      <c r="C772" t="s">
        <v>29</v>
      </c>
      <c r="D772" t="s">
        <v>0</v>
      </c>
      <c r="E772" t="s">
        <v>8</v>
      </c>
      <c r="F772">
        <v>26</v>
      </c>
      <c r="G772" s="204">
        <v>42736</v>
      </c>
      <c r="H772" s="204" t="e">
        <f t="shared" si="12"/>
        <v>#NUM!</v>
      </c>
    </row>
    <row r="773" spans="1:8" x14ac:dyDescent="0.35">
      <c r="A773">
        <v>20</v>
      </c>
      <c r="B773" t="s">
        <v>16</v>
      </c>
      <c r="C773" t="s">
        <v>29</v>
      </c>
      <c r="D773" t="s">
        <v>0</v>
      </c>
      <c r="E773" t="s">
        <v>8</v>
      </c>
      <c r="F773">
        <v>20</v>
      </c>
      <c r="G773" s="204">
        <v>42736</v>
      </c>
      <c r="H773" s="204" t="e">
        <f t="shared" si="12"/>
        <v>#NUM!</v>
      </c>
    </row>
    <row r="774" spans="1:8" x14ac:dyDescent="0.35">
      <c r="A774">
        <v>7</v>
      </c>
      <c r="B774" t="s">
        <v>17</v>
      </c>
      <c r="C774" t="s">
        <v>29</v>
      </c>
      <c r="D774" t="s">
        <v>0</v>
      </c>
      <c r="E774" t="s">
        <v>8</v>
      </c>
      <c r="F774">
        <v>7</v>
      </c>
      <c r="G774" s="204">
        <v>42736</v>
      </c>
      <c r="H774" s="204" t="e">
        <f t="shared" si="12"/>
        <v>#NUM!</v>
      </c>
    </row>
    <row r="775" spans="1:8" x14ac:dyDescent="0.35">
      <c r="A775">
        <v>35</v>
      </c>
      <c r="B775" t="s">
        <v>18</v>
      </c>
      <c r="C775" t="s">
        <v>29</v>
      </c>
      <c r="D775" t="s">
        <v>0</v>
      </c>
      <c r="E775" t="s">
        <v>8</v>
      </c>
      <c r="F775">
        <v>35</v>
      </c>
      <c r="G775" s="204">
        <v>42736</v>
      </c>
      <c r="H775" s="204" t="e">
        <f t="shared" si="12"/>
        <v>#NUM!</v>
      </c>
    </row>
    <row r="776" spans="1:8" x14ac:dyDescent="0.35">
      <c r="A776">
        <v>117</v>
      </c>
      <c r="B776" t="s">
        <v>10</v>
      </c>
      <c r="C776" t="s">
        <v>30</v>
      </c>
      <c r="D776" t="s">
        <v>0</v>
      </c>
      <c r="E776" t="s">
        <v>8</v>
      </c>
      <c r="F776">
        <v>117</v>
      </c>
      <c r="G776" s="204">
        <v>42736</v>
      </c>
      <c r="H776" s="204" t="e">
        <f t="shared" si="12"/>
        <v>#NUM!</v>
      </c>
    </row>
    <row r="777" spans="1:8" x14ac:dyDescent="0.35">
      <c r="A777">
        <v>13</v>
      </c>
      <c r="B777" t="s">
        <v>11</v>
      </c>
      <c r="C777" t="s">
        <v>30</v>
      </c>
      <c r="D777" t="s">
        <v>0</v>
      </c>
      <c r="E777" t="s">
        <v>8</v>
      </c>
      <c r="F777">
        <v>13</v>
      </c>
      <c r="G777" s="204">
        <v>42736</v>
      </c>
      <c r="H777" s="204" t="e">
        <f t="shared" si="12"/>
        <v>#NUM!</v>
      </c>
    </row>
    <row r="778" spans="1:8" x14ac:dyDescent="0.35">
      <c r="A778">
        <v>14</v>
      </c>
      <c r="B778" t="s">
        <v>12</v>
      </c>
      <c r="C778" t="s">
        <v>30</v>
      </c>
      <c r="D778" t="s">
        <v>0</v>
      </c>
      <c r="E778" t="s">
        <v>8</v>
      </c>
      <c r="F778">
        <v>14</v>
      </c>
      <c r="G778" s="204">
        <v>42736</v>
      </c>
      <c r="H778" s="204" t="e">
        <f t="shared" si="12"/>
        <v>#NUM!</v>
      </c>
    </row>
    <row r="779" spans="1:8" x14ac:dyDescent="0.35">
      <c r="A779">
        <v>14</v>
      </c>
      <c r="B779" t="s">
        <v>13</v>
      </c>
      <c r="C779" t="s">
        <v>30</v>
      </c>
      <c r="D779" t="s">
        <v>0</v>
      </c>
      <c r="E779" t="s">
        <v>8</v>
      </c>
      <c r="F779">
        <v>14</v>
      </c>
      <c r="G779" s="204">
        <v>42736</v>
      </c>
      <c r="H779" s="204" t="e">
        <f t="shared" si="12"/>
        <v>#NUM!</v>
      </c>
    </row>
    <row r="780" spans="1:8" x14ac:dyDescent="0.35">
      <c r="A780">
        <v>24</v>
      </c>
      <c r="B780" t="s">
        <v>14</v>
      </c>
      <c r="C780" t="s">
        <v>30</v>
      </c>
      <c r="D780" t="s">
        <v>0</v>
      </c>
      <c r="E780" t="s">
        <v>8</v>
      </c>
      <c r="F780">
        <v>24</v>
      </c>
      <c r="G780" s="204">
        <v>42736</v>
      </c>
      <c r="H780" s="204" t="e">
        <f t="shared" si="12"/>
        <v>#NUM!</v>
      </c>
    </row>
    <row r="781" spans="1:8" x14ac:dyDescent="0.35">
      <c r="A781">
        <v>20</v>
      </c>
      <c r="B781" t="s">
        <v>15</v>
      </c>
      <c r="C781" t="s">
        <v>30</v>
      </c>
      <c r="D781" t="s">
        <v>0</v>
      </c>
      <c r="E781" t="s">
        <v>8</v>
      </c>
      <c r="F781">
        <v>20</v>
      </c>
      <c r="G781" s="204">
        <v>42736</v>
      </c>
      <c r="H781" s="204" t="e">
        <f t="shared" si="12"/>
        <v>#NUM!</v>
      </c>
    </row>
    <row r="782" spans="1:8" x14ac:dyDescent="0.35">
      <c r="A782">
        <v>5</v>
      </c>
      <c r="B782" t="s">
        <v>16</v>
      </c>
      <c r="C782" t="s">
        <v>30</v>
      </c>
      <c r="D782" t="s">
        <v>0</v>
      </c>
      <c r="E782" t="s">
        <v>8</v>
      </c>
      <c r="F782">
        <v>5</v>
      </c>
      <c r="G782" s="204">
        <v>42736</v>
      </c>
      <c r="H782" s="204" t="e">
        <f t="shared" si="12"/>
        <v>#NUM!</v>
      </c>
    </row>
    <row r="783" spans="1:8" x14ac:dyDescent="0.35">
      <c r="A783">
        <v>97</v>
      </c>
      <c r="B783" t="s">
        <v>17</v>
      </c>
      <c r="C783" t="s">
        <v>30</v>
      </c>
      <c r="D783" t="s">
        <v>0</v>
      </c>
      <c r="E783" t="s">
        <v>8</v>
      </c>
      <c r="F783">
        <v>97</v>
      </c>
      <c r="G783" s="204">
        <v>42736</v>
      </c>
      <c r="H783" s="204" t="e">
        <f t="shared" si="12"/>
        <v>#NUM!</v>
      </c>
    </row>
    <row r="784" spans="1:8" x14ac:dyDescent="0.35">
      <c r="A784">
        <v>12</v>
      </c>
      <c r="B784" t="s">
        <v>18</v>
      </c>
      <c r="C784" t="s">
        <v>30</v>
      </c>
      <c r="D784" t="s">
        <v>0</v>
      </c>
      <c r="E784" t="s">
        <v>8</v>
      </c>
      <c r="F784">
        <v>12</v>
      </c>
      <c r="G784" s="204">
        <v>42736</v>
      </c>
      <c r="H784" s="204" t="e">
        <f t="shared" si="12"/>
        <v>#NUM!</v>
      </c>
    </row>
    <row r="785" spans="1:8" x14ac:dyDescent="0.35">
      <c r="A785">
        <v>49</v>
      </c>
      <c r="B785" t="s">
        <v>10</v>
      </c>
      <c r="C785" t="s">
        <v>31</v>
      </c>
      <c r="D785" t="s">
        <v>0</v>
      </c>
      <c r="E785" t="s">
        <v>8</v>
      </c>
      <c r="F785">
        <v>49</v>
      </c>
      <c r="G785" s="204">
        <v>42736</v>
      </c>
      <c r="H785" s="204" t="e">
        <f t="shared" si="12"/>
        <v>#NUM!</v>
      </c>
    </row>
    <row r="786" spans="1:8" x14ac:dyDescent="0.35">
      <c r="A786">
        <v>5</v>
      </c>
      <c r="B786" t="s">
        <v>11</v>
      </c>
      <c r="C786" t="s">
        <v>31</v>
      </c>
      <c r="D786" t="s">
        <v>0</v>
      </c>
      <c r="E786" t="s">
        <v>8</v>
      </c>
      <c r="F786">
        <v>5</v>
      </c>
      <c r="G786" s="204">
        <v>42736</v>
      </c>
      <c r="H786" s="204" t="e">
        <f t="shared" si="12"/>
        <v>#NUM!</v>
      </c>
    </row>
    <row r="787" spans="1:8" x14ac:dyDescent="0.35">
      <c r="A787">
        <v>8</v>
      </c>
      <c r="B787" t="s">
        <v>12</v>
      </c>
      <c r="C787" t="s">
        <v>31</v>
      </c>
      <c r="D787" t="s">
        <v>0</v>
      </c>
      <c r="E787" t="s">
        <v>8</v>
      </c>
      <c r="F787">
        <v>8</v>
      </c>
      <c r="G787" s="204">
        <v>42736</v>
      </c>
      <c r="H787" s="204" t="e">
        <f t="shared" si="12"/>
        <v>#NUM!</v>
      </c>
    </row>
    <row r="788" spans="1:8" x14ac:dyDescent="0.35">
      <c r="A788">
        <v>6</v>
      </c>
      <c r="B788" t="s">
        <v>13</v>
      </c>
      <c r="C788" t="s">
        <v>31</v>
      </c>
      <c r="D788" t="s">
        <v>0</v>
      </c>
      <c r="E788" t="s">
        <v>8</v>
      </c>
      <c r="F788">
        <v>6</v>
      </c>
      <c r="G788" s="204">
        <v>42736</v>
      </c>
      <c r="H788" s="204" t="e">
        <f t="shared" si="12"/>
        <v>#NUM!</v>
      </c>
    </row>
    <row r="789" spans="1:8" x14ac:dyDescent="0.35">
      <c r="A789">
        <v>5</v>
      </c>
      <c r="B789" t="s">
        <v>14</v>
      </c>
      <c r="C789" t="s">
        <v>31</v>
      </c>
      <c r="D789" t="s">
        <v>0</v>
      </c>
      <c r="E789" t="s">
        <v>8</v>
      </c>
      <c r="F789">
        <v>5</v>
      </c>
      <c r="G789" s="204">
        <v>42736</v>
      </c>
      <c r="H789" s="204" t="e">
        <f t="shared" si="12"/>
        <v>#NUM!</v>
      </c>
    </row>
    <row r="790" spans="1:8" x14ac:dyDescent="0.35">
      <c r="A790">
        <v>0</v>
      </c>
      <c r="B790" t="s">
        <v>15</v>
      </c>
      <c r="C790" t="s">
        <v>31</v>
      </c>
      <c r="D790" t="s">
        <v>0</v>
      </c>
      <c r="E790" t="s">
        <v>8</v>
      </c>
      <c r="F790">
        <v>0</v>
      </c>
      <c r="G790" s="204">
        <v>42736</v>
      </c>
      <c r="H790" s="204" t="e">
        <f t="shared" si="12"/>
        <v>#NUM!</v>
      </c>
    </row>
    <row r="791" spans="1:8" x14ac:dyDescent="0.35">
      <c r="A791">
        <v>1</v>
      </c>
      <c r="B791" t="s">
        <v>16</v>
      </c>
      <c r="C791" t="s">
        <v>31</v>
      </c>
      <c r="D791" t="s">
        <v>0</v>
      </c>
      <c r="E791" t="s">
        <v>8</v>
      </c>
      <c r="F791">
        <v>1</v>
      </c>
      <c r="G791" s="204">
        <v>42736</v>
      </c>
      <c r="H791" s="204" t="e">
        <f t="shared" si="12"/>
        <v>#NUM!</v>
      </c>
    </row>
    <row r="792" spans="1:8" x14ac:dyDescent="0.35">
      <c r="A792">
        <v>0</v>
      </c>
      <c r="B792" t="s">
        <v>17</v>
      </c>
      <c r="C792" t="s">
        <v>31</v>
      </c>
      <c r="D792" t="s">
        <v>0</v>
      </c>
      <c r="E792" t="s">
        <v>8</v>
      </c>
      <c r="F792">
        <v>0</v>
      </c>
      <c r="G792" s="204">
        <v>42736</v>
      </c>
      <c r="H792" s="204" t="e">
        <f t="shared" si="12"/>
        <v>#NUM!</v>
      </c>
    </row>
    <row r="793" spans="1:8" x14ac:dyDescent="0.35">
      <c r="A793">
        <v>6</v>
      </c>
      <c r="B793" t="s">
        <v>18</v>
      </c>
      <c r="C793" t="s">
        <v>31</v>
      </c>
      <c r="D793" t="s">
        <v>0</v>
      </c>
      <c r="E793" t="s">
        <v>8</v>
      </c>
      <c r="F793">
        <v>6</v>
      </c>
      <c r="G793" s="204">
        <v>42736</v>
      </c>
      <c r="H793" s="204" t="e">
        <f t="shared" si="12"/>
        <v>#NUM!</v>
      </c>
    </row>
    <row r="794" spans="1:8" x14ac:dyDescent="0.35">
      <c r="A794">
        <v>1626</v>
      </c>
      <c r="B794" t="s">
        <v>10</v>
      </c>
      <c r="C794" t="s">
        <v>32</v>
      </c>
      <c r="D794" t="s">
        <v>0</v>
      </c>
      <c r="E794" t="s">
        <v>8</v>
      </c>
      <c r="F794">
        <v>1626</v>
      </c>
      <c r="G794" s="204">
        <v>42736</v>
      </c>
      <c r="H794" s="204" t="e">
        <f t="shared" si="12"/>
        <v>#NUM!</v>
      </c>
    </row>
    <row r="795" spans="1:8" x14ac:dyDescent="0.35">
      <c r="A795">
        <v>186</v>
      </c>
      <c r="B795" t="s">
        <v>11</v>
      </c>
      <c r="C795" t="s">
        <v>32</v>
      </c>
      <c r="D795" t="s">
        <v>0</v>
      </c>
      <c r="E795" t="s">
        <v>8</v>
      </c>
      <c r="F795">
        <v>186</v>
      </c>
      <c r="G795" s="204">
        <v>42736</v>
      </c>
      <c r="H795" s="204" t="e">
        <f t="shared" si="12"/>
        <v>#NUM!</v>
      </c>
    </row>
    <row r="796" spans="1:8" x14ac:dyDescent="0.35">
      <c r="A796">
        <v>167</v>
      </c>
      <c r="B796" t="s">
        <v>12</v>
      </c>
      <c r="C796" t="s">
        <v>32</v>
      </c>
      <c r="D796" t="s">
        <v>0</v>
      </c>
      <c r="E796" t="s">
        <v>8</v>
      </c>
      <c r="F796">
        <v>167</v>
      </c>
      <c r="G796" s="204">
        <v>42736</v>
      </c>
      <c r="H796" s="204" t="e">
        <f t="shared" si="12"/>
        <v>#NUM!</v>
      </c>
    </row>
    <row r="797" spans="1:8" x14ac:dyDescent="0.35">
      <c r="A797">
        <v>246</v>
      </c>
      <c r="B797" t="s">
        <v>13</v>
      </c>
      <c r="C797" t="s">
        <v>32</v>
      </c>
      <c r="D797" t="s">
        <v>0</v>
      </c>
      <c r="E797" t="s">
        <v>8</v>
      </c>
      <c r="F797">
        <v>246</v>
      </c>
      <c r="G797" s="204">
        <v>42736</v>
      </c>
      <c r="H797" s="204" t="e">
        <f t="shared" si="12"/>
        <v>#NUM!</v>
      </c>
    </row>
    <row r="798" spans="1:8" x14ac:dyDescent="0.35">
      <c r="A798">
        <v>266</v>
      </c>
      <c r="B798" t="s">
        <v>14</v>
      </c>
      <c r="C798" t="s">
        <v>32</v>
      </c>
      <c r="D798" t="s">
        <v>0</v>
      </c>
      <c r="E798" t="s">
        <v>8</v>
      </c>
      <c r="F798">
        <v>266</v>
      </c>
      <c r="G798" s="204">
        <v>42736</v>
      </c>
      <c r="H798" s="204" t="e">
        <f t="shared" si="12"/>
        <v>#NUM!</v>
      </c>
    </row>
    <row r="799" spans="1:8" x14ac:dyDescent="0.35">
      <c r="A799">
        <v>118</v>
      </c>
      <c r="B799" t="s">
        <v>15</v>
      </c>
      <c r="C799" t="s">
        <v>32</v>
      </c>
      <c r="D799" t="s">
        <v>0</v>
      </c>
      <c r="E799" t="s">
        <v>8</v>
      </c>
      <c r="F799">
        <v>118</v>
      </c>
      <c r="G799" s="204">
        <v>42736</v>
      </c>
      <c r="H799" s="204" t="e">
        <f t="shared" si="12"/>
        <v>#NUM!</v>
      </c>
    </row>
    <row r="800" spans="1:8" x14ac:dyDescent="0.35">
      <c r="A800">
        <v>89</v>
      </c>
      <c r="B800" t="s">
        <v>16</v>
      </c>
      <c r="C800" t="s">
        <v>32</v>
      </c>
      <c r="D800" t="s">
        <v>0</v>
      </c>
      <c r="E800" t="s">
        <v>8</v>
      </c>
      <c r="F800">
        <v>89</v>
      </c>
      <c r="G800" s="204">
        <v>42736</v>
      </c>
      <c r="H800" s="204" t="e">
        <f t="shared" si="12"/>
        <v>#NUM!</v>
      </c>
    </row>
    <row r="801" spans="1:8" x14ac:dyDescent="0.35">
      <c r="A801">
        <v>63</v>
      </c>
      <c r="B801" t="s">
        <v>17</v>
      </c>
      <c r="C801" t="s">
        <v>32</v>
      </c>
      <c r="D801" t="s">
        <v>0</v>
      </c>
      <c r="E801" t="s">
        <v>8</v>
      </c>
      <c r="F801">
        <v>63</v>
      </c>
      <c r="G801" s="204">
        <v>42736</v>
      </c>
      <c r="H801" s="204" t="e">
        <f t="shared" si="12"/>
        <v>#NUM!</v>
      </c>
    </row>
    <row r="802" spans="1:8" x14ac:dyDescent="0.35">
      <c r="A802">
        <v>243</v>
      </c>
      <c r="B802" t="s">
        <v>18</v>
      </c>
      <c r="C802" t="s">
        <v>32</v>
      </c>
      <c r="D802" t="s">
        <v>0</v>
      </c>
      <c r="E802" t="s">
        <v>8</v>
      </c>
      <c r="F802">
        <v>243</v>
      </c>
      <c r="G802" s="204">
        <v>42736</v>
      </c>
      <c r="H802" s="204" t="e">
        <f t="shared" si="12"/>
        <v>#NUM!</v>
      </c>
    </row>
    <row r="803" spans="1:8" x14ac:dyDescent="0.35">
      <c r="A803">
        <v>955</v>
      </c>
      <c r="B803" t="s">
        <v>10</v>
      </c>
      <c r="C803" t="s">
        <v>33</v>
      </c>
      <c r="D803" t="s">
        <v>0</v>
      </c>
      <c r="E803" t="s">
        <v>8</v>
      </c>
      <c r="F803">
        <v>955</v>
      </c>
      <c r="G803" s="204">
        <v>42736</v>
      </c>
      <c r="H803" s="204" t="e">
        <f t="shared" si="12"/>
        <v>#NUM!</v>
      </c>
    </row>
    <row r="804" spans="1:8" x14ac:dyDescent="0.35">
      <c r="A804">
        <v>56</v>
      </c>
      <c r="B804" t="s">
        <v>11</v>
      </c>
      <c r="C804" t="s">
        <v>33</v>
      </c>
      <c r="D804" t="s">
        <v>0</v>
      </c>
      <c r="E804" t="s">
        <v>8</v>
      </c>
      <c r="F804">
        <v>56</v>
      </c>
      <c r="G804" s="204">
        <v>42736</v>
      </c>
      <c r="H804" s="204" t="e">
        <f t="shared" si="12"/>
        <v>#NUM!</v>
      </c>
    </row>
    <row r="805" spans="1:8" x14ac:dyDescent="0.35">
      <c r="A805">
        <v>109</v>
      </c>
      <c r="B805" t="s">
        <v>12</v>
      </c>
      <c r="C805" t="s">
        <v>33</v>
      </c>
      <c r="D805" t="s">
        <v>0</v>
      </c>
      <c r="E805" t="s">
        <v>8</v>
      </c>
      <c r="F805">
        <v>109</v>
      </c>
      <c r="G805" s="204">
        <v>42736</v>
      </c>
      <c r="H805" s="204" t="e">
        <f t="shared" si="12"/>
        <v>#NUM!</v>
      </c>
    </row>
    <row r="806" spans="1:8" x14ac:dyDescent="0.35">
      <c r="A806">
        <v>154</v>
      </c>
      <c r="B806" t="s">
        <v>13</v>
      </c>
      <c r="C806" t="s">
        <v>33</v>
      </c>
      <c r="D806" t="s">
        <v>0</v>
      </c>
      <c r="E806" t="s">
        <v>8</v>
      </c>
      <c r="F806">
        <v>154</v>
      </c>
      <c r="G806" s="204">
        <v>42736</v>
      </c>
      <c r="H806" s="204" t="e">
        <f t="shared" si="12"/>
        <v>#NUM!</v>
      </c>
    </row>
    <row r="807" spans="1:8" x14ac:dyDescent="0.35">
      <c r="A807">
        <v>45</v>
      </c>
      <c r="B807" t="s">
        <v>14</v>
      </c>
      <c r="C807" t="s">
        <v>33</v>
      </c>
      <c r="D807" t="s">
        <v>0</v>
      </c>
      <c r="E807" t="s">
        <v>8</v>
      </c>
      <c r="F807">
        <v>45</v>
      </c>
      <c r="G807" s="204">
        <v>42736</v>
      </c>
      <c r="H807" s="204" t="e">
        <f t="shared" si="12"/>
        <v>#NUM!</v>
      </c>
    </row>
    <row r="808" spans="1:8" x14ac:dyDescent="0.35">
      <c r="A808">
        <v>65</v>
      </c>
      <c r="B808" t="s">
        <v>15</v>
      </c>
      <c r="C808" t="s">
        <v>33</v>
      </c>
      <c r="D808" t="s">
        <v>0</v>
      </c>
      <c r="E808" t="s">
        <v>8</v>
      </c>
      <c r="F808">
        <v>65</v>
      </c>
      <c r="G808" s="204">
        <v>42736</v>
      </c>
      <c r="H808" s="204" t="e">
        <f t="shared" si="12"/>
        <v>#NUM!</v>
      </c>
    </row>
    <row r="809" spans="1:8" x14ac:dyDescent="0.35">
      <c r="A809">
        <v>129</v>
      </c>
      <c r="B809" t="s">
        <v>16</v>
      </c>
      <c r="C809" t="s">
        <v>33</v>
      </c>
      <c r="D809" t="s">
        <v>0</v>
      </c>
      <c r="E809" t="s">
        <v>8</v>
      </c>
      <c r="F809">
        <v>129</v>
      </c>
      <c r="G809" s="204">
        <v>42736</v>
      </c>
      <c r="H809" s="204" t="e">
        <f t="shared" si="12"/>
        <v>#NUM!</v>
      </c>
    </row>
    <row r="810" spans="1:8" x14ac:dyDescent="0.35">
      <c r="A810">
        <v>62</v>
      </c>
      <c r="B810" t="s">
        <v>17</v>
      </c>
      <c r="C810" t="s">
        <v>33</v>
      </c>
      <c r="D810" t="s">
        <v>0</v>
      </c>
      <c r="E810" t="s">
        <v>8</v>
      </c>
      <c r="F810">
        <v>62</v>
      </c>
      <c r="G810" s="204">
        <v>42736</v>
      </c>
      <c r="H810" s="204" t="e">
        <f t="shared" si="12"/>
        <v>#NUM!</v>
      </c>
    </row>
    <row r="811" spans="1:8" x14ac:dyDescent="0.35">
      <c r="A811">
        <v>309</v>
      </c>
      <c r="B811" t="s">
        <v>18</v>
      </c>
      <c r="C811" t="s">
        <v>33</v>
      </c>
      <c r="D811" t="s">
        <v>0</v>
      </c>
      <c r="E811" t="s">
        <v>8</v>
      </c>
      <c r="F811">
        <v>309</v>
      </c>
      <c r="G811" s="204">
        <v>42736</v>
      </c>
      <c r="H811" s="204" t="e">
        <f t="shared" si="12"/>
        <v>#NUM!</v>
      </c>
    </row>
    <row r="812" spans="1:8" x14ac:dyDescent="0.35">
      <c r="A812">
        <v>255</v>
      </c>
      <c r="B812" t="s">
        <v>10</v>
      </c>
      <c r="C812" t="s">
        <v>34</v>
      </c>
      <c r="D812" t="s">
        <v>0</v>
      </c>
      <c r="E812" t="s">
        <v>8</v>
      </c>
      <c r="F812">
        <v>255</v>
      </c>
      <c r="G812" s="204">
        <v>42736</v>
      </c>
      <c r="H812" s="204" t="e">
        <f t="shared" si="12"/>
        <v>#NUM!</v>
      </c>
    </row>
    <row r="813" spans="1:8" x14ac:dyDescent="0.35">
      <c r="A813">
        <v>27</v>
      </c>
      <c r="B813" t="s">
        <v>11</v>
      </c>
      <c r="C813" t="s">
        <v>34</v>
      </c>
      <c r="D813" t="s">
        <v>0</v>
      </c>
      <c r="E813" t="s">
        <v>8</v>
      </c>
      <c r="F813">
        <v>27</v>
      </c>
      <c r="G813" s="204">
        <v>42736</v>
      </c>
      <c r="H813" s="204" t="e">
        <f t="shared" si="12"/>
        <v>#NUM!</v>
      </c>
    </row>
    <row r="814" spans="1:8" x14ac:dyDescent="0.35">
      <c r="A814">
        <v>143</v>
      </c>
      <c r="B814" t="s">
        <v>12</v>
      </c>
      <c r="C814" t="s">
        <v>34</v>
      </c>
      <c r="D814" t="s">
        <v>0</v>
      </c>
      <c r="E814" t="s">
        <v>8</v>
      </c>
      <c r="F814">
        <v>143</v>
      </c>
      <c r="G814" s="204">
        <v>42736</v>
      </c>
      <c r="H814" s="204" t="e">
        <f t="shared" si="12"/>
        <v>#NUM!</v>
      </c>
    </row>
    <row r="815" spans="1:8" x14ac:dyDescent="0.35">
      <c r="A815">
        <v>24</v>
      </c>
      <c r="B815" t="s">
        <v>13</v>
      </c>
      <c r="C815" t="s">
        <v>34</v>
      </c>
      <c r="D815" t="s">
        <v>0</v>
      </c>
      <c r="E815" t="s">
        <v>8</v>
      </c>
      <c r="F815">
        <v>24</v>
      </c>
      <c r="G815" s="204">
        <v>42736</v>
      </c>
      <c r="H815" s="204" t="e">
        <f t="shared" si="12"/>
        <v>#NUM!</v>
      </c>
    </row>
    <row r="816" spans="1:8" x14ac:dyDescent="0.35">
      <c r="A816">
        <v>16</v>
      </c>
      <c r="B816" t="s">
        <v>14</v>
      </c>
      <c r="C816" t="s">
        <v>34</v>
      </c>
      <c r="D816" t="s">
        <v>0</v>
      </c>
      <c r="E816" t="s">
        <v>8</v>
      </c>
      <c r="F816">
        <v>16</v>
      </c>
      <c r="G816" s="204">
        <v>42736</v>
      </c>
      <c r="H816" s="204" t="e">
        <f t="shared" si="12"/>
        <v>#NUM!</v>
      </c>
    </row>
    <row r="817" spans="1:8" x14ac:dyDescent="0.35">
      <c r="A817">
        <v>24</v>
      </c>
      <c r="B817" t="s">
        <v>15</v>
      </c>
      <c r="C817" t="s">
        <v>34</v>
      </c>
      <c r="D817" t="s">
        <v>0</v>
      </c>
      <c r="E817" t="s">
        <v>8</v>
      </c>
      <c r="F817">
        <v>24</v>
      </c>
      <c r="G817" s="204">
        <v>42736</v>
      </c>
      <c r="H817" s="204" t="e">
        <f t="shared" si="12"/>
        <v>#NUM!</v>
      </c>
    </row>
    <row r="818" spans="1:8" x14ac:dyDescent="0.35">
      <c r="A818">
        <v>11</v>
      </c>
      <c r="B818" t="s">
        <v>16</v>
      </c>
      <c r="C818" t="s">
        <v>34</v>
      </c>
      <c r="D818" t="s">
        <v>0</v>
      </c>
      <c r="E818" t="s">
        <v>8</v>
      </c>
      <c r="F818">
        <v>11</v>
      </c>
      <c r="G818" s="204">
        <v>42736</v>
      </c>
      <c r="H818" s="204" t="e">
        <f t="shared" si="12"/>
        <v>#NUM!</v>
      </c>
    </row>
    <row r="819" spans="1:8" x14ac:dyDescent="0.35">
      <c r="A819">
        <v>49</v>
      </c>
      <c r="B819" t="s">
        <v>17</v>
      </c>
      <c r="C819" t="s">
        <v>34</v>
      </c>
      <c r="D819" t="s">
        <v>0</v>
      </c>
      <c r="E819" t="s">
        <v>8</v>
      </c>
      <c r="F819">
        <v>49</v>
      </c>
      <c r="G819" s="204">
        <v>42736</v>
      </c>
      <c r="H819" s="204" t="e">
        <f t="shared" si="12"/>
        <v>#NUM!</v>
      </c>
    </row>
    <row r="820" spans="1:8" x14ac:dyDescent="0.35">
      <c r="A820">
        <v>42</v>
      </c>
      <c r="B820" t="s">
        <v>18</v>
      </c>
      <c r="C820" t="s">
        <v>34</v>
      </c>
      <c r="D820" t="s">
        <v>0</v>
      </c>
      <c r="E820" t="s">
        <v>8</v>
      </c>
      <c r="F820">
        <v>42</v>
      </c>
      <c r="G820" s="204">
        <v>42736</v>
      </c>
      <c r="H820" s="204" t="e">
        <f t="shared" si="12"/>
        <v>#NUM!</v>
      </c>
    </row>
  </sheetData>
  <autoFilter ref="A1:W820" xr:uid="{25DFDE8A-A092-4524-8128-A58515B9D4B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B838-C364-4C87-A000-60C836E3FAFB}">
  <sheetPr codeName="Sheet2"/>
  <dimension ref="A1:S820"/>
  <sheetViews>
    <sheetView tabSelected="1" workbookViewId="0">
      <selection activeCell="T33" sqref="T33"/>
    </sheetView>
  </sheetViews>
  <sheetFormatPr defaultRowHeight="14.5" x14ac:dyDescent="0.35"/>
  <sheetData>
    <row r="1" spans="1:19" x14ac:dyDescent="0.35">
      <c r="A1" t="s">
        <v>9</v>
      </c>
      <c r="B1" t="s">
        <v>10</v>
      </c>
      <c r="C1" t="s">
        <v>11</v>
      </c>
      <c r="D1" t="s">
        <v>12</v>
      </c>
      <c r="E1" t="s">
        <v>13</v>
      </c>
      <c r="F1" t="s">
        <v>14</v>
      </c>
      <c r="G1" t="s">
        <v>15</v>
      </c>
      <c r="H1" t="s">
        <v>16</v>
      </c>
      <c r="I1" t="s">
        <v>17</v>
      </c>
      <c r="J1" t="s">
        <v>18</v>
      </c>
    </row>
    <row r="2" spans="1:19" x14ac:dyDescent="0.35">
      <c r="A2" t="s">
        <v>22</v>
      </c>
      <c r="B2">
        <v>101</v>
      </c>
      <c r="C2">
        <v>1</v>
      </c>
      <c r="D2">
        <v>4</v>
      </c>
      <c r="E2">
        <v>9</v>
      </c>
      <c r="F2">
        <v>1</v>
      </c>
      <c r="G2">
        <v>1</v>
      </c>
      <c r="H2">
        <v>0</v>
      </c>
      <c r="I2">
        <v>4</v>
      </c>
      <c r="J2">
        <v>6</v>
      </c>
      <c r="K2" t="s">
        <v>6</v>
      </c>
      <c r="L2" t="s">
        <v>7</v>
      </c>
      <c r="O2">
        <v>101</v>
      </c>
      <c r="P2" t="str" cm="1">
        <f t="array" ref="P2:P10">TRANSPOSE(B1:J1)</f>
        <v>Brisbane</v>
      </c>
      <c r="Q2" t="s">
        <v>22</v>
      </c>
      <c r="R2" t="s">
        <v>6</v>
      </c>
      <c r="S2" t="s">
        <v>7</v>
      </c>
    </row>
    <row r="3" spans="1:19" x14ac:dyDescent="0.35">
      <c r="A3" t="s">
        <v>23</v>
      </c>
      <c r="B3">
        <v>100</v>
      </c>
      <c r="C3">
        <v>0</v>
      </c>
      <c r="D3">
        <v>0</v>
      </c>
      <c r="E3">
        <v>10</v>
      </c>
      <c r="F3">
        <v>1</v>
      </c>
      <c r="G3">
        <v>5</v>
      </c>
      <c r="H3">
        <v>0</v>
      </c>
      <c r="I3">
        <v>1</v>
      </c>
      <c r="J3">
        <v>2</v>
      </c>
      <c r="K3" t="s">
        <v>6</v>
      </c>
      <c r="L3" t="s">
        <v>7</v>
      </c>
      <c r="O3">
        <v>1</v>
      </c>
      <c r="P3" t="str">
        <v>Beenleigh</v>
      </c>
      <c r="Q3" t="s">
        <v>22</v>
      </c>
      <c r="R3" t="s">
        <v>6</v>
      </c>
      <c r="S3" t="s">
        <v>7</v>
      </c>
    </row>
    <row r="4" spans="1:19" x14ac:dyDescent="0.35">
      <c r="A4" t="s">
        <v>24</v>
      </c>
      <c r="B4">
        <v>17</v>
      </c>
      <c r="C4">
        <v>0</v>
      </c>
      <c r="D4">
        <v>1</v>
      </c>
      <c r="E4">
        <v>0</v>
      </c>
      <c r="F4">
        <v>0</v>
      </c>
      <c r="G4">
        <v>1</v>
      </c>
      <c r="H4">
        <v>1</v>
      </c>
      <c r="I4">
        <v>0</v>
      </c>
      <c r="J4">
        <v>4</v>
      </c>
      <c r="K4" t="s">
        <v>6</v>
      </c>
      <c r="L4" t="s">
        <v>7</v>
      </c>
      <c r="O4">
        <v>4</v>
      </c>
      <c r="P4" t="str">
        <v>Cairns</v>
      </c>
      <c r="Q4" t="s">
        <v>22</v>
      </c>
      <c r="R4" t="s">
        <v>6</v>
      </c>
      <c r="S4" t="s">
        <v>7</v>
      </c>
    </row>
    <row r="5" spans="1:19" x14ac:dyDescent="0.35">
      <c r="A5" t="s">
        <v>25</v>
      </c>
      <c r="B5">
        <v>15</v>
      </c>
      <c r="C5">
        <v>3</v>
      </c>
      <c r="D5">
        <v>3</v>
      </c>
      <c r="E5">
        <v>3</v>
      </c>
      <c r="F5">
        <v>7</v>
      </c>
      <c r="G5">
        <v>9</v>
      </c>
      <c r="H5">
        <v>1</v>
      </c>
      <c r="I5">
        <v>2</v>
      </c>
      <c r="J5">
        <v>3</v>
      </c>
      <c r="K5" t="s">
        <v>6</v>
      </c>
      <c r="L5" t="s">
        <v>7</v>
      </c>
      <c r="O5">
        <v>9</v>
      </c>
      <c r="P5" t="str">
        <v>Ipswich</v>
      </c>
      <c r="Q5" t="s">
        <v>22</v>
      </c>
      <c r="R5" t="s">
        <v>6</v>
      </c>
      <c r="S5" t="s">
        <v>7</v>
      </c>
    </row>
    <row r="6" spans="1:19" x14ac:dyDescent="0.35">
      <c r="A6" t="s">
        <v>26</v>
      </c>
      <c r="B6">
        <v>3</v>
      </c>
      <c r="C6">
        <v>0</v>
      </c>
      <c r="D6">
        <v>0</v>
      </c>
      <c r="E6">
        <v>0</v>
      </c>
      <c r="F6">
        <v>0</v>
      </c>
      <c r="G6">
        <v>0</v>
      </c>
      <c r="H6">
        <v>0</v>
      </c>
      <c r="I6">
        <v>0</v>
      </c>
      <c r="J6">
        <v>0</v>
      </c>
      <c r="K6" t="s">
        <v>6</v>
      </c>
      <c r="L6" t="s">
        <v>7</v>
      </c>
      <c r="O6">
        <v>1</v>
      </c>
      <c r="P6" t="str">
        <v>Maroochy</v>
      </c>
      <c r="Q6" t="s">
        <v>22</v>
      </c>
      <c r="R6" t="s">
        <v>6</v>
      </c>
      <c r="S6" t="s">
        <v>7</v>
      </c>
    </row>
    <row r="7" spans="1:19" x14ac:dyDescent="0.35">
      <c r="A7" t="s">
        <v>27</v>
      </c>
      <c r="B7">
        <v>12</v>
      </c>
      <c r="C7">
        <v>3</v>
      </c>
      <c r="D7">
        <v>1</v>
      </c>
      <c r="E7">
        <v>2</v>
      </c>
      <c r="F7">
        <v>0</v>
      </c>
      <c r="G7">
        <v>0</v>
      </c>
      <c r="H7">
        <v>0</v>
      </c>
      <c r="I7">
        <v>2</v>
      </c>
      <c r="J7">
        <v>1</v>
      </c>
      <c r="K7" t="s">
        <v>6</v>
      </c>
      <c r="L7" t="s">
        <v>7</v>
      </c>
      <c r="O7">
        <v>1</v>
      </c>
      <c r="P7" t="str">
        <v>Rockhampton</v>
      </c>
      <c r="Q7" t="s">
        <v>22</v>
      </c>
      <c r="R7" t="s">
        <v>6</v>
      </c>
      <c r="S7" t="s">
        <v>7</v>
      </c>
    </row>
    <row r="8" spans="1:19" x14ac:dyDescent="0.35">
      <c r="A8" t="s">
        <v>28</v>
      </c>
      <c r="B8">
        <v>1664</v>
      </c>
      <c r="C8">
        <v>124</v>
      </c>
      <c r="D8">
        <v>94</v>
      </c>
      <c r="E8">
        <v>178</v>
      </c>
      <c r="F8">
        <v>120</v>
      </c>
      <c r="G8">
        <v>103</v>
      </c>
      <c r="H8">
        <v>153</v>
      </c>
      <c r="I8">
        <v>229</v>
      </c>
      <c r="J8">
        <v>126</v>
      </c>
      <c r="K8" t="s">
        <v>6</v>
      </c>
      <c r="L8" t="s">
        <v>8</v>
      </c>
      <c r="O8">
        <v>0</v>
      </c>
      <c r="P8" t="str">
        <v>Southport</v>
      </c>
      <c r="Q8" t="s">
        <v>22</v>
      </c>
      <c r="R8" t="s">
        <v>6</v>
      </c>
      <c r="S8" t="s">
        <v>7</v>
      </c>
    </row>
    <row r="9" spans="1:19" x14ac:dyDescent="0.35">
      <c r="A9" t="s">
        <v>29</v>
      </c>
      <c r="B9">
        <v>374</v>
      </c>
      <c r="C9">
        <v>53</v>
      </c>
      <c r="D9">
        <v>74</v>
      </c>
      <c r="E9">
        <v>37</v>
      </c>
      <c r="F9">
        <v>17</v>
      </c>
      <c r="G9">
        <v>25</v>
      </c>
      <c r="H9">
        <v>53</v>
      </c>
      <c r="I9">
        <v>25</v>
      </c>
      <c r="J9">
        <v>34</v>
      </c>
      <c r="K9" t="s">
        <v>6</v>
      </c>
      <c r="L9" t="s">
        <v>8</v>
      </c>
      <c r="O9">
        <v>4</v>
      </c>
      <c r="P9" t="str">
        <v>Toowoomba</v>
      </c>
      <c r="Q9" t="s">
        <v>22</v>
      </c>
      <c r="R9" t="s">
        <v>6</v>
      </c>
      <c r="S9" t="s">
        <v>7</v>
      </c>
    </row>
    <row r="10" spans="1:19" x14ac:dyDescent="0.35">
      <c r="A10" t="s">
        <v>30</v>
      </c>
      <c r="B10">
        <v>88</v>
      </c>
      <c r="C10">
        <v>6</v>
      </c>
      <c r="D10">
        <v>4</v>
      </c>
      <c r="E10">
        <v>12</v>
      </c>
      <c r="F10">
        <v>15</v>
      </c>
      <c r="G10">
        <v>9</v>
      </c>
      <c r="H10">
        <v>23</v>
      </c>
      <c r="I10">
        <v>6</v>
      </c>
      <c r="J10">
        <v>16</v>
      </c>
      <c r="K10" t="s">
        <v>6</v>
      </c>
      <c r="L10" t="s">
        <v>8</v>
      </c>
      <c r="O10">
        <v>6</v>
      </c>
      <c r="P10" t="str">
        <v>Townsville</v>
      </c>
      <c r="Q10" t="s">
        <v>22</v>
      </c>
      <c r="R10" t="s">
        <v>6</v>
      </c>
      <c r="S10" t="s">
        <v>7</v>
      </c>
    </row>
    <row r="11" spans="1:19" x14ac:dyDescent="0.35">
      <c r="A11" t="s">
        <v>31</v>
      </c>
      <c r="B11">
        <v>5</v>
      </c>
      <c r="C11">
        <v>9</v>
      </c>
      <c r="D11">
        <v>0</v>
      </c>
      <c r="E11">
        <v>0</v>
      </c>
      <c r="F11">
        <v>1</v>
      </c>
      <c r="G11">
        <v>0</v>
      </c>
      <c r="H11">
        <v>3</v>
      </c>
      <c r="I11">
        <v>0</v>
      </c>
      <c r="J11">
        <v>1</v>
      </c>
      <c r="K11" t="s">
        <v>6</v>
      </c>
      <c r="L11" t="s">
        <v>8</v>
      </c>
      <c r="O11">
        <v>100</v>
      </c>
      <c r="P11" t="str" cm="1">
        <f t="array" ref="P11:P19">TRANSPOSE(B1:J1)</f>
        <v>Brisbane</v>
      </c>
      <c r="Q11" t="s">
        <v>23</v>
      </c>
      <c r="R11" t="s">
        <v>6</v>
      </c>
      <c r="S11" t="s">
        <v>7</v>
      </c>
    </row>
    <row r="12" spans="1:19" x14ac:dyDescent="0.35">
      <c r="A12" t="s">
        <v>32</v>
      </c>
      <c r="B12">
        <v>1833</v>
      </c>
      <c r="C12">
        <v>288</v>
      </c>
      <c r="D12">
        <v>205</v>
      </c>
      <c r="E12">
        <v>258</v>
      </c>
      <c r="F12">
        <v>258</v>
      </c>
      <c r="G12">
        <v>187</v>
      </c>
      <c r="H12">
        <v>258</v>
      </c>
      <c r="I12">
        <v>204</v>
      </c>
      <c r="J12">
        <v>246</v>
      </c>
      <c r="K12" t="s">
        <v>6</v>
      </c>
      <c r="L12" t="s">
        <v>8</v>
      </c>
      <c r="O12">
        <v>0</v>
      </c>
      <c r="P12" t="str">
        <v>Beenleigh</v>
      </c>
      <c r="Q12" t="s">
        <v>23</v>
      </c>
      <c r="R12" t="s">
        <v>6</v>
      </c>
      <c r="S12" t="s">
        <v>7</v>
      </c>
    </row>
    <row r="13" spans="1:19" x14ac:dyDescent="0.35">
      <c r="A13" t="s">
        <v>33</v>
      </c>
      <c r="B13">
        <v>462</v>
      </c>
      <c r="C13">
        <v>20</v>
      </c>
      <c r="D13">
        <v>139</v>
      </c>
      <c r="E13">
        <v>44</v>
      </c>
      <c r="F13">
        <v>65</v>
      </c>
      <c r="G13">
        <v>62</v>
      </c>
      <c r="H13">
        <v>55</v>
      </c>
      <c r="I13">
        <v>20</v>
      </c>
      <c r="J13">
        <v>110</v>
      </c>
      <c r="K13" t="s">
        <v>6</v>
      </c>
      <c r="L13" t="s">
        <v>8</v>
      </c>
      <c r="O13">
        <v>0</v>
      </c>
      <c r="P13" t="str">
        <v>Cairns</v>
      </c>
      <c r="Q13" t="s">
        <v>23</v>
      </c>
      <c r="R13" t="s">
        <v>6</v>
      </c>
      <c r="S13" t="s">
        <v>7</v>
      </c>
    </row>
    <row r="14" spans="1:19" x14ac:dyDescent="0.35">
      <c r="A14" t="s">
        <v>34</v>
      </c>
      <c r="B14">
        <v>402</v>
      </c>
      <c r="C14">
        <v>38</v>
      </c>
      <c r="D14">
        <v>54</v>
      </c>
      <c r="E14">
        <v>45</v>
      </c>
      <c r="F14">
        <v>8</v>
      </c>
      <c r="G14">
        <v>78</v>
      </c>
      <c r="H14">
        <v>29</v>
      </c>
      <c r="I14">
        <v>110</v>
      </c>
      <c r="J14">
        <v>22</v>
      </c>
      <c r="K14" t="s">
        <v>6</v>
      </c>
      <c r="L14" t="s">
        <v>8</v>
      </c>
      <c r="O14">
        <v>10</v>
      </c>
      <c r="P14" t="str">
        <v>Ipswich</v>
      </c>
      <c r="Q14" t="s">
        <v>23</v>
      </c>
      <c r="R14" t="s">
        <v>6</v>
      </c>
      <c r="S14" t="s">
        <v>7</v>
      </c>
    </row>
    <row r="15" spans="1:19" x14ac:dyDescent="0.35">
      <c r="A15" t="s">
        <v>22</v>
      </c>
      <c r="B15">
        <v>87</v>
      </c>
      <c r="C15">
        <v>2</v>
      </c>
      <c r="D15">
        <v>3</v>
      </c>
      <c r="E15">
        <v>7</v>
      </c>
      <c r="F15">
        <v>4</v>
      </c>
      <c r="G15">
        <v>5</v>
      </c>
      <c r="H15">
        <v>5</v>
      </c>
      <c r="I15">
        <v>1</v>
      </c>
      <c r="J15">
        <v>3</v>
      </c>
      <c r="K15" t="s">
        <v>5</v>
      </c>
      <c r="L15" t="s">
        <v>7</v>
      </c>
      <c r="O15">
        <v>1</v>
      </c>
      <c r="P15" t="str">
        <v>Maroochy</v>
      </c>
      <c r="Q15" t="s">
        <v>23</v>
      </c>
      <c r="R15" t="s">
        <v>6</v>
      </c>
      <c r="S15" t="s">
        <v>7</v>
      </c>
    </row>
    <row r="16" spans="1:19" x14ac:dyDescent="0.35">
      <c r="A16" t="s">
        <v>23</v>
      </c>
      <c r="B16">
        <v>56</v>
      </c>
      <c r="C16">
        <v>0</v>
      </c>
      <c r="D16">
        <v>0</v>
      </c>
      <c r="E16">
        <v>4</v>
      </c>
      <c r="F16">
        <v>0</v>
      </c>
      <c r="G16">
        <v>4</v>
      </c>
      <c r="H16">
        <v>0</v>
      </c>
      <c r="I16">
        <v>0</v>
      </c>
      <c r="J16">
        <v>0</v>
      </c>
      <c r="K16" t="s">
        <v>5</v>
      </c>
      <c r="L16" t="s">
        <v>7</v>
      </c>
      <c r="O16">
        <v>5</v>
      </c>
      <c r="P16" t="str">
        <v>Rockhampton</v>
      </c>
      <c r="Q16" t="s">
        <v>23</v>
      </c>
      <c r="R16" t="s">
        <v>6</v>
      </c>
      <c r="S16" t="s">
        <v>7</v>
      </c>
    </row>
    <row r="17" spans="1:19" x14ac:dyDescent="0.35">
      <c r="A17" t="s">
        <v>24</v>
      </c>
      <c r="B17">
        <v>21</v>
      </c>
      <c r="C17">
        <v>0</v>
      </c>
      <c r="D17">
        <v>3</v>
      </c>
      <c r="E17">
        <v>1</v>
      </c>
      <c r="F17">
        <v>0</v>
      </c>
      <c r="G17">
        <v>0</v>
      </c>
      <c r="H17">
        <v>1</v>
      </c>
      <c r="I17">
        <v>0</v>
      </c>
      <c r="J17">
        <v>2</v>
      </c>
      <c r="K17" t="s">
        <v>5</v>
      </c>
      <c r="L17" t="s">
        <v>7</v>
      </c>
      <c r="O17">
        <v>0</v>
      </c>
      <c r="P17" t="str">
        <v>Southport</v>
      </c>
      <c r="Q17" t="s">
        <v>23</v>
      </c>
      <c r="R17" t="s">
        <v>6</v>
      </c>
      <c r="S17" t="s">
        <v>7</v>
      </c>
    </row>
    <row r="18" spans="1:19" x14ac:dyDescent="0.35">
      <c r="A18" t="s">
        <v>25</v>
      </c>
      <c r="B18">
        <v>16</v>
      </c>
      <c r="C18">
        <v>5</v>
      </c>
      <c r="D18">
        <v>3</v>
      </c>
      <c r="E18">
        <v>3</v>
      </c>
      <c r="F18">
        <v>2</v>
      </c>
      <c r="G18">
        <v>11</v>
      </c>
      <c r="H18">
        <v>1</v>
      </c>
      <c r="I18">
        <v>3</v>
      </c>
      <c r="J18">
        <v>6</v>
      </c>
      <c r="K18" t="s">
        <v>5</v>
      </c>
      <c r="L18" t="s">
        <v>7</v>
      </c>
      <c r="O18">
        <v>1</v>
      </c>
      <c r="P18" t="str">
        <v>Toowoomba</v>
      </c>
      <c r="Q18" t="s">
        <v>23</v>
      </c>
      <c r="R18" t="s">
        <v>6</v>
      </c>
      <c r="S18" t="s">
        <v>7</v>
      </c>
    </row>
    <row r="19" spans="1:19" x14ac:dyDescent="0.35">
      <c r="A19" t="s">
        <v>26</v>
      </c>
      <c r="B19">
        <v>4</v>
      </c>
      <c r="C19">
        <v>0</v>
      </c>
      <c r="D19">
        <v>0</v>
      </c>
      <c r="E19">
        <v>0</v>
      </c>
      <c r="F19">
        <v>0</v>
      </c>
      <c r="G19">
        <v>0</v>
      </c>
      <c r="H19">
        <v>0</v>
      </c>
      <c r="I19">
        <v>0</v>
      </c>
      <c r="J19">
        <v>0</v>
      </c>
      <c r="K19" t="s">
        <v>5</v>
      </c>
      <c r="L19" t="s">
        <v>7</v>
      </c>
      <c r="O19">
        <v>2</v>
      </c>
      <c r="P19" t="str">
        <v>Townsville</v>
      </c>
      <c r="Q19" t="s">
        <v>23</v>
      </c>
      <c r="R19" t="s">
        <v>6</v>
      </c>
      <c r="S19" t="s">
        <v>7</v>
      </c>
    </row>
    <row r="20" spans="1:19" x14ac:dyDescent="0.35">
      <c r="A20" t="s">
        <v>27</v>
      </c>
      <c r="B20">
        <v>18</v>
      </c>
      <c r="C20">
        <v>1</v>
      </c>
      <c r="D20">
        <v>0</v>
      </c>
      <c r="E20">
        <v>0</v>
      </c>
      <c r="F20">
        <v>1</v>
      </c>
      <c r="G20">
        <v>0</v>
      </c>
      <c r="H20">
        <v>0</v>
      </c>
      <c r="I20">
        <v>0</v>
      </c>
      <c r="J20">
        <v>0</v>
      </c>
      <c r="K20" t="s">
        <v>5</v>
      </c>
      <c r="L20" t="s">
        <v>7</v>
      </c>
      <c r="O20">
        <v>17</v>
      </c>
      <c r="P20" t="str" cm="1">
        <f t="array" ref="P20:P28">TRANSPOSE(B1:J1)</f>
        <v>Brisbane</v>
      </c>
      <c r="Q20" t="s">
        <v>24</v>
      </c>
      <c r="R20" t="s">
        <v>6</v>
      </c>
      <c r="S20" t="s">
        <v>7</v>
      </c>
    </row>
    <row r="21" spans="1:19" x14ac:dyDescent="0.35">
      <c r="A21" t="s">
        <v>28</v>
      </c>
      <c r="B21">
        <v>949</v>
      </c>
      <c r="C21">
        <v>137</v>
      </c>
      <c r="D21">
        <v>133</v>
      </c>
      <c r="E21">
        <v>173</v>
      </c>
      <c r="F21">
        <v>92</v>
      </c>
      <c r="G21">
        <v>109</v>
      </c>
      <c r="H21">
        <v>119</v>
      </c>
      <c r="I21">
        <v>71</v>
      </c>
      <c r="J21">
        <v>146</v>
      </c>
      <c r="K21" t="s">
        <v>5</v>
      </c>
      <c r="L21" t="s">
        <v>8</v>
      </c>
      <c r="O21">
        <v>0</v>
      </c>
      <c r="P21" t="str">
        <v>Beenleigh</v>
      </c>
      <c r="Q21" t="s">
        <v>24</v>
      </c>
      <c r="R21" t="s">
        <v>6</v>
      </c>
      <c r="S21" t="s">
        <v>7</v>
      </c>
    </row>
    <row r="22" spans="1:19" x14ac:dyDescent="0.35">
      <c r="A22" t="s">
        <v>29</v>
      </c>
      <c r="B22">
        <v>352</v>
      </c>
      <c r="C22">
        <v>34</v>
      </c>
      <c r="D22">
        <v>34</v>
      </c>
      <c r="E22">
        <v>48</v>
      </c>
      <c r="F22">
        <v>19</v>
      </c>
      <c r="G22">
        <v>32</v>
      </c>
      <c r="H22">
        <v>64</v>
      </c>
      <c r="I22">
        <v>22</v>
      </c>
      <c r="J22">
        <v>45</v>
      </c>
      <c r="K22" t="s">
        <v>5</v>
      </c>
      <c r="L22" t="s">
        <v>8</v>
      </c>
      <c r="O22">
        <v>1</v>
      </c>
      <c r="P22" t="str">
        <v>Cairns</v>
      </c>
      <c r="Q22" t="s">
        <v>24</v>
      </c>
      <c r="R22" t="s">
        <v>6</v>
      </c>
      <c r="S22" t="s">
        <v>7</v>
      </c>
    </row>
    <row r="23" spans="1:19" x14ac:dyDescent="0.35">
      <c r="A23" t="s">
        <v>30</v>
      </c>
      <c r="B23">
        <v>51</v>
      </c>
      <c r="C23">
        <v>21</v>
      </c>
      <c r="D23">
        <v>10</v>
      </c>
      <c r="E23">
        <v>7</v>
      </c>
      <c r="F23">
        <v>9</v>
      </c>
      <c r="G23">
        <v>18</v>
      </c>
      <c r="H23">
        <v>11</v>
      </c>
      <c r="I23">
        <v>13</v>
      </c>
      <c r="J23">
        <v>17</v>
      </c>
      <c r="K23" t="s">
        <v>5</v>
      </c>
      <c r="L23" t="s">
        <v>8</v>
      </c>
      <c r="O23">
        <v>0</v>
      </c>
      <c r="P23" t="str">
        <v>Ipswich</v>
      </c>
      <c r="Q23" t="s">
        <v>24</v>
      </c>
      <c r="R23" t="s">
        <v>6</v>
      </c>
      <c r="S23" t="s">
        <v>7</v>
      </c>
    </row>
    <row r="24" spans="1:19" x14ac:dyDescent="0.35">
      <c r="A24" t="s">
        <v>31</v>
      </c>
      <c r="B24">
        <v>15</v>
      </c>
      <c r="C24">
        <v>5</v>
      </c>
      <c r="D24">
        <v>7</v>
      </c>
      <c r="E24">
        <v>0</v>
      </c>
      <c r="F24">
        <v>0</v>
      </c>
      <c r="G24">
        <v>0</v>
      </c>
      <c r="H24">
        <v>0</v>
      </c>
      <c r="I24">
        <v>1</v>
      </c>
      <c r="J24">
        <v>0</v>
      </c>
      <c r="K24" t="s">
        <v>5</v>
      </c>
      <c r="L24" t="s">
        <v>8</v>
      </c>
      <c r="O24">
        <v>0</v>
      </c>
      <c r="P24" t="str">
        <v>Maroochy</v>
      </c>
      <c r="Q24" t="s">
        <v>24</v>
      </c>
      <c r="R24" t="s">
        <v>6</v>
      </c>
      <c r="S24" t="s">
        <v>7</v>
      </c>
    </row>
    <row r="25" spans="1:19" x14ac:dyDescent="0.35">
      <c r="A25" t="s">
        <v>32</v>
      </c>
      <c r="B25">
        <v>1293</v>
      </c>
      <c r="C25">
        <v>336</v>
      </c>
      <c r="D25">
        <v>205</v>
      </c>
      <c r="E25">
        <v>265</v>
      </c>
      <c r="F25">
        <v>239</v>
      </c>
      <c r="G25">
        <v>199</v>
      </c>
      <c r="H25">
        <v>234</v>
      </c>
      <c r="I25">
        <v>121</v>
      </c>
      <c r="J25">
        <v>346</v>
      </c>
      <c r="K25" t="s">
        <v>5</v>
      </c>
      <c r="L25" t="s">
        <v>8</v>
      </c>
      <c r="O25">
        <v>1</v>
      </c>
      <c r="P25" t="str">
        <v>Rockhampton</v>
      </c>
      <c r="Q25" t="s">
        <v>24</v>
      </c>
      <c r="R25" t="s">
        <v>6</v>
      </c>
      <c r="S25" t="s">
        <v>7</v>
      </c>
    </row>
    <row r="26" spans="1:19" x14ac:dyDescent="0.35">
      <c r="A26" t="s">
        <v>33</v>
      </c>
      <c r="B26">
        <v>539</v>
      </c>
      <c r="C26">
        <v>72</v>
      </c>
      <c r="D26">
        <v>81</v>
      </c>
      <c r="E26">
        <v>40</v>
      </c>
      <c r="F26">
        <v>98</v>
      </c>
      <c r="G26">
        <v>91</v>
      </c>
      <c r="H26">
        <v>56</v>
      </c>
      <c r="I26">
        <v>187</v>
      </c>
      <c r="J26">
        <v>148</v>
      </c>
      <c r="K26" t="s">
        <v>5</v>
      </c>
      <c r="L26" t="s">
        <v>8</v>
      </c>
      <c r="O26">
        <v>1</v>
      </c>
      <c r="P26" t="str">
        <v>Southport</v>
      </c>
      <c r="Q26" t="s">
        <v>24</v>
      </c>
      <c r="R26" t="s">
        <v>6</v>
      </c>
      <c r="S26" t="s">
        <v>7</v>
      </c>
    </row>
    <row r="27" spans="1:19" x14ac:dyDescent="0.35">
      <c r="A27" t="s">
        <v>34</v>
      </c>
      <c r="B27">
        <v>415</v>
      </c>
      <c r="C27">
        <v>15</v>
      </c>
      <c r="D27">
        <v>53</v>
      </c>
      <c r="E27">
        <v>47</v>
      </c>
      <c r="F27">
        <v>82</v>
      </c>
      <c r="G27">
        <v>32</v>
      </c>
      <c r="H27">
        <v>74</v>
      </c>
      <c r="I27">
        <v>8</v>
      </c>
      <c r="J27">
        <v>64</v>
      </c>
      <c r="K27" t="s">
        <v>5</v>
      </c>
      <c r="L27" t="s">
        <v>8</v>
      </c>
      <c r="O27">
        <v>0</v>
      </c>
      <c r="P27" t="str">
        <v>Toowoomba</v>
      </c>
      <c r="Q27" t="s">
        <v>24</v>
      </c>
      <c r="R27" t="s">
        <v>6</v>
      </c>
      <c r="S27" t="s">
        <v>7</v>
      </c>
    </row>
    <row r="28" spans="1:19" x14ac:dyDescent="0.35">
      <c r="A28" t="s">
        <v>22</v>
      </c>
      <c r="B28">
        <v>83</v>
      </c>
      <c r="C28">
        <v>0</v>
      </c>
      <c r="D28">
        <v>8</v>
      </c>
      <c r="E28">
        <v>4</v>
      </c>
      <c r="F28">
        <v>0</v>
      </c>
      <c r="G28">
        <v>3</v>
      </c>
      <c r="H28">
        <v>3</v>
      </c>
      <c r="I28">
        <v>0</v>
      </c>
      <c r="J28">
        <v>1</v>
      </c>
      <c r="K28" t="s">
        <v>4</v>
      </c>
      <c r="L28" t="s">
        <v>7</v>
      </c>
      <c r="O28">
        <v>4</v>
      </c>
      <c r="P28" t="str">
        <v>Townsville</v>
      </c>
      <c r="Q28" t="s">
        <v>24</v>
      </c>
      <c r="R28" t="s">
        <v>6</v>
      </c>
      <c r="S28" t="s">
        <v>7</v>
      </c>
    </row>
    <row r="29" spans="1:19" x14ac:dyDescent="0.35">
      <c r="A29" t="s">
        <v>23</v>
      </c>
      <c r="B29">
        <v>47</v>
      </c>
      <c r="C29">
        <v>0</v>
      </c>
      <c r="D29">
        <v>1</v>
      </c>
      <c r="E29">
        <v>2</v>
      </c>
      <c r="F29">
        <v>0</v>
      </c>
      <c r="G29">
        <v>1</v>
      </c>
      <c r="H29">
        <v>0</v>
      </c>
      <c r="I29">
        <v>0</v>
      </c>
      <c r="J29">
        <v>3</v>
      </c>
      <c r="K29" t="s">
        <v>4</v>
      </c>
      <c r="L29" t="s">
        <v>7</v>
      </c>
      <c r="O29">
        <v>15</v>
      </c>
      <c r="P29" t="str" cm="1">
        <f t="array" ref="P29:P37">TRANSPOSE(B1:J1)</f>
        <v>Brisbane</v>
      </c>
      <c r="Q29" t="s">
        <v>25</v>
      </c>
      <c r="R29" t="s">
        <v>6</v>
      </c>
      <c r="S29" t="s">
        <v>7</v>
      </c>
    </row>
    <row r="30" spans="1:19" x14ac:dyDescent="0.35">
      <c r="A30" t="s">
        <v>24</v>
      </c>
      <c r="B30">
        <v>17</v>
      </c>
      <c r="C30">
        <v>0</v>
      </c>
      <c r="D30">
        <v>4</v>
      </c>
      <c r="E30">
        <v>1</v>
      </c>
      <c r="F30">
        <v>1</v>
      </c>
      <c r="G30">
        <v>0</v>
      </c>
      <c r="H30">
        <v>0</v>
      </c>
      <c r="I30">
        <v>0</v>
      </c>
      <c r="J30">
        <v>0</v>
      </c>
      <c r="K30" t="s">
        <v>4</v>
      </c>
      <c r="L30" t="s">
        <v>7</v>
      </c>
      <c r="O30">
        <v>3</v>
      </c>
      <c r="P30" t="str">
        <v>Beenleigh</v>
      </c>
      <c r="Q30" t="s">
        <v>25</v>
      </c>
      <c r="R30" t="s">
        <v>6</v>
      </c>
      <c r="S30" t="s">
        <v>7</v>
      </c>
    </row>
    <row r="31" spans="1:19" x14ac:dyDescent="0.35">
      <c r="A31" t="s">
        <v>25</v>
      </c>
      <c r="B31">
        <v>18</v>
      </c>
      <c r="C31">
        <v>2</v>
      </c>
      <c r="D31">
        <v>4</v>
      </c>
      <c r="E31">
        <v>2</v>
      </c>
      <c r="F31">
        <v>6</v>
      </c>
      <c r="G31">
        <v>3</v>
      </c>
      <c r="H31">
        <v>1</v>
      </c>
      <c r="I31">
        <v>4</v>
      </c>
      <c r="J31">
        <v>6</v>
      </c>
      <c r="K31" t="s">
        <v>4</v>
      </c>
      <c r="L31" t="s">
        <v>7</v>
      </c>
      <c r="O31">
        <v>3</v>
      </c>
      <c r="P31" t="str">
        <v>Cairns</v>
      </c>
      <c r="Q31" t="s">
        <v>25</v>
      </c>
      <c r="R31" t="s">
        <v>6</v>
      </c>
      <c r="S31" t="s">
        <v>7</v>
      </c>
    </row>
    <row r="32" spans="1:19" x14ac:dyDescent="0.35">
      <c r="A32" t="s">
        <v>26</v>
      </c>
      <c r="B32">
        <v>3</v>
      </c>
      <c r="C32">
        <v>0</v>
      </c>
      <c r="D32">
        <v>1</v>
      </c>
      <c r="E32">
        <v>0</v>
      </c>
      <c r="F32">
        <v>0</v>
      </c>
      <c r="G32">
        <v>0</v>
      </c>
      <c r="H32">
        <v>0</v>
      </c>
      <c r="I32">
        <v>0</v>
      </c>
      <c r="J32">
        <v>0</v>
      </c>
      <c r="K32" t="s">
        <v>4</v>
      </c>
      <c r="L32" t="s">
        <v>7</v>
      </c>
      <c r="O32">
        <v>3</v>
      </c>
      <c r="P32" t="str">
        <v>Ipswich</v>
      </c>
      <c r="Q32" t="s">
        <v>25</v>
      </c>
      <c r="R32" t="s">
        <v>6</v>
      </c>
      <c r="S32" t="s">
        <v>7</v>
      </c>
    </row>
    <row r="33" spans="1:19" x14ac:dyDescent="0.35">
      <c r="A33" t="s">
        <v>27</v>
      </c>
      <c r="B33">
        <v>7</v>
      </c>
      <c r="C33">
        <v>1</v>
      </c>
      <c r="D33">
        <v>0</v>
      </c>
      <c r="E33">
        <v>0</v>
      </c>
      <c r="F33">
        <v>0</v>
      </c>
      <c r="G33">
        <v>0</v>
      </c>
      <c r="H33">
        <v>0</v>
      </c>
      <c r="I33">
        <v>1</v>
      </c>
      <c r="J33">
        <v>0</v>
      </c>
      <c r="K33" t="s">
        <v>4</v>
      </c>
      <c r="L33" t="s">
        <v>7</v>
      </c>
      <c r="O33">
        <v>7</v>
      </c>
      <c r="P33" t="str">
        <v>Maroochy</v>
      </c>
      <c r="Q33" t="s">
        <v>25</v>
      </c>
      <c r="R33" t="s">
        <v>6</v>
      </c>
      <c r="S33" t="s">
        <v>7</v>
      </c>
    </row>
    <row r="34" spans="1:19" x14ac:dyDescent="0.35">
      <c r="A34" t="s">
        <v>28</v>
      </c>
      <c r="B34">
        <v>845</v>
      </c>
      <c r="C34">
        <v>74</v>
      </c>
      <c r="D34">
        <v>85</v>
      </c>
      <c r="E34">
        <v>205</v>
      </c>
      <c r="F34">
        <v>98</v>
      </c>
      <c r="G34">
        <v>123</v>
      </c>
      <c r="H34">
        <v>117</v>
      </c>
      <c r="I34">
        <v>26</v>
      </c>
      <c r="J34">
        <v>128</v>
      </c>
      <c r="K34" t="s">
        <v>4</v>
      </c>
      <c r="L34" t="s">
        <v>8</v>
      </c>
      <c r="O34">
        <v>9</v>
      </c>
      <c r="P34" t="str">
        <v>Rockhampton</v>
      </c>
      <c r="Q34" t="s">
        <v>25</v>
      </c>
      <c r="R34" t="s">
        <v>6</v>
      </c>
      <c r="S34" t="s">
        <v>7</v>
      </c>
    </row>
    <row r="35" spans="1:19" x14ac:dyDescent="0.35">
      <c r="A35" t="s">
        <v>29</v>
      </c>
      <c r="B35">
        <v>298</v>
      </c>
      <c r="C35">
        <v>19</v>
      </c>
      <c r="D35">
        <v>16</v>
      </c>
      <c r="E35">
        <v>78</v>
      </c>
      <c r="F35">
        <v>16</v>
      </c>
      <c r="G35">
        <v>49</v>
      </c>
      <c r="H35">
        <v>34</v>
      </c>
      <c r="I35">
        <v>4</v>
      </c>
      <c r="J35">
        <v>50</v>
      </c>
      <c r="K35" t="s">
        <v>4</v>
      </c>
      <c r="L35" t="s">
        <v>8</v>
      </c>
      <c r="O35">
        <v>1</v>
      </c>
      <c r="P35" t="str">
        <v>Southport</v>
      </c>
      <c r="Q35" t="s">
        <v>25</v>
      </c>
      <c r="R35" t="s">
        <v>6</v>
      </c>
      <c r="S35" t="s">
        <v>7</v>
      </c>
    </row>
    <row r="36" spans="1:19" x14ac:dyDescent="0.35">
      <c r="A36" t="s">
        <v>30</v>
      </c>
      <c r="B36">
        <v>79</v>
      </c>
      <c r="C36">
        <v>9</v>
      </c>
      <c r="D36">
        <v>18</v>
      </c>
      <c r="E36">
        <v>16</v>
      </c>
      <c r="F36">
        <v>9</v>
      </c>
      <c r="G36">
        <v>26</v>
      </c>
      <c r="H36">
        <v>45</v>
      </c>
      <c r="I36">
        <v>9</v>
      </c>
      <c r="J36">
        <v>23</v>
      </c>
      <c r="K36" t="s">
        <v>4</v>
      </c>
      <c r="L36" t="s">
        <v>8</v>
      </c>
      <c r="O36">
        <v>2</v>
      </c>
      <c r="P36" t="str">
        <v>Toowoomba</v>
      </c>
      <c r="Q36" t="s">
        <v>25</v>
      </c>
      <c r="R36" t="s">
        <v>6</v>
      </c>
      <c r="S36" t="s">
        <v>7</v>
      </c>
    </row>
    <row r="37" spans="1:19" x14ac:dyDescent="0.35">
      <c r="A37" t="s">
        <v>31</v>
      </c>
      <c r="B37">
        <v>4</v>
      </c>
      <c r="C37">
        <v>1</v>
      </c>
      <c r="D37">
        <v>0</v>
      </c>
      <c r="E37">
        <v>0</v>
      </c>
      <c r="F37">
        <v>1</v>
      </c>
      <c r="G37">
        <v>0</v>
      </c>
      <c r="H37">
        <v>4</v>
      </c>
      <c r="I37">
        <v>0</v>
      </c>
      <c r="J37">
        <v>5</v>
      </c>
      <c r="K37" t="s">
        <v>4</v>
      </c>
      <c r="L37" t="s">
        <v>8</v>
      </c>
      <c r="O37">
        <v>3</v>
      </c>
      <c r="P37" t="str">
        <v>Townsville</v>
      </c>
      <c r="Q37" t="s">
        <v>25</v>
      </c>
      <c r="R37" t="s">
        <v>6</v>
      </c>
      <c r="S37" t="s">
        <v>7</v>
      </c>
    </row>
    <row r="38" spans="1:19" x14ac:dyDescent="0.35">
      <c r="A38" t="s">
        <v>32</v>
      </c>
      <c r="B38">
        <v>1406</v>
      </c>
      <c r="C38">
        <v>289</v>
      </c>
      <c r="D38">
        <v>164</v>
      </c>
      <c r="E38">
        <v>331</v>
      </c>
      <c r="F38">
        <v>259</v>
      </c>
      <c r="G38">
        <v>226</v>
      </c>
      <c r="H38">
        <v>195</v>
      </c>
      <c r="I38">
        <v>32</v>
      </c>
      <c r="J38">
        <v>379</v>
      </c>
      <c r="K38" t="s">
        <v>4</v>
      </c>
      <c r="L38" t="s">
        <v>8</v>
      </c>
      <c r="O38">
        <v>3</v>
      </c>
      <c r="P38" t="str" cm="1">
        <f t="array" ref="P38:P46">TRANSPOSE(B1:J1)</f>
        <v>Brisbane</v>
      </c>
      <c r="Q38" t="s">
        <v>26</v>
      </c>
      <c r="R38" t="s">
        <v>6</v>
      </c>
      <c r="S38" t="s">
        <v>7</v>
      </c>
    </row>
    <row r="39" spans="1:19" x14ac:dyDescent="0.35">
      <c r="A39" t="s">
        <v>33</v>
      </c>
      <c r="B39">
        <v>399</v>
      </c>
      <c r="C39">
        <v>62</v>
      </c>
      <c r="D39">
        <v>118</v>
      </c>
      <c r="E39">
        <v>123</v>
      </c>
      <c r="F39">
        <v>52</v>
      </c>
      <c r="G39">
        <v>70</v>
      </c>
      <c r="H39">
        <v>29</v>
      </c>
      <c r="I39">
        <v>20</v>
      </c>
      <c r="J39">
        <v>78</v>
      </c>
      <c r="K39" t="s">
        <v>4</v>
      </c>
      <c r="L39" t="s">
        <v>8</v>
      </c>
      <c r="O39">
        <v>0</v>
      </c>
      <c r="P39" t="str">
        <v>Beenleigh</v>
      </c>
      <c r="Q39" t="s">
        <v>26</v>
      </c>
      <c r="R39" t="s">
        <v>6</v>
      </c>
      <c r="S39" t="s">
        <v>7</v>
      </c>
    </row>
    <row r="40" spans="1:19" x14ac:dyDescent="0.35">
      <c r="A40" t="s">
        <v>34</v>
      </c>
      <c r="B40">
        <v>383</v>
      </c>
      <c r="C40">
        <v>180</v>
      </c>
      <c r="D40">
        <v>49</v>
      </c>
      <c r="E40">
        <v>61</v>
      </c>
      <c r="F40">
        <v>66</v>
      </c>
      <c r="G40">
        <v>46</v>
      </c>
      <c r="H40">
        <v>24</v>
      </c>
      <c r="I40">
        <v>13</v>
      </c>
      <c r="J40">
        <v>88</v>
      </c>
      <c r="K40" t="s">
        <v>4</v>
      </c>
      <c r="L40" t="s">
        <v>8</v>
      </c>
      <c r="O40">
        <v>0</v>
      </c>
      <c r="P40" t="str">
        <v>Cairns</v>
      </c>
      <c r="Q40" t="s">
        <v>26</v>
      </c>
      <c r="R40" t="s">
        <v>6</v>
      </c>
      <c r="S40" t="s">
        <v>7</v>
      </c>
    </row>
    <row r="41" spans="1:19" x14ac:dyDescent="0.35">
      <c r="A41" t="s">
        <v>22</v>
      </c>
      <c r="B41">
        <v>79</v>
      </c>
      <c r="C41">
        <v>0</v>
      </c>
      <c r="D41">
        <v>8</v>
      </c>
      <c r="E41">
        <v>9</v>
      </c>
      <c r="F41">
        <v>3</v>
      </c>
      <c r="G41">
        <v>4</v>
      </c>
      <c r="H41">
        <v>6</v>
      </c>
      <c r="I41">
        <v>0</v>
      </c>
      <c r="J41">
        <v>2</v>
      </c>
      <c r="K41" t="s">
        <v>3</v>
      </c>
      <c r="L41" t="s">
        <v>7</v>
      </c>
      <c r="O41">
        <v>0</v>
      </c>
      <c r="P41" t="str">
        <v>Ipswich</v>
      </c>
      <c r="Q41" t="s">
        <v>26</v>
      </c>
      <c r="R41" t="s">
        <v>6</v>
      </c>
      <c r="S41" t="s">
        <v>7</v>
      </c>
    </row>
    <row r="42" spans="1:19" x14ac:dyDescent="0.35">
      <c r="A42" t="s">
        <v>23</v>
      </c>
      <c r="B42">
        <v>39</v>
      </c>
      <c r="C42">
        <v>0</v>
      </c>
      <c r="D42">
        <v>6</v>
      </c>
      <c r="E42">
        <v>3</v>
      </c>
      <c r="F42">
        <v>0</v>
      </c>
      <c r="G42">
        <v>4</v>
      </c>
      <c r="H42">
        <v>0</v>
      </c>
      <c r="I42">
        <v>0</v>
      </c>
      <c r="J42">
        <v>3</v>
      </c>
      <c r="K42" t="s">
        <v>3</v>
      </c>
      <c r="L42" t="s">
        <v>7</v>
      </c>
      <c r="O42">
        <v>0</v>
      </c>
      <c r="P42" t="str">
        <v>Maroochy</v>
      </c>
      <c r="Q42" t="s">
        <v>26</v>
      </c>
      <c r="R42" t="s">
        <v>6</v>
      </c>
      <c r="S42" t="s">
        <v>7</v>
      </c>
    </row>
    <row r="43" spans="1:19" x14ac:dyDescent="0.35">
      <c r="A43" t="s">
        <v>24</v>
      </c>
      <c r="B43">
        <v>11</v>
      </c>
      <c r="C43">
        <v>0</v>
      </c>
      <c r="D43">
        <v>0</v>
      </c>
      <c r="E43">
        <v>0</v>
      </c>
      <c r="F43">
        <v>0</v>
      </c>
      <c r="G43">
        <v>0</v>
      </c>
      <c r="H43">
        <v>0</v>
      </c>
      <c r="I43">
        <v>0</v>
      </c>
      <c r="J43">
        <v>2</v>
      </c>
      <c r="K43" t="s">
        <v>3</v>
      </c>
      <c r="L43" t="s">
        <v>7</v>
      </c>
      <c r="O43">
        <v>0</v>
      </c>
      <c r="P43" t="str">
        <v>Rockhampton</v>
      </c>
      <c r="Q43" t="s">
        <v>26</v>
      </c>
      <c r="R43" t="s">
        <v>6</v>
      </c>
      <c r="S43" t="s">
        <v>7</v>
      </c>
    </row>
    <row r="44" spans="1:19" x14ac:dyDescent="0.35">
      <c r="A44" t="s">
        <v>25</v>
      </c>
      <c r="B44">
        <v>7</v>
      </c>
      <c r="C44">
        <v>0</v>
      </c>
      <c r="D44">
        <v>2</v>
      </c>
      <c r="E44">
        <v>3</v>
      </c>
      <c r="F44">
        <v>1</v>
      </c>
      <c r="G44">
        <v>2</v>
      </c>
      <c r="H44">
        <v>0</v>
      </c>
      <c r="I44">
        <v>2</v>
      </c>
      <c r="J44">
        <v>3</v>
      </c>
      <c r="K44" t="s">
        <v>3</v>
      </c>
      <c r="L44" t="s">
        <v>7</v>
      </c>
      <c r="O44">
        <v>0</v>
      </c>
      <c r="P44" t="str">
        <v>Southport</v>
      </c>
      <c r="Q44" t="s">
        <v>26</v>
      </c>
      <c r="R44" t="s">
        <v>6</v>
      </c>
      <c r="S44" t="s">
        <v>7</v>
      </c>
    </row>
    <row r="45" spans="1:19" x14ac:dyDescent="0.35">
      <c r="A45" t="s">
        <v>26</v>
      </c>
      <c r="B45">
        <v>2</v>
      </c>
      <c r="C45">
        <v>2</v>
      </c>
      <c r="D45">
        <v>0</v>
      </c>
      <c r="E45">
        <v>0</v>
      </c>
      <c r="F45">
        <v>0</v>
      </c>
      <c r="G45">
        <v>0</v>
      </c>
      <c r="H45">
        <v>1</v>
      </c>
      <c r="I45">
        <v>0</v>
      </c>
      <c r="J45">
        <v>0</v>
      </c>
      <c r="K45" t="s">
        <v>3</v>
      </c>
      <c r="L45" t="s">
        <v>7</v>
      </c>
      <c r="O45">
        <v>0</v>
      </c>
      <c r="P45" t="str">
        <v>Toowoomba</v>
      </c>
      <c r="Q45" t="s">
        <v>26</v>
      </c>
      <c r="R45" t="s">
        <v>6</v>
      </c>
      <c r="S45" t="s">
        <v>7</v>
      </c>
    </row>
    <row r="46" spans="1:19" x14ac:dyDescent="0.35">
      <c r="A46" t="s">
        <v>27</v>
      </c>
      <c r="B46">
        <v>7</v>
      </c>
      <c r="C46">
        <v>0</v>
      </c>
      <c r="D46">
        <v>0</v>
      </c>
      <c r="E46">
        <v>1</v>
      </c>
      <c r="F46">
        <v>0</v>
      </c>
      <c r="G46">
        <v>0</v>
      </c>
      <c r="H46">
        <v>0</v>
      </c>
      <c r="I46">
        <v>0</v>
      </c>
      <c r="J46">
        <v>0</v>
      </c>
      <c r="K46" t="s">
        <v>3</v>
      </c>
      <c r="L46" t="s">
        <v>7</v>
      </c>
      <c r="O46">
        <v>0</v>
      </c>
      <c r="P46" t="str">
        <v>Townsville</v>
      </c>
      <c r="Q46" t="s">
        <v>26</v>
      </c>
      <c r="R46" t="s">
        <v>6</v>
      </c>
      <c r="S46" t="s">
        <v>7</v>
      </c>
    </row>
    <row r="47" spans="1:19" x14ac:dyDescent="0.35">
      <c r="A47" t="s">
        <v>28</v>
      </c>
      <c r="B47">
        <v>777</v>
      </c>
      <c r="C47">
        <v>79</v>
      </c>
      <c r="D47">
        <v>121</v>
      </c>
      <c r="E47">
        <v>129</v>
      </c>
      <c r="F47">
        <v>103</v>
      </c>
      <c r="G47">
        <v>206</v>
      </c>
      <c r="H47">
        <v>117</v>
      </c>
      <c r="I47">
        <v>32</v>
      </c>
      <c r="J47">
        <v>241</v>
      </c>
      <c r="K47" t="s">
        <v>3</v>
      </c>
      <c r="L47" t="s">
        <v>8</v>
      </c>
      <c r="O47">
        <v>12</v>
      </c>
      <c r="P47" t="str" cm="1">
        <f t="array" ref="P47:P55">TRANSPOSE(B1:J1)</f>
        <v>Brisbane</v>
      </c>
      <c r="Q47" t="s">
        <v>27</v>
      </c>
      <c r="R47" t="s">
        <v>6</v>
      </c>
      <c r="S47" t="s">
        <v>7</v>
      </c>
    </row>
    <row r="48" spans="1:19" x14ac:dyDescent="0.35">
      <c r="A48" t="s">
        <v>29</v>
      </c>
      <c r="B48">
        <v>211</v>
      </c>
      <c r="C48">
        <v>10</v>
      </c>
      <c r="D48">
        <v>22</v>
      </c>
      <c r="E48">
        <v>19</v>
      </c>
      <c r="F48">
        <v>19</v>
      </c>
      <c r="G48">
        <v>11</v>
      </c>
      <c r="H48">
        <v>46</v>
      </c>
      <c r="I48">
        <v>1</v>
      </c>
      <c r="J48">
        <v>68</v>
      </c>
      <c r="K48" t="s">
        <v>3</v>
      </c>
      <c r="L48" t="s">
        <v>8</v>
      </c>
      <c r="O48">
        <v>3</v>
      </c>
      <c r="P48" t="str">
        <v>Beenleigh</v>
      </c>
      <c r="Q48" t="s">
        <v>27</v>
      </c>
      <c r="R48" t="s">
        <v>6</v>
      </c>
      <c r="S48" t="s">
        <v>7</v>
      </c>
    </row>
    <row r="49" spans="1:19" x14ac:dyDescent="0.35">
      <c r="A49" t="s">
        <v>30</v>
      </c>
      <c r="B49">
        <v>47</v>
      </c>
      <c r="C49">
        <v>16</v>
      </c>
      <c r="D49">
        <v>19</v>
      </c>
      <c r="E49">
        <v>9</v>
      </c>
      <c r="F49">
        <v>8</v>
      </c>
      <c r="G49">
        <v>41</v>
      </c>
      <c r="H49">
        <v>8</v>
      </c>
      <c r="I49">
        <v>6</v>
      </c>
      <c r="J49">
        <v>20</v>
      </c>
      <c r="K49" t="s">
        <v>3</v>
      </c>
      <c r="L49" t="s">
        <v>8</v>
      </c>
      <c r="O49">
        <v>1</v>
      </c>
      <c r="P49" t="str">
        <v>Cairns</v>
      </c>
      <c r="Q49" t="s">
        <v>27</v>
      </c>
      <c r="R49" t="s">
        <v>6</v>
      </c>
      <c r="S49" t="s">
        <v>7</v>
      </c>
    </row>
    <row r="50" spans="1:19" x14ac:dyDescent="0.35">
      <c r="A50" t="s">
        <v>31</v>
      </c>
      <c r="B50">
        <v>11</v>
      </c>
      <c r="C50">
        <v>0</v>
      </c>
      <c r="D50">
        <v>0</v>
      </c>
      <c r="E50">
        <v>1</v>
      </c>
      <c r="F50">
        <v>1</v>
      </c>
      <c r="G50">
        <v>1</v>
      </c>
      <c r="H50">
        <v>19</v>
      </c>
      <c r="I50">
        <v>0</v>
      </c>
      <c r="J50">
        <v>4</v>
      </c>
      <c r="K50" t="s">
        <v>3</v>
      </c>
      <c r="L50" t="s">
        <v>8</v>
      </c>
      <c r="O50">
        <v>2</v>
      </c>
      <c r="P50" t="str">
        <v>Ipswich</v>
      </c>
      <c r="Q50" t="s">
        <v>27</v>
      </c>
      <c r="R50" t="s">
        <v>6</v>
      </c>
      <c r="S50" t="s">
        <v>7</v>
      </c>
    </row>
    <row r="51" spans="1:19" x14ac:dyDescent="0.35">
      <c r="A51" t="s">
        <v>32</v>
      </c>
      <c r="B51">
        <v>1297</v>
      </c>
      <c r="C51">
        <v>236</v>
      </c>
      <c r="D51">
        <v>170</v>
      </c>
      <c r="E51">
        <v>288</v>
      </c>
      <c r="F51">
        <v>173</v>
      </c>
      <c r="G51">
        <v>252</v>
      </c>
      <c r="H51">
        <v>188</v>
      </c>
      <c r="I51">
        <v>56</v>
      </c>
      <c r="J51">
        <v>289</v>
      </c>
      <c r="K51" t="s">
        <v>3</v>
      </c>
      <c r="L51" t="s">
        <v>8</v>
      </c>
      <c r="O51">
        <v>0</v>
      </c>
      <c r="P51" t="str">
        <v>Maroochy</v>
      </c>
      <c r="Q51" t="s">
        <v>27</v>
      </c>
      <c r="R51" t="s">
        <v>6</v>
      </c>
      <c r="S51" t="s">
        <v>7</v>
      </c>
    </row>
    <row r="52" spans="1:19" x14ac:dyDescent="0.35">
      <c r="A52" t="s">
        <v>33</v>
      </c>
      <c r="B52">
        <v>445</v>
      </c>
      <c r="C52">
        <v>44</v>
      </c>
      <c r="D52">
        <v>55</v>
      </c>
      <c r="E52">
        <v>132</v>
      </c>
      <c r="F52">
        <v>53</v>
      </c>
      <c r="G52">
        <v>141</v>
      </c>
      <c r="H52">
        <v>57</v>
      </c>
      <c r="I52">
        <v>48</v>
      </c>
      <c r="J52">
        <v>163</v>
      </c>
      <c r="K52" t="s">
        <v>3</v>
      </c>
      <c r="L52" t="s">
        <v>8</v>
      </c>
      <c r="O52">
        <v>0</v>
      </c>
      <c r="P52" t="str">
        <v>Rockhampton</v>
      </c>
      <c r="Q52" t="s">
        <v>27</v>
      </c>
      <c r="R52" t="s">
        <v>6</v>
      </c>
      <c r="S52" t="s">
        <v>7</v>
      </c>
    </row>
    <row r="53" spans="1:19" x14ac:dyDescent="0.35">
      <c r="A53" t="s">
        <v>34</v>
      </c>
      <c r="B53">
        <v>518</v>
      </c>
      <c r="C53">
        <v>19</v>
      </c>
      <c r="D53">
        <v>20</v>
      </c>
      <c r="E53">
        <v>32</v>
      </c>
      <c r="F53">
        <v>54</v>
      </c>
      <c r="G53">
        <v>42</v>
      </c>
      <c r="H53">
        <v>33</v>
      </c>
      <c r="I53">
        <v>47</v>
      </c>
      <c r="J53">
        <v>27</v>
      </c>
      <c r="K53" t="s">
        <v>3</v>
      </c>
      <c r="L53" t="s">
        <v>8</v>
      </c>
      <c r="O53">
        <v>0</v>
      </c>
      <c r="P53" t="str">
        <v>Southport</v>
      </c>
      <c r="Q53" t="s">
        <v>27</v>
      </c>
      <c r="R53" t="s">
        <v>6</v>
      </c>
      <c r="S53" t="s">
        <v>7</v>
      </c>
    </row>
    <row r="54" spans="1:19" x14ac:dyDescent="0.35">
      <c r="A54" t="s">
        <v>22</v>
      </c>
      <c r="B54">
        <v>86</v>
      </c>
      <c r="C54">
        <v>0</v>
      </c>
      <c r="D54">
        <v>8</v>
      </c>
      <c r="E54">
        <v>2</v>
      </c>
      <c r="F54">
        <v>2</v>
      </c>
      <c r="G54">
        <v>2</v>
      </c>
      <c r="H54">
        <v>0</v>
      </c>
      <c r="I54">
        <v>2</v>
      </c>
      <c r="J54">
        <v>1</v>
      </c>
      <c r="K54" t="s">
        <v>2</v>
      </c>
      <c r="L54" t="s">
        <v>7</v>
      </c>
      <c r="O54">
        <v>2</v>
      </c>
      <c r="P54" t="str">
        <v>Toowoomba</v>
      </c>
      <c r="Q54" t="s">
        <v>27</v>
      </c>
      <c r="R54" t="s">
        <v>6</v>
      </c>
      <c r="S54" t="s">
        <v>7</v>
      </c>
    </row>
    <row r="55" spans="1:19" x14ac:dyDescent="0.35">
      <c r="A55" t="s">
        <v>23</v>
      </c>
      <c r="B55">
        <v>43</v>
      </c>
      <c r="C55">
        <v>0</v>
      </c>
      <c r="D55">
        <v>0</v>
      </c>
      <c r="E55">
        <v>2</v>
      </c>
      <c r="F55">
        <v>1</v>
      </c>
      <c r="G55">
        <v>3</v>
      </c>
      <c r="H55">
        <v>0</v>
      </c>
      <c r="I55">
        <v>1</v>
      </c>
      <c r="J55">
        <v>0</v>
      </c>
      <c r="K55" t="s">
        <v>2</v>
      </c>
      <c r="L55" t="s">
        <v>7</v>
      </c>
      <c r="O55">
        <v>1</v>
      </c>
      <c r="P55" t="str">
        <v>Townsville</v>
      </c>
      <c r="Q55" t="s">
        <v>27</v>
      </c>
      <c r="R55" t="s">
        <v>6</v>
      </c>
      <c r="S55" t="s">
        <v>7</v>
      </c>
    </row>
    <row r="56" spans="1:19" x14ac:dyDescent="0.35">
      <c r="A56" t="s">
        <v>24</v>
      </c>
      <c r="B56">
        <v>24</v>
      </c>
      <c r="C56">
        <v>0</v>
      </c>
      <c r="D56">
        <v>0</v>
      </c>
      <c r="E56">
        <v>0</v>
      </c>
      <c r="F56">
        <v>0</v>
      </c>
      <c r="G56">
        <v>1</v>
      </c>
      <c r="H56">
        <v>0</v>
      </c>
      <c r="I56">
        <v>0</v>
      </c>
      <c r="J56">
        <v>0</v>
      </c>
      <c r="K56" t="s">
        <v>2</v>
      </c>
      <c r="L56" t="s">
        <v>7</v>
      </c>
      <c r="O56">
        <v>1664</v>
      </c>
      <c r="P56" t="str" cm="1">
        <f t="array" ref="P56:P64">TRANSPOSE(B1:J1)</f>
        <v>Brisbane</v>
      </c>
      <c r="Q56" t="s">
        <v>28</v>
      </c>
      <c r="R56" t="s">
        <v>6</v>
      </c>
      <c r="S56" t="s">
        <v>8</v>
      </c>
    </row>
    <row r="57" spans="1:19" x14ac:dyDescent="0.35">
      <c r="A57" t="s">
        <v>25</v>
      </c>
      <c r="B57">
        <v>21</v>
      </c>
      <c r="C57">
        <v>11</v>
      </c>
      <c r="D57">
        <v>4</v>
      </c>
      <c r="E57">
        <v>2</v>
      </c>
      <c r="F57">
        <v>8</v>
      </c>
      <c r="G57">
        <v>2</v>
      </c>
      <c r="H57">
        <v>2</v>
      </c>
      <c r="I57">
        <v>2</v>
      </c>
      <c r="J57">
        <v>4</v>
      </c>
      <c r="K57" t="s">
        <v>2</v>
      </c>
      <c r="L57" t="s">
        <v>7</v>
      </c>
      <c r="O57">
        <v>124</v>
      </c>
      <c r="P57" t="str">
        <v>Beenleigh</v>
      </c>
      <c r="Q57" t="s">
        <v>28</v>
      </c>
      <c r="R57" t="s">
        <v>6</v>
      </c>
      <c r="S57" t="s">
        <v>8</v>
      </c>
    </row>
    <row r="58" spans="1:19" x14ac:dyDescent="0.35">
      <c r="A58" t="s">
        <v>26</v>
      </c>
      <c r="B58">
        <v>0</v>
      </c>
      <c r="C58">
        <v>1</v>
      </c>
      <c r="D58">
        <v>0</v>
      </c>
      <c r="E58">
        <v>0</v>
      </c>
      <c r="F58">
        <v>0</v>
      </c>
      <c r="G58">
        <v>0</v>
      </c>
      <c r="H58">
        <v>1</v>
      </c>
      <c r="I58">
        <v>0</v>
      </c>
      <c r="J58">
        <v>0</v>
      </c>
      <c r="K58" t="s">
        <v>2</v>
      </c>
      <c r="L58" t="s">
        <v>7</v>
      </c>
      <c r="O58">
        <v>94</v>
      </c>
      <c r="P58" t="str">
        <v>Cairns</v>
      </c>
      <c r="Q58" t="s">
        <v>28</v>
      </c>
      <c r="R58" t="s">
        <v>6</v>
      </c>
      <c r="S58" t="s">
        <v>8</v>
      </c>
    </row>
    <row r="59" spans="1:19" x14ac:dyDescent="0.35">
      <c r="A59" t="s">
        <v>27</v>
      </c>
      <c r="B59">
        <v>18</v>
      </c>
      <c r="C59">
        <v>0</v>
      </c>
      <c r="D59">
        <v>0</v>
      </c>
      <c r="E59">
        <v>0</v>
      </c>
      <c r="F59">
        <v>0</v>
      </c>
      <c r="G59">
        <v>0</v>
      </c>
      <c r="H59">
        <v>0</v>
      </c>
      <c r="I59">
        <v>0</v>
      </c>
      <c r="J59">
        <v>0</v>
      </c>
      <c r="K59" t="s">
        <v>2</v>
      </c>
      <c r="L59" t="s">
        <v>7</v>
      </c>
      <c r="O59">
        <v>178</v>
      </c>
      <c r="P59" t="str">
        <v>Ipswich</v>
      </c>
      <c r="Q59" t="s">
        <v>28</v>
      </c>
      <c r="R59" t="s">
        <v>6</v>
      </c>
      <c r="S59" t="s">
        <v>8</v>
      </c>
    </row>
    <row r="60" spans="1:19" x14ac:dyDescent="0.35">
      <c r="A60" t="s">
        <v>28</v>
      </c>
      <c r="B60">
        <v>974</v>
      </c>
      <c r="C60">
        <v>96</v>
      </c>
      <c r="D60">
        <v>112</v>
      </c>
      <c r="E60">
        <v>89</v>
      </c>
      <c r="F60">
        <v>45</v>
      </c>
      <c r="G60">
        <v>104</v>
      </c>
      <c r="H60">
        <v>62</v>
      </c>
      <c r="I60">
        <v>33</v>
      </c>
      <c r="J60">
        <v>100</v>
      </c>
      <c r="K60" t="s">
        <v>2</v>
      </c>
      <c r="L60" t="s">
        <v>8</v>
      </c>
      <c r="O60">
        <v>120</v>
      </c>
      <c r="P60" t="str">
        <v>Maroochy</v>
      </c>
      <c r="Q60" t="s">
        <v>28</v>
      </c>
      <c r="R60" t="s">
        <v>6</v>
      </c>
      <c r="S60" t="s">
        <v>8</v>
      </c>
    </row>
    <row r="61" spans="1:19" x14ac:dyDescent="0.35">
      <c r="A61" t="s">
        <v>29</v>
      </c>
      <c r="B61">
        <v>314</v>
      </c>
      <c r="C61">
        <v>23</v>
      </c>
      <c r="D61">
        <v>28</v>
      </c>
      <c r="E61">
        <v>15</v>
      </c>
      <c r="F61">
        <v>18</v>
      </c>
      <c r="G61">
        <v>19</v>
      </c>
      <c r="H61">
        <v>48</v>
      </c>
      <c r="I61">
        <v>13</v>
      </c>
      <c r="J61">
        <v>35</v>
      </c>
      <c r="K61" t="s">
        <v>2</v>
      </c>
      <c r="L61" t="s">
        <v>8</v>
      </c>
      <c r="O61">
        <v>103</v>
      </c>
      <c r="P61" t="str">
        <v>Rockhampton</v>
      </c>
      <c r="Q61" t="s">
        <v>28</v>
      </c>
      <c r="R61" t="s">
        <v>6</v>
      </c>
      <c r="S61" t="s">
        <v>8</v>
      </c>
    </row>
    <row r="62" spans="1:19" x14ac:dyDescent="0.35">
      <c r="A62" t="s">
        <v>30</v>
      </c>
      <c r="B62">
        <v>73</v>
      </c>
      <c r="C62">
        <v>6</v>
      </c>
      <c r="D62">
        <v>6</v>
      </c>
      <c r="E62">
        <v>11</v>
      </c>
      <c r="F62">
        <v>17</v>
      </c>
      <c r="G62">
        <v>29</v>
      </c>
      <c r="H62">
        <v>8</v>
      </c>
      <c r="I62">
        <v>7</v>
      </c>
      <c r="J62">
        <v>28</v>
      </c>
      <c r="K62" t="s">
        <v>2</v>
      </c>
      <c r="L62" t="s">
        <v>8</v>
      </c>
      <c r="O62">
        <v>153</v>
      </c>
      <c r="P62" t="str">
        <v>Southport</v>
      </c>
      <c r="Q62" t="s">
        <v>28</v>
      </c>
      <c r="R62" t="s">
        <v>6</v>
      </c>
      <c r="S62" t="s">
        <v>8</v>
      </c>
    </row>
    <row r="63" spans="1:19" x14ac:dyDescent="0.35">
      <c r="A63" t="s">
        <v>31</v>
      </c>
      <c r="B63">
        <v>14</v>
      </c>
      <c r="C63">
        <v>3</v>
      </c>
      <c r="D63">
        <v>0</v>
      </c>
      <c r="E63">
        <v>0</v>
      </c>
      <c r="F63">
        <v>2</v>
      </c>
      <c r="G63">
        <v>1</v>
      </c>
      <c r="H63">
        <v>0</v>
      </c>
      <c r="I63">
        <v>0</v>
      </c>
      <c r="J63">
        <v>0</v>
      </c>
      <c r="K63" t="s">
        <v>2</v>
      </c>
      <c r="L63" t="s">
        <v>8</v>
      </c>
      <c r="O63">
        <v>229</v>
      </c>
      <c r="P63" t="str">
        <v>Toowoomba</v>
      </c>
      <c r="Q63" t="s">
        <v>28</v>
      </c>
      <c r="R63" t="s">
        <v>6</v>
      </c>
      <c r="S63" t="s">
        <v>8</v>
      </c>
    </row>
    <row r="64" spans="1:19" x14ac:dyDescent="0.35">
      <c r="A64" t="s">
        <v>32</v>
      </c>
      <c r="B64">
        <v>1669</v>
      </c>
      <c r="C64">
        <v>220</v>
      </c>
      <c r="D64">
        <v>258</v>
      </c>
      <c r="E64">
        <v>200</v>
      </c>
      <c r="F64">
        <v>192</v>
      </c>
      <c r="G64">
        <v>445</v>
      </c>
      <c r="H64">
        <v>107</v>
      </c>
      <c r="I64">
        <v>93</v>
      </c>
      <c r="J64">
        <v>161</v>
      </c>
      <c r="K64" t="s">
        <v>2</v>
      </c>
      <c r="L64" t="s">
        <v>8</v>
      </c>
      <c r="O64">
        <v>126</v>
      </c>
      <c r="P64" t="str">
        <v>Townsville</v>
      </c>
      <c r="Q64" t="s">
        <v>28</v>
      </c>
      <c r="R64" t="s">
        <v>6</v>
      </c>
      <c r="S64" t="s">
        <v>8</v>
      </c>
    </row>
    <row r="65" spans="1:19" x14ac:dyDescent="0.35">
      <c r="A65" t="s">
        <v>33</v>
      </c>
      <c r="B65">
        <v>436</v>
      </c>
      <c r="C65">
        <v>48</v>
      </c>
      <c r="D65">
        <v>77</v>
      </c>
      <c r="E65">
        <v>88</v>
      </c>
      <c r="F65">
        <v>47</v>
      </c>
      <c r="G65">
        <v>146</v>
      </c>
      <c r="H65">
        <v>49</v>
      </c>
      <c r="I65">
        <v>36</v>
      </c>
      <c r="J65">
        <v>36</v>
      </c>
      <c r="K65" t="s">
        <v>2</v>
      </c>
      <c r="L65" t="s">
        <v>8</v>
      </c>
      <c r="O65">
        <v>374</v>
      </c>
      <c r="P65" t="str" cm="1">
        <f t="array" ref="P65:P73">TRANSPOSE(B1:J1)</f>
        <v>Brisbane</v>
      </c>
      <c r="Q65" t="s">
        <v>29</v>
      </c>
      <c r="R65" t="s">
        <v>6</v>
      </c>
      <c r="S65" t="s">
        <v>8</v>
      </c>
    </row>
    <row r="66" spans="1:19" x14ac:dyDescent="0.35">
      <c r="A66" t="s">
        <v>34</v>
      </c>
      <c r="B66">
        <v>337</v>
      </c>
      <c r="C66">
        <v>35</v>
      </c>
      <c r="D66">
        <v>21</v>
      </c>
      <c r="E66">
        <v>113</v>
      </c>
      <c r="F66">
        <v>19</v>
      </c>
      <c r="G66">
        <v>36</v>
      </c>
      <c r="H66">
        <v>17</v>
      </c>
      <c r="I66">
        <v>31</v>
      </c>
      <c r="J66">
        <v>26</v>
      </c>
      <c r="K66" t="s">
        <v>2</v>
      </c>
      <c r="L66" t="s">
        <v>8</v>
      </c>
      <c r="O66">
        <v>53</v>
      </c>
      <c r="P66" t="str">
        <v>Beenleigh</v>
      </c>
      <c r="Q66" t="s">
        <v>29</v>
      </c>
      <c r="R66" t="s">
        <v>6</v>
      </c>
      <c r="S66" t="s">
        <v>8</v>
      </c>
    </row>
    <row r="67" spans="1:19" x14ac:dyDescent="0.35">
      <c r="A67" t="s">
        <v>22</v>
      </c>
      <c r="B67">
        <v>45</v>
      </c>
      <c r="C67">
        <v>0</v>
      </c>
      <c r="D67">
        <v>8</v>
      </c>
      <c r="E67">
        <v>0</v>
      </c>
      <c r="F67">
        <v>0</v>
      </c>
      <c r="G67">
        <v>6</v>
      </c>
      <c r="H67">
        <v>0</v>
      </c>
      <c r="I67">
        <v>1</v>
      </c>
      <c r="J67">
        <v>4</v>
      </c>
      <c r="K67" t="s">
        <v>1</v>
      </c>
      <c r="L67" t="s">
        <v>7</v>
      </c>
      <c r="O67">
        <v>74</v>
      </c>
      <c r="P67" t="str">
        <v>Cairns</v>
      </c>
      <c r="Q67" t="s">
        <v>29</v>
      </c>
      <c r="R67" t="s">
        <v>6</v>
      </c>
      <c r="S67" t="s">
        <v>8</v>
      </c>
    </row>
    <row r="68" spans="1:19" x14ac:dyDescent="0.35">
      <c r="A68" t="s">
        <v>23</v>
      </c>
      <c r="B68">
        <v>76</v>
      </c>
      <c r="C68">
        <v>0</v>
      </c>
      <c r="D68">
        <v>30</v>
      </c>
      <c r="E68">
        <v>0</v>
      </c>
      <c r="F68">
        <v>0</v>
      </c>
      <c r="G68">
        <v>7</v>
      </c>
      <c r="H68">
        <v>0</v>
      </c>
      <c r="I68">
        <v>3</v>
      </c>
      <c r="J68">
        <v>2</v>
      </c>
      <c r="K68" t="s">
        <v>1</v>
      </c>
      <c r="L68" t="s">
        <v>7</v>
      </c>
      <c r="O68">
        <v>37</v>
      </c>
      <c r="P68" t="str">
        <v>Ipswich</v>
      </c>
      <c r="Q68" t="s">
        <v>29</v>
      </c>
      <c r="R68" t="s">
        <v>6</v>
      </c>
      <c r="S68" t="s">
        <v>8</v>
      </c>
    </row>
    <row r="69" spans="1:19" x14ac:dyDescent="0.35">
      <c r="A69" t="s">
        <v>24</v>
      </c>
      <c r="B69">
        <v>16</v>
      </c>
      <c r="C69">
        <v>0</v>
      </c>
      <c r="D69">
        <v>1</v>
      </c>
      <c r="E69">
        <v>1</v>
      </c>
      <c r="F69">
        <v>0</v>
      </c>
      <c r="G69">
        <v>1</v>
      </c>
      <c r="H69">
        <v>0</v>
      </c>
      <c r="I69">
        <v>2</v>
      </c>
      <c r="J69">
        <v>2</v>
      </c>
      <c r="K69" t="s">
        <v>1</v>
      </c>
      <c r="L69" t="s">
        <v>7</v>
      </c>
      <c r="O69">
        <v>17</v>
      </c>
      <c r="P69" t="str">
        <v>Maroochy</v>
      </c>
      <c r="Q69" t="s">
        <v>29</v>
      </c>
      <c r="R69" t="s">
        <v>6</v>
      </c>
      <c r="S69" t="s">
        <v>8</v>
      </c>
    </row>
    <row r="70" spans="1:19" x14ac:dyDescent="0.35">
      <c r="A70" t="s">
        <v>25</v>
      </c>
      <c r="B70">
        <v>14</v>
      </c>
      <c r="C70">
        <v>2</v>
      </c>
      <c r="D70">
        <v>3</v>
      </c>
      <c r="E70">
        <v>3</v>
      </c>
      <c r="F70">
        <v>9</v>
      </c>
      <c r="G70">
        <v>6</v>
      </c>
      <c r="H70">
        <v>1</v>
      </c>
      <c r="I70">
        <v>0</v>
      </c>
      <c r="J70">
        <v>3</v>
      </c>
      <c r="K70" t="s">
        <v>1</v>
      </c>
      <c r="L70" t="s">
        <v>7</v>
      </c>
      <c r="O70">
        <v>25</v>
      </c>
      <c r="P70" t="str">
        <v>Rockhampton</v>
      </c>
      <c r="Q70" t="s">
        <v>29</v>
      </c>
      <c r="R70" t="s">
        <v>6</v>
      </c>
      <c r="S70" t="s">
        <v>8</v>
      </c>
    </row>
    <row r="71" spans="1:19" x14ac:dyDescent="0.35">
      <c r="A71" t="s">
        <v>26</v>
      </c>
      <c r="B71">
        <v>3</v>
      </c>
      <c r="C71">
        <v>0</v>
      </c>
      <c r="D71">
        <v>0</v>
      </c>
      <c r="E71">
        <v>0</v>
      </c>
      <c r="F71">
        <v>0</v>
      </c>
      <c r="G71">
        <v>0</v>
      </c>
      <c r="H71">
        <v>0</v>
      </c>
      <c r="I71">
        <v>0</v>
      </c>
      <c r="J71">
        <v>2</v>
      </c>
      <c r="K71" t="s">
        <v>1</v>
      </c>
      <c r="L71" t="s">
        <v>7</v>
      </c>
      <c r="O71">
        <v>53</v>
      </c>
      <c r="P71" t="str">
        <v>Southport</v>
      </c>
      <c r="Q71" t="s">
        <v>29</v>
      </c>
      <c r="R71" t="s">
        <v>6</v>
      </c>
      <c r="S71" t="s">
        <v>8</v>
      </c>
    </row>
    <row r="72" spans="1:19" x14ac:dyDescent="0.35">
      <c r="A72" t="s">
        <v>27</v>
      </c>
      <c r="B72">
        <v>14</v>
      </c>
      <c r="C72">
        <v>1</v>
      </c>
      <c r="D72">
        <v>0</v>
      </c>
      <c r="E72">
        <v>0</v>
      </c>
      <c r="F72">
        <v>0</v>
      </c>
      <c r="G72">
        <v>0</v>
      </c>
      <c r="H72">
        <v>0</v>
      </c>
      <c r="I72">
        <v>0</v>
      </c>
      <c r="J72">
        <v>0</v>
      </c>
      <c r="K72" t="s">
        <v>1</v>
      </c>
      <c r="L72" t="s">
        <v>7</v>
      </c>
      <c r="O72">
        <v>25</v>
      </c>
      <c r="P72" t="str">
        <v>Toowoomba</v>
      </c>
      <c r="Q72" t="s">
        <v>29</v>
      </c>
      <c r="R72" t="s">
        <v>6</v>
      </c>
      <c r="S72" t="s">
        <v>8</v>
      </c>
    </row>
    <row r="73" spans="1:19" x14ac:dyDescent="0.35">
      <c r="A73" t="s">
        <v>28</v>
      </c>
      <c r="B73">
        <v>621</v>
      </c>
      <c r="C73">
        <v>107</v>
      </c>
      <c r="D73">
        <v>79</v>
      </c>
      <c r="E73">
        <v>132</v>
      </c>
      <c r="F73">
        <v>145</v>
      </c>
      <c r="G73">
        <v>81</v>
      </c>
      <c r="H73">
        <v>63</v>
      </c>
      <c r="I73">
        <v>25</v>
      </c>
      <c r="J73">
        <v>176</v>
      </c>
      <c r="K73" t="s">
        <v>1</v>
      </c>
      <c r="L73" t="s">
        <v>8</v>
      </c>
      <c r="O73">
        <v>34</v>
      </c>
      <c r="P73" t="str">
        <v>Townsville</v>
      </c>
      <c r="Q73" t="s">
        <v>29</v>
      </c>
      <c r="R73" t="s">
        <v>6</v>
      </c>
      <c r="S73" t="s">
        <v>8</v>
      </c>
    </row>
    <row r="74" spans="1:19" x14ac:dyDescent="0.35">
      <c r="A74" t="s">
        <v>29</v>
      </c>
      <c r="B74">
        <v>207</v>
      </c>
      <c r="C74">
        <v>40</v>
      </c>
      <c r="D74">
        <v>21</v>
      </c>
      <c r="E74">
        <v>36</v>
      </c>
      <c r="F74">
        <v>28</v>
      </c>
      <c r="G74">
        <v>25</v>
      </c>
      <c r="H74">
        <v>30</v>
      </c>
      <c r="I74">
        <v>8</v>
      </c>
      <c r="J74">
        <v>28</v>
      </c>
      <c r="K74" t="s">
        <v>1</v>
      </c>
      <c r="L74" t="s">
        <v>8</v>
      </c>
      <c r="O74">
        <v>88</v>
      </c>
      <c r="P74" t="str" cm="1">
        <f t="array" ref="P74:P82">TRANSPOSE(B1:J1)</f>
        <v>Brisbane</v>
      </c>
      <c r="Q74" t="s">
        <v>30</v>
      </c>
      <c r="R74" t="s">
        <v>6</v>
      </c>
      <c r="S74" t="s">
        <v>8</v>
      </c>
    </row>
    <row r="75" spans="1:19" x14ac:dyDescent="0.35">
      <c r="A75" t="s">
        <v>30</v>
      </c>
      <c r="B75">
        <v>51</v>
      </c>
      <c r="C75">
        <v>20</v>
      </c>
      <c r="D75">
        <v>37</v>
      </c>
      <c r="E75">
        <v>36</v>
      </c>
      <c r="F75">
        <v>12</v>
      </c>
      <c r="G75">
        <v>50</v>
      </c>
      <c r="H75">
        <v>20</v>
      </c>
      <c r="I75">
        <v>15</v>
      </c>
      <c r="J75">
        <v>24</v>
      </c>
      <c r="K75" t="s">
        <v>1</v>
      </c>
      <c r="L75" t="s">
        <v>8</v>
      </c>
      <c r="O75">
        <v>6</v>
      </c>
      <c r="P75" t="str">
        <v>Beenleigh</v>
      </c>
      <c r="Q75" t="s">
        <v>30</v>
      </c>
      <c r="R75" t="s">
        <v>6</v>
      </c>
      <c r="S75" t="s">
        <v>8</v>
      </c>
    </row>
    <row r="76" spans="1:19" x14ac:dyDescent="0.35">
      <c r="A76" t="s">
        <v>31</v>
      </c>
      <c r="B76">
        <v>37</v>
      </c>
      <c r="C76">
        <v>1</v>
      </c>
      <c r="D76">
        <v>0</v>
      </c>
      <c r="E76">
        <v>0</v>
      </c>
      <c r="F76">
        <v>0</v>
      </c>
      <c r="G76">
        <v>1</v>
      </c>
      <c r="H76">
        <v>1</v>
      </c>
      <c r="I76">
        <v>1</v>
      </c>
      <c r="J76">
        <v>21</v>
      </c>
      <c r="K76" t="s">
        <v>1</v>
      </c>
      <c r="L76" t="s">
        <v>8</v>
      </c>
      <c r="O76">
        <v>4</v>
      </c>
      <c r="P76" t="str">
        <v>Cairns</v>
      </c>
      <c r="Q76" t="s">
        <v>30</v>
      </c>
      <c r="R76" t="s">
        <v>6</v>
      </c>
      <c r="S76" t="s">
        <v>8</v>
      </c>
    </row>
    <row r="77" spans="1:19" x14ac:dyDescent="0.35">
      <c r="A77" t="s">
        <v>32</v>
      </c>
      <c r="B77">
        <v>1272</v>
      </c>
      <c r="C77">
        <v>272</v>
      </c>
      <c r="D77">
        <v>169</v>
      </c>
      <c r="E77">
        <v>304</v>
      </c>
      <c r="F77">
        <v>298</v>
      </c>
      <c r="G77">
        <v>168</v>
      </c>
      <c r="H77">
        <v>179</v>
      </c>
      <c r="I77">
        <v>74</v>
      </c>
      <c r="J77">
        <v>306</v>
      </c>
      <c r="K77" t="s">
        <v>1</v>
      </c>
      <c r="L77" t="s">
        <v>8</v>
      </c>
      <c r="O77">
        <v>12</v>
      </c>
      <c r="P77" t="str">
        <v>Ipswich</v>
      </c>
      <c r="Q77" t="s">
        <v>30</v>
      </c>
      <c r="R77" t="s">
        <v>6</v>
      </c>
      <c r="S77" t="s">
        <v>8</v>
      </c>
    </row>
    <row r="78" spans="1:19" x14ac:dyDescent="0.35">
      <c r="A78" t="s">
        <v>33</v>
      </c>
      <c r="B78">
        <v>444</v>
      </c>
      <c r="C78">
        <v>85</v>
      </c>
      <c r="D78">
        <v>140</v>
      </c>
      <c r="E78">
        <v>118</v>
      </c>
      <c r="F78">
        <v>200</v>
      </c>
      <c r="G78">
        <v>80</v>
      </c>
      <c r="H78">
        <v>126</v>
      </c>
      <c r="I78">
        <v>135</v>
      </c>
      <c r="J78">
        <v>93</v>
      </c>
      <c r="K78" t="s">
        <v>1</v>
      </c>
      <c r="L78" t="s">
        <v>8</v>
      </c>
      <c r="O78">
        <v>15</v>
      </c>
      <c r="P78" t="str">
        <v>Maroochy</v>
      </c>
      <c r="Q78" t="s">
        <v>30</v>
      </c>
      <c r="R78" t="s">
        <v>6</v>
      </c>
      <c r="S78" t="s">
        <v>8</v>
      </c>
    </row>
    <row r="79" spans="1:19" x14ac:dyDescent="0.35">
      <c r="A79" t="s">
        <v>34</v>
      </c>
      <c r="B79">
        <v>182</v>
      </c>
      <c r="C79">
        <v>24</v>
      </c>
      <c r="D79">
        <v>27</v>
      </c>
      <c r="E79">
        <v>54</v>
      </c>
      <c r="F79">
        <v>26</v>
      </c>
      <c r="G79">
        <v>23</v>
      </c>
      <c r="H79">
        <v>35</v>
      </c>
      <c r="I79">
        <v>18</v>
      </c>
      <c r="J79">
        <v>13</v>
      </c>
      <c r="K79" t="s">
        <v>1</v>
      </c>
      <c r="L79" t="s">
        <v>8</v>
      </c>
      <c r="O79">
        <v>9</v>
      </c>
      <c r="P79" t="str">
        <v>Rockhampton</v>
      </c>
      <c r="Q79" t="s">
        <v>30</v>
      </c>
      <c r="R79" t="s">
        <v>6</v>
      </c>
      <c r="S79" t="s">
        <v>8</v>
      </c>
    </row>
    <row r="80" spans="1:19" x14ac:dyDescent="0.35">
      <c r="A80" t="s">
        <v>22</v>
      </c>
      <c r="B80">
        <v>79</v>
      </c>
      <c r="C80">
        <v>0</v>
      </c>
      <c r="D80">
        <v>3</v>
      </c>
      <c r="E80">
        <v>1</v>
      </c>
      <c r="F80">
        <v>2</v>
      </c>
      <c r="G80">
        <v>5</v>
      </c>
      <c r="H80">
        <v>0</v>
      </c>
      <c r="I80">
        <v>1</v>
      </c>
      <c r="J80">
        <v>7</v>
      </c>
      <c r="K80" t="s">
        <v>0</v>
      </c>
      <c r="L80" t="s">
        <v>7</v>
      </c>
      <c r="O80">
        <v>23</v>
      </c>
      <c r="P80" t="str">
        <v>Southport</v>
      </c>
      <c r="Q80" t="s">
        <v>30</v>
      </c>
      <c r="R80" t="s">
        <v>6</v>
      </c>
      <c r="S80" t="s">
        <v>8</v>
      </c>
    </row>
    <row r="81" spans="1:19" x14ac:dyDescent="0.35">
      <c r="A81" t="s">
        <v>23</v>
      </c>
      <c r="B81">
        <v>77</v>
      </c>
      <c r="C81">
        <v>0</v>
      </c>
      <c r="D81">
        <v>1</v>
      </c>
      <c r="E81">
        <v>3</v>
      </c>
      <c r="F81">
        <v>0</v>
      </c>
      <c r="G81">
        <v>1</v>
      </c>
      <c r="H81">
        <v>0</v>
      </c>
      <c r="I81">
        <v>1</v>
      </c>
      <c r="J81">
        <v>0</v>
      </c>
      <c r="K81" t="s">
        <v>0</v>
      </c>
      <c r="L81" t="s">
        <v>7</v>
      </c>
      <c r="O81">
        <v>6</v>
      </c>
      <c r="P81" t="str">
        <v>Toowoomba</v>
      </c>
      <c r="Q81" t="s">
        <v>30</v>
      </c>
      <c r="R81" t="s">
        <v>6</v>
      </c>
      <c r="S81" t="s">
        <v>8</v>
      </c>
    </row>
    <row r="82" spans="1:19" x14ac:dyDescent="0.35">
      <c r="A82" t="s">
        <v>24</v>
      </c>
      <c r="B82">
        <v>26</v>
      </c>
      <c r="C82">
        <v>0</v>
      </c>
      <c r="D82">
        <v>1</v>
      </c>
      <c r="E82">
        <v>2</v>
      </c>
      <c r="F82">
        <v>0</v>
      </c>
      <c r="G82">
        <v>2</v>
      </c>
      <c r="H82">
        <v>0</v>
      </c>
      <c r="I82">
        <v>1</v>
      </c>
      <c r="J82">
        <v>0</v>
      </c>
      <c r="K82" t="s">
        <v>0</v>
      </c>
      <c r="L82" t="s">
        <v>7</v>
      </c>
      <c r="O82">
        <v>16</v>
      </c>
      <c r="P82" t="str">
        <v>Townsville</v>
      </c>
      <c r="Q82" t="s">
        <v>30</v>
      </c>
      <c r="R82" t="s">
        <v>6</v>
      </c>
      <c r="S82" t="s">
        <v>8</v>
      </c>
    </row>
    <row r="83" spans="1:19" x14ac:dyDescent="0.35">
      <c r="A83" t="s">
        <v>25</v>
      </c>
      <c r="B83">
        <v>15</v>
      </c>
      <c r="C83">
        <v>4</v>
      </c>
      <c r="D83">
        <v>3</v>
      </c>
      <c r="E83">
        <v>5</v>
      </c>
      <c r="F83">
        <v>9</v>
      </c>
      <c r="G83">
        <v>9</v>
      </c>
      <c r="H83">
        <v>0</v>
      </c>
      <c r="I83">
        <v>1</v>
      </c>
      <c r="J83">
        <v>5</v>
      </c>
      <c r="K83" t="s">
        <v>0</v>
      </c>
      <c r="L83" t="s">
        <v>7</v>
      </c>
      <c r="O83">
        <v>5</v>
      </c>
      <c r="P83" t="str" cm="1">
        <f t="array" ref="P83:P91">TRANSPOSE(B1:J1)</f>
        <v>Brisbane</v>
      </c>
      <c r="Q83" t="s">
        <v>31</v>
      </c>
      <c r="R83" t="s">
        <v>6</v>
      </c>
      <c r="S83" t="s">
        <v>8</v>
      </c>
    </row>
    <row r="84" spans="1:19" x14ac:dyDescent="0.35">
      <c r="A84" t="s">
        <v>26</v>
      </c>
      <c r="B84">
        <v>4</v>
      </c>
      <c r="C84">
        <v>0</v>
      </c>
      <c r="D84">
        <v>1</v>
      </c>
      <c r="E84">
        <v>1</v>
      </c>
      <c r="F84">
        <v>0</v>
      </c>
      <c r="G84">
        <v>0</v>
      </c>
      <c r="H84">
        <v>0</v>
      </c>
      <c r="I84">
        <v>0</v>
      </c>
      <c r="J84">
        <v>0</v>
      </c>
      <c r="K84" t="s">
        <v>0</v>
      </c>
      <c r="L84" t="s">
        <v>7</v>
      </c>
      <c r="O84">
        <v>9</v>
      </c>
      <c r="P84" t="str">
        <v>Beenleigh</v>
      </c>
      <c r="Q84" t="s">
        <v>31</v>
      </c>
      <c r="R84" t="s">
        <v>6</v>
      </c>
      <c r="S84" t="s">
        <v>8</v>
      </c>
    </row>
    <row r="85" spans="1:19" x14ac:dyDescent="0.35">
      <c r="A85" t="s">
        <v>27</v>
      </c>
      <c r="B85">
        <v>12</v>
      </c>
      <c r="C85">
        <v>0</v>
      </c>
      <c r="D85">
        <v>2</v>
      </c>
      <c r="E85">
        <v>0</v>
      </c>
      <c r="F85">
        <v>0</v>
      </c>
      <c r="G85">
        <v>0</v>
      </c>
      <c r="H85">
        <v>0</v>
      </c>
      <c r="I85">
        <v>0</v>
      </c>
      <c r="J85">
        <v>0</v>
      </c>
      <c r="K85" t="s">
        <v>0</v>
      </c>
      <c r="L85" t="s">
        <v>7</v>
      </c>
      <c r="O85">
        <v>0</v>
      </c>
      <c r="P85" t="str">
        <v>Cairns</v>
      </c>
      <c r="Q85" t="s">
        <v>31</v>
      </c>
      <c r="R85" t="s">
        <v>6</v>
      </c>
      <c r="S85" t="s">
        <v>8</v>
      </c>
    </row>
    <row r="86" spans="1:19" x14ac:dyDescent="0.35">
      <c r="A86" t="s">
        <v>28</v>
      </c>
      <c r="B86">
        <v>532</v>
      </c>
      <c r="C86">
        <v>123</v>
      </c>
      <c r="D86">
        <v>64</v>
      </c>
      <c r="E86">
        <v>110</v>
      </c>
      <c r="F86">
        <v>59</v>
      </c>
      <c r="G86">
        <v>62</v>
      </c>
      <c r="H86">
        <v>51</v>
      </c>
      <c r="I86">
        <v>26</v>
      </c>
      <c r="J86">
        <v>143</v>
      </c>
      <c r="K86" t="s">
        <v>0</v>
      </c>
      <c r="L86" t="s">
        <v>8</v>
      </c>
      <c r="O86">
        <v>0</v>
      </c>
      <c r="P86" t="str">
        <v>Ipswich</v>
      </c>
      <c r="Q86" t="s">
        <v>31</v>
      </c>
      <c r="R86" t="s">
        <v>6</v>
      </c>
      <c r="S86" t="s">
        <v>8</v>
      </c>
    </row>
    <row r="87" spans="1:19" x14ac:dyDescent="0.35">
      <c r="A87" t="s">
        <v>29</v>
      </c>
      <c r="B87">
        <v>202</v>
      </c>
      <c r="C87">
        <v>16</v>
      </c>
      <c r="D87">
        <v>32</v>
      </c>
      <c r="E87">
        <v>23</v>
      </c>
      <c r="F87">
        <v>19</v>
      </c>
      <c r="G87">
        <v>26</v>
      </c>
      <c r="H87">
        <v>20</v>
      </c>
      <c r="I87">
        <v>7</v>
      </c>
      <c r="J87">
        <v>35</v>
      </c>
      <c r="K87" t="s">
        <v>0</v>
      </c>
      <c r="L87" t="s">
        <v>8</v>
      </c>
      <c r="O87">
        <v>1</v>
      </c>
      <c r="P87" t="str">
        <v>Maroochy</v>
      </c>
      <c r="Q87" t="s">
        <v>31</v>
      </c>
      <c r="R87" t="s">
        <v>6</v>
      </c>
      <c r="S87" t="s">
        <v>8</v>
      </c>
    </row>
    <row r="88" spans="1:19" x14ac:dyDescent="0.35">
      <c r="A88" t="s">
        <v>30</v>
      </c>
      <c r="B88">
        <v>117</v>
      </c>
      <c r="C88">
        <v>13</v>
      </c>
      <c r="D88">
        <v>14</v>
      </c>
      <c r="E88">
        <v>14</v>
      </c>
      <c r="F88">
        <v>24</v>
      </c>
      <c r="G88">
        <v>20</v>
      </c>
      <c r="H88">
        <v>5</v>
      </c>
      <c r="I88">
        <v>97</v>
      </c>
      <c r="J88">
        <v>12</v>
      </c>
      <c r="K88" t="s">
        <v>0</v>
      </c>
      <c r="L88" t="s">
        <v>8</v>
      </c>
      <c r="O88">
        <v>0</v>
      </c>
      <c r="P88" t="str">
        <v>Rockhampton</v>
      </c>
      <c r="Q88" t="s">
        <v>31</v>
      </c>
      <c r="R88" t="s">
        <v>6</v>
      </c>
      <c r="S88" t="s">
        <v>8</v>
      </c>
    </row>
    <row r="89" spans="1:19" x14ac:dyDescent="0.35">
      <c r="A89" t="s">
        <v>31</v>
      </c>
      <c r="B89">
        <v>49</v>
      </c>
      <c r="C89">
        <v>5</v>
      </c>
      <c r="D89">
        <v>8</v>
      </c>
      <c r="E89">
        <v>6</v>
      </c>
      <c r="F89">
        <v>5</v>
      </c>
      <c r="G89">
        <v>0</v>
      </c>
      <c r="H89">
        <v>1</v>
      </c>
      <c r="I89">
        <v>0</v>
      </c>
      <c r="J89">
        <v>6</v>
      </c>
      <c r="K89" t="s">
        <v>0</v>
      </c>
      <c r="L89" t="s">
        <v>8</v>
      </c>
      <c r="O89">
        <v>3</v>
      </c>
      <c r="P89" t="str">
        <v>Southport</v>
      </c>
      <c r="Q89" t="s">
        <v>31</v>
      </c>
      <c r="R89" t="s">
        <v>6</v>
      </c>
      <c r="S89" t="s">
        <v>8</v>
      </c>
    </row>
    <row r="90" spans="1:19" x14ac:dyDescent="0.35">
      <c r="A90" t="s">
        <v>32</v>
      </c>
      <c r="B90">
        <v>1626</v>
      </c>
      <c r="C90">
        <v>186</v>
      </c>
      <c r="D90">
        <v>167</v>
      </c>
      <c r="E90">
        <v>246</v>
      </c>
      <c r="F90">
        <v>266</v>
      </c>
      <c r="G90">
        <v>118</v>
      </c>
      <c r="H90">
        <v>89</v>
      </c>
      <c r="I90">
        <v>63</v>
      </c>
      <c r="J90">
        <v>243</v>
      </c>
      <c r="K90" t="s">
        <v>0</v>
      </c>
      <c r="L90" t="s">
        <v>8</v>
      </c>
      <c r="O90">
        <v>0</v>
      </c>
      <c r="P90" t="str">
        <v>Toowoomba</v>
      </c>
      <c r="Q90" t="s">
        <v>31</v>
      </c>
      <c r="R90" t="s">
        <v>6</v>
      </c>
      <c r="S90" t="s">
        <v>8</v>
      </c>
    </row>
    <row r="91" spans="1:19" x14ac:dyDescent="0.35">
      <c r="A91" t="s">
        <v>33</v>
      </c>
      <c r="B91">
        <v>955</v>
      </c>
      <c r="C91">
        <v>56</v>
      </c>
      <c r="D91">
        <v>109</v>
      </c>
      <c r="E91">
        <v>154</v>
      </c>
      <c r="F91">
        <v>45</v>
      </c>
      <c r="G91">
        <v>65</v>
      </c>
      <c r="H91">
        <v>129</v>
      </c>
      <c r="I91">
        <v>62</v>
      </c>
      <c r="J91">
        <v>309</v>
      </c>
      <c r="K91" t="s">
        <v>0</v>
      </c>
      <c r="L91" t="s">
        <v>8</v>
      </c>
      <c r="O91">
        <v>1</v>
      </c>
      <c r="P91" t="str">
        <v>Townsville</v>
      </c>
      <c r="Q91" t="s">
        <v>31</v>
      </c>
      <c r="R91" t="s">
        <v>6</v>
      </c>
      <c r="S91" t="s">
        <v>8</v>
      </c>
    </row>
    <row r="92" spans="1:19" x14ac:dyDescent="0.35">
      <c r="A92" t="s">
        <v>34</v>
      </c>
      <c r="B92">
        <v>255</v>
      </c>
      <c r="C92">
        <v>27</v>
      </c>
      <c r="D92">
        <v>143</v>
      </c>
      <c r="E92">
        <v>24</v>
      </c>
      <c r="F92">
        <v>16</v>
      </c>
      <c r="G92">
        <v>24</v>
      </c>
      <c r="H92">
        <v>11</v>
      </c>
      <c r="I92">
        <v>49</v>
      </c>
      <c r="J92">
        <v>42</v>
      </c>
      <c r="K92" t="s">
        <v>0</v>
      </c>
      <c r="L92" t="s">
        <v>8</v>
      </c>
      <c r="O92">
        <v>1833</v>
      </c>
      <c r="P92" t="str" cm="1">
        <f t="array" ref="P92:P100">TRANSPOSE(B1:J1)</f>
        <v>Brisbane</v>
      </c>
      <c r="Q92" t="s">
        <v>32</v>
      </c>
      <c r="R92" t="s">
        <v>6</v>
      </c>
      <c r="S92" t="s">
        <v>8</v>
      </c>
    </row>
    <row r="93" spans="1:19" x14ac:dyDescent="0.35">
      <c r="O93">
        <v>288</v>
      </c>
      <c r="P93" t="str">
        <v>Beenleigh</v>
      </c>
      <c r="Q93" t="s">
        <v>32</v>
      </c>
      <c r="R93" t="s">
        <v>6</v>
      </c>
      <c r="S93" t="s">
        <v>8</v>
      </c>
    </row>
    <row r="94" spans="1:19" x14ac:dyDescent="0.35">
      <c r="O94">
        <v>205</v>
      </c>
      <c r="P94" t="str">
        <v>Cairns</v>
      </c>
      <c r="Q94" t="s">
        <v>32</v>
      </c>
      <c r="R94" t="s">
        <v>6</v>
      </c>
      <c r="S94" t="s">
        <v>8</v>
      </c>
    </row>
    <row r="95" spans="1:19" x14ac:dyDescent="0.35">
      <c r="O95">
        <v>258</v>
      </c>
      <c r="P95" t="str">
        <v>Ipswich</v>
      </c>
      <c r="Q95" t="s">
        <v>32</v>
      </c>
      <c r="R95" t="s">
        <v>6</v>
      </c>
      <c r="S95" t="s">
        <v>8</v>
      </c>
    </row>
    <row r="96" spans="1:19" x14ac:dyDescent="0.35">
      <c r="O96">
        <v>258</v>
      </c>
      <c r="P96" t="str">
        <v>Maroochy</v>
      </c>
      <c r="Q96" t="s">
        <v>32</v>
      </c>
      <c r="R96" t="s">
        <v>6</v>
      </c>
      <c r="S96" t="s">
        <v>8</v>
      </c>
    </row>
    <row r="97" spans="15:19" x14ac:dyDescent="0.35">
      <c r="O97">
        <v>187</v>
      </c>
      <c r="P97" t="str">
        <v>Rockhampton</v>
      </c>
      <c r="Q97" t="s">
        <v>32</v>
      </c>
      <c r="R97" t="s">
        <v>6</v>
      </c>
      <c r="S97" t="s">
        <v>8</v>
      </c>
    </row>
    <row r="98" spans="15:19" x14ac:dyDescent="0.35">
      <c r="O98">
        <v>258</v>
      </c>
      <c r="P98" t="str">
        <v>Southport</v>
      </c>
      <c r="Q98" t="s">
        <v>32</v>
      </c>
      <c r="R98" t="s">
        <v>6</v>
      </c>
      <c r="S98" t="s">
        <v>8</v>
      </c>
    </row>
    <row r="99" spans="15:19" x14ac:dyDescent="0.35">
      <c r="O99">
        <v>204</v>
      </c>
      <c r="P99" t="str">
        <v>Toowoomba</v>
      </c>
      <c r="Q99" t="s">
        <v>32</v>
      </c>
      <c r="R99" t="s">
        <v>6</v>
      </c>
      <c r="S99" t="s">
        <v>8</v>
      </c>
    </row>
    <row r="100" spans="15:19" x14ac:dyDescent="0.35">
      <c r="O100">
        <v>246</v>
      </c>
      <c r="P100" t="str">
        <v>Townsville</v>
      </c>
      <c r="Q100" t="s">
        <v>32</v>
      </c>
      <c r="R100" t="s">
        <v>6</v>
      </c>
      <c r="S100" t="s">
        <v>8</v>
      </c>
    </row>
    <row r="101" spans="15:19" x14ac:dyDescent="0.35">
      <c r="O101">
        <v>462</v>
      </c>
      <c r="P101" t="str" cm="1">
        <f t="array" ref="P101:P109">TRANSPOSE(B1:J1)</f>
        <v>Brisbane</v>
      </c>
      <c r="Q101" t="s">
        <v>33</v>
      </c>
      <c r="R101" t="s">
        <v>6</v>
      </c>
      <c r="S101" t="s">
        <v>8</v>
      </c>
    </row>
    <row r="102" spans="15:19" x14ac:dyDescent="0.35">
      <c r="O102">
        <v>20</v>
      </c>
      <c r="P102" t="str">
        <v>Beenleigh</v>
      </c>
      <c r="Q102" t="s">
        <v>33</v>
      </c>
      <c r="R102" t="s">
        <v>6</v>
      </c>
      <c r="S102" t="s">
        <v>8</v>
      </c>
    </row>
    <row r="103" spans="15:19" x14ac:dyDescent="0.35">
      <c r="O103">
        <v>139</v>
      </c>
      <c r="P103" t="str">
        <v>Cairns</v>
      </c>
      <c r="Q103" t="s">
        <v>33</v>
      </c>
      <c r="R103" t="s">
        <v>6</v>
      </c>
      <c r="S103" t="s">
        <v>8</v>
      </c>
    </row>
    <row r="104" spans="15:19" x14ac:dyDescent="0.35">
      <c r="O104">
        <v>44</v>
      </c>
      <c r="P104" t="str">
        <v>Ipswich</v>
      </c>
      <c r="Q104" t="s">
        <v>33</v>
      </c>
      <c r="R104" t="s">
        <v>6</v>
      </c>
      <c r="S104" t="s">
        <v>8</v>
      </c>
    </row>
    <row r="105" spans="15:19" x14ac:dyDescent="0.35">
      <c r="O105">
        <v>65</v>
      </c>
      <c r="P105" t="str">
        <v>Maroochy</v>
      </c>
      <c r="Q105" t="s">
        <v>33</v>
      </c>
      <c r="R105" t="s">
        <v>6</v>
      </c>
      <c r="S105" t="s">
        <v>8</v>
      </c>
    </row>
    <row r="106" spans="15:19" x14ac:dyDescent="0.35">
      <c r="O106">
        <v>62</v>
      </c>
      <c r="P106" t="str">
        <v>Rockhampton</v>
      </c>
      <c r="Q106" t="s">
        <v>33</v>
      </c>
      <c r="R106" t="s">
        <v>6</v>
      </c>
      <c r="S106" t="s">
        <v>8</v>
      </c>
    </row>
    <row r="107" spans="15:19" x14ac:dyDescent="0.35">
      <c r="O107">
        <v>55</v>
      </c>
      <c r="P107" t="str">
        <v>Southport</v>
      </c>
      <c r="Q107" t="s">
        <v>33</v>
      </c>
      <c r="R107" t="s">
        <v>6</v>
      </c>
      <c r="S107" t="s">
        <v>8</v>
      </c>
    </row>
    <row r="108" spans="15:19" x14ac:dyDescent="0.35">
      <c r="O108">
        <v>20</v>
      </c>
      <c r="P108" t="str">
        <v>Toowoomba</v>
      </c>
      <c r="Q108" t="s">
        <v>33</v>
      </c>
      <c r="R108" t="s">
        <v>6</v>
      </c>
      <c r="S108" t="s">
        <v>8</v>
      </c>
    </row>
    <row r="109" spans="15:19" x14ac:dyDescent="0.35">
      <c r="O109">
        <v>110</v>
      </c>
      <c r="P109" t="str">
        <v>Townsville</v>
      </c>
      <c r="Q109" t="s">
        <v>33</v>
      </c>
      <c r="R109" t="s">
        <v>6</v>
      </c>
      <c r="S109" t="s">
        <v>8</v>
      </c>
    </row>
    <row r="110" spans="15:19" x14ac:dyDescent="0.35">
      <c r="O110">
        <v>402</v>
      </c>
      <c r="P110" t="str" cm="1">
        <f t="array" ref="P110:P118">TRANSPOSE(B1:J1)</f>
        <v>Brisbane</v>
      </c>
      <c r="Q110" t="s">
        <v>34</v>
      </c>
      <c r="R110" t="s">
        <v>6</v>
      </c>
      <c r="S110" t="s">
        <v>8</v>
      </c>
    </row>
    <row r="111" spans="15:19" x14ac:dyDescent="0.35">
      <c r="O111">
        <v>38</v>
      </c>
      <c r="P111" t="str">
        <v>Beenleigh</v>
      </c>
      <c r="Q111" t="s">
        <v>34</v>
      </c>
      <c r="R111" t="s">
        <v>6</v>
      </c>
      <c r="S111" t="s">
        <v>8</v>
      </c>
    </row>
    <row r="112" spans="15:19" x14ac:dyDescent="0.35">
      <c r="O112">
        <v>54</v>
      </c>
      <c r="P112" t="str">
        <v>Cairns</v>
      </c>
      <c r="Q112" t="s">
        <v>34</v>
      </c>
      <c r="R112" t="s">
        <v>6</v>
      </c>
      <c r="S112" t="s">
        <v>8</v>
      </c>
    </row>
    <row r="113" spans="15:19" x14ac:dyDescent="0.35">
      <c r="O113">
        <v>45</v>
      </c>
      <c r="P113" t="str">
        <v>Ipswich</v>
      </c>
      <c r="Q113" t="s">
        <v>34</v>
      </c>
      <c r="R113" t="s">
        <v>6</v>
      </c>
      <c r="S113" t="s">
        <v>8</v>
      </c>
    </row>
    <row r="114" spans="15:19" x14ac:dyDescent="0.35">
      <c r="O114">
        <v>8</v>
      </c>
      <c r="P114" t="str">
        <v>Maroochy</v>
      </c>
      <c r="Q114" t="s">
        <v>34</v>
      </c>
      <c r="R114" t="s">
        <v>6</v>
      </c>
      <c r="S114" t="s">
        <v>8</v>
      </c>
    </row>
    <row r="115" spans="15:19" x14ac:dyDescent="0.35">
      <c r="O115">
        <v>78</v>
      </c>
      <c r="P115" t="str">
        <v>Rockhampton</v>
      </c>
      <c r="Q115" t="s">
        <v>34</v>
      </c>
      <c r="R115" t="s">
        <v>6</v>
      </c>
      <c r="S115" t="s">
        <v>8</v>
      </c>
    </row>
    <row r="116" spans="15:19" x14ac:dyDescent="0.35">
      <c r="O116">
        <v>29</v>
      </c>
      <c r="P116" t="str">
        <v>Southport</v>
      </c>
      <c r="Q116" t="s">
        <v>34</v>
      </c>
      <c r="R116" t="s">
        <v>6</v>
      </c>
      <c r="S116" t="s">
        <v>8</v>
      </c>
    </row>
    <row r="117" spans="15:19" x14ac:dyDescent="0.35">
      <c r="O117">
        <v>110</v>
      </c>
      <c r="P117" t="str">
        <v>Toowoomba</v>
      </c>
      <c r="Q117" t="s">
        <v>34</v>
      </c>
      <c r="R117" t="s">
        <v>6</v>
      </c>
      <c r="S117" t="s">
        <v>8</v>
      </c>
    </row>
    <row r="118" spans="15:19" x14ac:dyDescent="0.35">
      <c r="O118">
        <v>22</v>
      </c>
      <c r="P118" t="str">
        <v>Townsville</v>
      </c>
      <c r="Q118" t="s">
        <v>34</v>
      </c>
      <c r="R118" t="s">
        <v>6</v>
      </c>
      <c r="S118" t="s">
        <v>8</v>
      </c>
    </row>
    <row r="119" spans="15:19" x14ac:dyDescent="0.35">
      <c r="O119">
        <v>87</v>
      </c>
      <c r="P119" t="str" cm="1">
        <f t="array" ref="P119:P127">TRANSPOSE(B1:J1)</f>
        <v>Brisbane</v>
      </c>
      <c r="Q119" t="s">
        <v>22</v>
      </c>
      <c r="R119" t="s">
        <v>5</v>
      </c>
      <c r="S119" t="s">
        <v>7</v>
      </c>
    </row>
    <row r="120" spans="15:19" x14ac:dyDescent="0.35">
      <c r="O120">
        <v>2</v>
      </c>
      <c r="P120" t="str">
        <v>Beenleigh</v>
      </c>
      <c r="Q120" t="s">
        <v>22</v>
      </c>
      <c r="R120" t="s">
        <v>5</v>
      </c>
      <c r="S120" t="s">
        <v>7</v>
      </c>
    </row>
    <row r="121" spans="15:19" x14ac:dyDescent="0.35">
      <c r="O121">
        <v>3</v>
      </c>
      <c r="P121" t="str">
        <v>Cairns</v>
      </c>
      <c r="Q121" t="s">
        <v>22</v>
      </c>
      <c r="R121" t="s">
        <v>5</v>
      </c>
      <c r="S121" t="s">
        <v>7</v>
      </c>
    </row>
    <row r="122" spans="15:19" x14ac:dyDescent="0.35">
      <c r="O122">
        <v>7</v>
      </c>
      <c r="P122" t="str">
        <v>Ipswich</v>
      </c>
      <c r="Q122" t="s">
        <v>22</v>
      </c>
      <c r="R122" t="s">
        <v>5</v>
      </c>
      <c r="S122" t="s">
        <v>7</v>
      </c>
    </row>
    <row r="123" spans="15:19" x14ac:dyDescent="0.35">
      <c r="O123">
        <v>4</v>
      </c>
      <c r="P123" t="str">
        <v>Maroochy</v>
      </c>
      <c r="Q123" t="s">
        <v>22</v>
      </c>
      <c r="R123" t="s">
        <v>5</v>
      </c>
      <c r="S123" t="s">
        <v>7</v>
      </c>
    </row>
    <row r="124" spans="15:19" x14ac:dyDescent="0.35">
      <c r="O124">
        <v>5</v>
      </c>
      <c r="P124" t="str">
        <v>Rockhampton</v>
      </c>
      <c r="Q124" t="s">
        <v>22</v>
      </c>
      <c r="R124" t="s">
        <v>5</v>
      </c>
      <c r="S124" t="s">
        <v>7</v>
      </c>
    </row>
    <row r="125" spans="15:19" x14ac:dyDescent="0.35">
      <c r="O125">
        <v>5</v>
      </c>
      <c r="P125" t="str">
        <v>Southport</v>
      </c>
      <c r="Q125" t="s">
        <v>22</v>
      </c>
      <c r="R125" t="s">
        <v>5</v>
      </c>
      <c r="S125" t="s">
        <v>7</v>
      </c>
    </row>
    <row r="126" spans="15:19" x14ac:dyDescent="0.35">
      <c r="O126">
        <v>1</v>
      </c>
      <c r="P126" t="str">
        <v>Toowoomba</v>
      </c>
      <c r="Q126" t="s">
        <v>22</v>
      </c>
      <c r="R126" t="s">
        <v>5</v>
      </c>
      <c r="S126" t="s">
        <v>7</v>
      </c>
    </row>
    <row r="127" spans="15:19" x14ac:dyDescent="0.35">
      <c r="O127">
        <v>3</v>
      </c>
      <c r="P127" t="str">
        <v>Townsville</v>
      </c>
      <c r="Q127" t="s">
        <v>22</v>
      </c>
      <c r="R127" t="s">
        <v>5</v>
      </c>
      <c r="S127" t="s">
        <v>7</v>
      </c>
    </row>
    <row r="128" spans="15:19" x14ac:dyDescent="0.35">
      <c r="O128">
        <v>56</v>
      </c>
      <c r="P128" t="str" cm="1">
        <f t="array" ref="P128:P136">TRANSPOSE(B1:J1)</f>
        <v>Brisbane</v>
      </c>
      <c r="Q128" t="s">
        <v>23</v>
      </c>
      <c r="R128" t="s">
        <v>5</v>
      </c>
      <c r="S128" t="s">
        <v>7</v>
      </c>
    </row>
    <row r="129" spans="15:19" x14ac:dyDescent="0.35">
      <c r="O129">
        <v>0</v>
      </c>
      <c r="P129" t="str">
        <v>Beenleigh</v>
      </c>
      <c r="Q129" t="s">
        <v>23</v>
      </c>
      <c r="R129" t="s">
        <v>5</v>
      </c>
      <c r="S129" t="s">
        <v>7</v>
      </c>
    </row>
    <row r="130" spans="15:19" x14ac:dyDescent="0.35">
      <c r="O130">
        <v>0</v>
      </c>
      <c r="P130" t="str">
        <v>Cairns</v>
      </c>
      <c r="Q130" t="s">
        <v>23</v>
      </c>
      <c r="R130" t="s">
        <v>5</v>
      </c>
      <c r="S130" t="s">
        <v>7</v>
      </c>
    </row>
    <row r="131" spans="15:19" x14ac:dyDescent="0.35">
      <c r="O131">
        <v>4</v>
      </c>
      <c r="P131" t="str">
        <v>Ipswich</v>
      </c>
      <c r="Q131" t="s">
        <v>23</v>
      </c>
      <c r="R131" t="s">
        <v>5</v>
      </c>
      <c r="S131" t="s">
        <v>7</v>
      </c>
    </row>
    <row r="132" spans="15:19" x14ac:dyDescent="0.35">
      <c r="O132">
        <v>0</v>
      </c>
      <c r="P132" t="str">
        <v>Maroochy</v>
      </c>
      <c r="Q132" t="s">
        <v>23</v>
      </c>
      <c r="R132" t="s">
        <v>5</v>
      </c>
      <c r="S132" t="s">
        <v>7</v>
      </c>
    </row>
    <row r="133" spans="15:19" x14ac:dyDescent="0.35">
      <c r="O133">
        <v>4</v>
      </c>
      <c r="P133" t="str">
        <v>Rockhampton</v>
      </c>
      <c r="Q133" t="s">
        <v>23</v>
      </c>
      <c r="R133" t="s">
        <v>5</v>
      </c>
      <c r="S133" t="s">
        <v>7</v>
      </c>
    </row>
    <row r="134" spans="15:19" x14ac:dyDescent="0.35">
      <c r="O134">
        <v>0</v>
      </c>
      <c r="P134" t="str">
        <v>Southport</v>
      </c>
      <c r="Q134" t="s">
        <v>23</v>
      </c>
      <c r="R134" t="s">
        <v>5</v>
      </c>
      <c r="S134" t="s">
        <v>7</v>
      </c>
    </row>
    <row r="135" spans="15:19" x14ac:dyDescent="0.35">
      <c r="O135">
        <v>0</v>
      </c>
      <c r="P135" t="str">
        <v>Toowoomba</v>
      </c>
      <c r="Q135" t="s">
        <v>23</v>
      </c>
      <c r="R135" t="s">
        <v>5</v>
      </c>
      <c r="S135" t="s">
        <v>7</v>
      </c>
    </row>
    <row r="136" spans="15:19" x14ac:dyDescent="0.35">
      <c r="O136">
        <v>0</v>
      </c>
      <c r="P136" t="str">
        <v>Townsville</v>
      </c>
      <c r="Q136" t="s">
        <v>23</v>
      </c>
      <c r="R136" t="s">
        <v>5</v>
      </c>
      <c r="S136" t="s">
        <v>7</v>
      </c>
    </row>
    <row r="137" spans="15:19" x14ac:dyDescent="0.35">
      <c r="O137">
        <v>21</v>
      </c>
      <c r="P137" t="str" cm="1">
        <f t="array" ref="P137:P145">TRANSPOSE(B1:J1)</f>
        <v>Brisbane</v>
      </c>
      <c r="Q137" t="s">
        <v>24</v>
      </c>
      <c r="R137" t="s">
        <v>5</v>
      </c>
      <c r="S137" t="s">
        <v>7</v>
      </c>
    </row>
    <row r="138" spans="15:19" x14ac:dyDescent="0.35">
      <c r="O138">
        <v>0</v>
      </c>
      <c r="P138" t="str">
        <v>Beenleigh</v>
      </c>
      <c r="Q138" t="s">
        <v>24</v>
      </c>
      <c r="R138" t="s">
        <v>5</v>
      </c>
      <c r="S138" t="s">
        <v>7</v>
      </c>
    </row>
    <row r="139" spans="15:19" x14ac:dyDescent="0.35">
      <c r="O139">
        <v>3</v>
      </c>
      <c r="P139" t="str">
        <v>Cairns</v>
      </c>
      <c r="Q139" t="s">
        <v>24</v>
      </c>
      <c r="R139" t="s">
        <v>5</v>
      </c>
      <c r="S139" t="s">
        <v>7</v>
      </c>
    </row>
    <row r="140" spans="15:19" x14ac:dyDescent="0.35">
      <c r="O140">
        <v>1</v>
      </c>
      <c r="P140" t="str">
        <v>Ipswich</v>
      </c>
      <c r="Q140" t="s">
        <v>24</v>
      </c>
      <c r="R140" t="s">
        <v>5</v>
      </c>
      <c r="S140" t="s">
        <v>7</v>
      </c>
    </row>
    <row r="141" spans="15:19" x14ac:dyDescent="0.35">
      <c r="O141">
        <v>0</v>
      </c>
      <c r="P141" t="str">
        <v>Maroochy</v>
      </c>
      <c r="Q141" t="s">
        <v>24</v>
      </c>
      <c r="R141" t="s">
        <v>5</v>
      </c>
      <c r="S141" t="s">
        <v>7</v>
      </c>
    </row>
    <row r="142" spans="15:19" x14ac:dyDescent="0.35">
      <c r="O142">
        <v>0</v>
      </c>
      <c r="P142" t="str">
        <v>Rockhampton</v>
      </c>
      <c r="Q142" t="s">
        <v>24</v>
      </c>
      <c r="R142" t="s">
        <v>5</v>
      </c>
      <c r="S142" t="s">
        <v>7</v>
      </c>
    </row>
    <row r="143" spans="15:19" x14ac:dyDescent="0.35">
      <c r="O143">
        <v>1</v>
      </c>
      <c r="P143" t="str">
        <v>Southport</v>
      </c>
      <c r="Q143" t="s">
        <v>24</v>
      </c>
      <c r="R143" t="s">
        <v>5</v>
      </c>
      <c r="S143" t="s">
        <v>7</v>
      </c>
    </row>
    <row r="144" spans="15:19" x14ac:dyDescent="0.35">
      <c r="O144">
        <v>0</v>
      </c>
      <c r="P144" t="str">
        <v>Toowoomba</v>
      </c>
      <c r="Q144" t="s">
        <v>24</v>
      </c>
      <c r="R144" t="s">
        <v>5</v>
      </c>
      <c r="S144" t="s">
        <v>7</v>
      </c>
    </row>
    <row r="145" spans="15:19" x14ac:dyDescent="0.35">
      <c r="O145">
        <v>2</v>
      </c>
      <c r="P145" t="str">
        <v>Townsville</v>
      </c>
      <c r="Q145" t="s">
        <v>24</v>
      </c>
      <c r="R145" t="s">
        <v>5</v>
      </c>
      <c r="S145" t="s">
        <v>7</v>
      </c>
    </row>
    <row r="146" spans="15:19" x14ac:dyDescent="0.35">
      <c r="O146">
        <v>16</v>
      </c>
      <c r="P146" t="str" cm="1">
        <f t="array" ref="P146:P154">TRANSPOSE(B1:J1)</f>
        <v>Brisbane</v>
      </c>
      <c r="Q146" t="s">
        <v>25</v>
      </c>
      <c r="R146" t="s">
        <v>5</v>
      </c>
      <c r="S146" t="s">
        <v>7</v>
      </c>
    </row>
    <row r="147" spans="15:19" x14ac:dyDescent="0.35">
      <c r="O147">
        <v>5</v>
      </c>
      <c r="P147" t="str">
        <v>Beenleigh</v>
      </c>
      <c r="Q147" t="s">
        <v>25</v>
      </c>
      <c r="R147" t="s">
        <v>5</v>
      </c>
      <c r="S147" t="s">
        <v>7</v>
      </c>
    </row>
    <row r="148" spans="15:19" x14ac:dyDescent="0.35">
      <c r="O148">
        <v>3</v>
      </c>
      <c r="P148" t="str">
        <v>Cairns</v>
      </c>
      <c r="Q148" t="s">
        <v>25</v>
      </c>
      <c r="R148" t="s">
        <v>5</v>
      </c>
      <c r="S148" t="s">
        <v>7</v>
      </c>
    </row>
    <row r="149" spans="15:19" x14ac:dyDescent="0.35">
      <c r="O149">
        <v>3</v>
      </c>
      <c r="P149" t="str">
        <v>Ipswich</v>
      </c>
      <c r="Q149" t="s">
        <v>25</v>
      </c>
      <c r="R149" t="s">
        <v>5</v>
      </c>
      <c r="S149" t="s">
        <v>7</v>
      </c>
    </row>
    <row r="150" spans="15:19" x14ac:dyDescent="0.35">
      <c r="O150">
        <v>2</v>
      </c>
      <c r="P150" t="str">
        <v>Maroochy</v>
      </c>
      <c r="Q150" t="s">
        <v>25</v>
      </c>
      <c r="R150" t="s">
        <v>5</v>
      </c>
      <c r="S150" t="s">
        <v>7</v>
      </c>
    </row>
    <row r="151" spans="15:19" x14ac:dyDescent="0.35">
      <c r="O151">
        <v>11</v>
      </c>
      <c r="P151" t="str">
        <v>Rockhampton</v>
      </c>
      <c r="Q151" t="s">
        <v>25</v>
      </c>
      <c r="R151" t="s">
        <v>5</v>
      </c>
      <c r="S151" t="s">
        <v>7</v>
      </c>
    </row>
    <row r="152" spans="15:19" x14ac:dyDescent="0.35">
      <c r="O152">
        <v>1</v>
      </c>
      <c r="P152" t="str">
        <v>Southport</v>
      </c>
      <c r="Q152" t="s">
        <v>25</v>
      </c>
      <c r="R152" t="s">
        <v>5</v>
      </c>
      <c r="S152" t="s">
        <v>7</v>
      </c>
    </row>
    <row r="153" spans="15:19" x14ac:dyDescent="0.35">
      <c r="O153">
        <v>3</v>
      </c>
      <c r="P153" t="str">
        <v>Toowoomba</v>
      </c>
      <c r="Q153" t="s">
        <v>25</v>
      </c>
      <c r="R153" t="s">
        <v>5</v>
      </c>
      <c r="S153" t="s">
        <v>7</v>
      </c>
    </row>
    <row r="154" spans="15:19" x14ac:dyDescent="0.35">
      <c r="O154">
        <v>6</v>
      </c>
      <c r="P154" t="str">
        <v>Townsville</v>
      </c>
      <c r="Q154" t="s">
        <v>25</v>
      </c>
      <c r="R154" t="s">
        <v>5</v>
      </c>
      <c r="S154" t="s">
        <v>7</v>
      </c>
    </row>
    <row r="155" spans="15:19" x14ac:dyDescent="0.35">
      <c r="O155">
        <v>4</v>
      </c>
      <c r="P155" t="str" cm="1">
        <f t="array" ref="P155:P163">TRANSPOSE(B1:J1)</f>
        <v>Brisbane</v>
      </c>
      <c r="Q155" t="s">
        <v>26</v>
      </c>
      <c r="R155" t="s">
        <v>5</v>
      </c>
      <c r="S155" t="s">
        <v>7</v>
      </c>
    </row>
    <row r="156" spans="15:19" x14ac:dyDescent="0.35">
      <c r="O156">
        <v>0</v>
      </c>
      <c r="P156" t="str">
        <v>Beenleigh</v>
      </c>
      <c r="Q156" t="s">
        <v>26</v>
      </c>
      <c r="R156" t="s">
        <v>5</v>
      </c>
      <c r="S156" t="s">
        <v>7</v>
      </c>
    </row>
    <row r="157" spans="15:19" x14ac:dyDescent="0.35">
      <c r="O157">
        <v>0</v>
      </c>
      <c r="P157" t="str">
        <v>Cairns</v>
      </c>
      <c r="Q157" t="s">
        <v>26</v>
      </c>
      <c r="R157" t="s">
        <v>5</v>
      </c>
      <c r="S157" t="s">
        <v>7</v>
      </c>
    </row>
    <row r="158" spans="15:19" x14ac:dyDescent="0.35">
      <c r="O158">
        <v>0</v>
      </c>
      <c r="P158" t="str">
        <v>Ipswich</v>
      </c>
      <c r="Q158" t="s">
        <v>26</v>
      </c>
      <c r="R158" t="s">
        <v>5</v>
      </c>
      <c r="S158" t="s">
        <v>7</v>
      </c>
    </row>
    <row r="159" spans="15:19" x14ac:dyDescent="0.35">
      <c r="O159">
        <v>0</v>
      </c>
      <c r="P159" t="str">
        <v>Maroochy</v>
      </c>
      <c r="Q159" t="s">
        <v>26</v>
      </c>
      <c r="R159" t="s">
        <v>5</v>
      </c>
      <c r="S159" t="s">
        <v>7</v>
      </c>
    </row>
    <row r="160" spans="15:19" x14ac:dyDescent="0.35">
      <c r="O160">
        <v>0</v>
      </c>
      <c r="P160" t="str">
        <v>Rockhampton</v>
      </c>
      <c r="Q160" t="s">
        <v>26</v>
      </c>
      <c r="R160" t="s">
        <v>5</v>
      </c>
      <c r="S160" t="s">
        <v>7</v>
      </c>
    </row>
    <row r="161" spans="15:19" x14ac:dyDescent="0.35">
      <c r="O161">
        <v>0</v>
      </c>
      <c r="P161" t="str">
        <v>Southport</v>
      </c>
      <c r="Q161" t="s">
        <v>26</v>
      </c>
      <c r="R161" t="s">
        <v>5</v>
      </c>
      <c r="S161" t="s">
        <v>7</v>
      </c>
    </row>
    <row r="162" spans="15:19" x14ac:dyDescent="0.35">
      <c r="O162">
        <v>0</v>
      </c>
      <c r="P162" t="str">
        <v>Toowoomba</v>
      </c>
      <c r="Q162" t="s">
        <v>26</v>
      </c>
      <c r="R162" t="s">
        <v>5</v>
      </c>
      <c r="S162" t="s">
        <v>7</v>
      </c>
    </row>
    <row r="163" spans="15:19" x14ac:dyDescent="0.35">
      <c r="O163">
        <v>0</v>
      </c>
      <c r="P163" t="str">
        <v>Townsville</v>
      </c>
      <c r="Q163" t="s">
        <v>26</v>
      </c>
      <c r="R163" t="s">
        <v>5</v>
      </c>
      <c r="S163" t="s">
        <v>7</v>
      </c>
    </row>
    <row r="164" spans="15:19" x14ac:dyDescent="0.35">
      <c r="O164">
        <v>18</v>
      </c>
      <c r="P164" t="str" cm="1">
        <f t="array" ref="P164:P172">TRANSPOSE(B1:J1)</f>
        <v>Brisbane</v>
      </c>
      <c r="Q164" t="s">
        <v>27</v>
      </c>
      <c r="R164" t="s">
        <v>5</v>
      </c>
      <c r="S164" t="s">
        <v>7</v>
      </c>
    </row>
    <row r="165" spans="15:19" x14ac:dyDescent="0.35">
      <c r="O165">
        <v>1</v>
      </c>
      <c r="P165" t="str">
        <v>Beenleigh</v>
      </c>
      <c r="Q165" t="s">
        <v>27</v>
      </c>
      <c r="R165" t="s">
        <v>5</v>
      </c>
      <c r="S165" t="s">
        <v>7</v>
      </c>
    </row>
    <row r="166" spans="15:19" x14ac:dyDescent="0.35">
      <c r="O166">
        <v>0</v>
      </c>
      <c r="P166" t="str">
        <v>Cairns</v>
      </c>
      <c r="Q166" t="s">
        <v>27</v>
      </c>
      <c r="R166" t="s">
        <v>5</v>
      </c>
      <c r="S166" t="s">
        <v>7</v>
      </c>
    </row>
    <row r="167" spans="15:19" x14ac:dyDescent="0.35">
      <c r="O167">
        <v>0</v>
      </c>
      <c r="P167" t="str">
        <v>Ipswich</v>
      </c>
      <c r="Q167" t="s">
        <v>27</v>
      </c>
      <c r="R167" t="s">
        <v>5</v>
      </c>
      <c r="S167" t="s">
        <v>7</v>
      </c>
    </row>
    <row r="168" spans="15:19" x14ac:dyDescent="0.35">
      <c r="O168">
        <v>1</v>
      </c>
      <c r="P168" t="str">
        <v>Maroochy</v>
      </c>
      <c r="Q168" t="s">
        <v>27</v>
      </c>
      <c r="R168" t="s">
        <v>5</v>
      </c>
      <c r="S168" t="s">
        <v>7</v>
      </c>
    </row>
    <row r="169" spans="15:19" x14ac:dyDescent="0.35">
      <c r="O169">
        <v>0</v>
      </c>
      <c r="P169" t="str">
        <v>Rockhampton</v>
      </c>
      <c r="Q169" t="s">
        <v>27</v>
      </c>
      <c r="R169" t="s">
        <v>5</v>
      </c>
      <c r="S169" t="s">
        <v>7</v>
      </c>
    </row>
    <row r="170" spans="15:19" x14ac:dyDescent="0.35">
      <c r="O170">
        <v>0</v>
      </c>
      <c r="P170" t="str">
        <v>Southport</v>
      </c>
      <c r="Q170" t="s">
        <v>27</v>
      </c>
      <c r="R170" t="s">
        <v>5</v>
      </c>
      <c r="S170" t="s">
        <v>7</v>
      </c>
    </row>
    <row r="171" spans="15:19" x14ac:dyDescent="0.35">
      <c r="O171">
        <v>0</v>
      </c>
      <c r="P171" t="str">
        <v>Toowoomba</v>
      </c>
      <c r="Q171" t="s">
        <v>27</v>
      </c>
      <c r="R171" t="s">
        <v>5</v>
      </c>
      <c r="S171" t="s">
        <v>7</v>
      </c>
    </row>
    <row r="172" spans="15:19" x14ac:dyDescent="0.35">
      <c r="O172">
        <v>0</v>
      </c>
      <c r="P172" t="str">
        <v>Townsville</v>
      </c>
      <c r="Q172" t="s">
        <v>27</v>
      </c>
      <c r="R172" t="s">
        <v>5</v>
      </c>
      <c r="S172" t="s">
        <v>7</v>
      </c>
    </row>
    <row r="173" spans="15:19" x14ac:dyDescent="0.35">
      <c r="O173">
        <v>949</v>
      </c>
      <c r="P173" t="str" cm="1">
        <f t="array" ref="P173:P181">TRANSPOSE(B1:J1)</f>
        <v>Brisbane</v>
      </c>
      <c r="Q173" t="s">
        <v>28</v>
      </c>
      <c r="R173" t="s">
        <v>5</v>
      </c>
      <c r="S173" t="s">
        <v>8</v>
      </c>
    </row>
    <row r="174" spans="15:19" x14ac:dyDescent="0.35">
      <c r="O174">
        <v>137</v>
      </c>
      <c r="P174" t="str">
        <v>Beenleigh</v>
      </c>
      <c r="Q174" t="s">
        <v>28</v>
      </c>
      <c r="R174" t="s">
        <v>5</v>
      </c>
      <c r="S174" t="s">
        <v>8</v>
      </c>
    </row>
    <row r="175" spans="15:19" x14ac:dyDescent="0.35">
      <c r="O175">
        <v>133</v>
      </c>
      <c r="P175" t="str">
        <v>Cairns</v>
      </c>
      <c r="Q175" t="s">
        <v>28</v>
      </c>
      <c r="R175" t="s">
        <v>5</v>
      </c>
      <c r="S175" t="s">
        <v>8</v>
      </c>
    </row>
    <row r="176" spans="15:19" x14ac:dyDescent="0.35">
      <c r="O176">
        <v>173</v>
      </c>
      <c r="P176" t="str">
        <v>Ipswich</v>
      </c>
      <c r="Q176" t="s">
        <v>28</v>
      </c>
      <c r="R176" t="s">
        <v>5</v>
      </c>
      <c r="S176" t="s">
        <v>8</v>
      </c>
    </row>
    <row r="177" spans="15:19" x14ac:dyDescent="0.35">
      <c r="O177">
        <v>92</v>
      </c>
      <c r="P177" t="str">
        <v>Maroochy</v>
      </c>
      <c r="Q177" t="s">
        <v>28</v>
      </c>
      <c r="R177" t="s">
        <v>5</v>
      </c>
      <c r="S177" t="s">
        <v>8</v>
      </c>
    </row>
    <row r="178" spans="15:19" x14ac:dyDescent="0.35">
      <c r="O178">
        <v>109</v>
      </c>
      <c r="P178" t="str">
        <v>Rockhampton</v>
      </c>
      <c r="Q178" t="s">
        <v>28</v>
      </c>
      <c r="R178" t="s">
        <v>5</v>
      </c>
      <c r="S178" t="s">
        <v>8</v>
      </c>
    </row>
    <row r="179" spans="15:19" x14ac:dyDescent="0.35">
      <c r="O179">
        <v>119</v>
      </c>
      <c r="P179" t="str">
        <v>Southport</v>
      </c>
      <c r="Q179" t="s">
        <v>28</v>
      </c>
      <c r="R179" t="s">
        <v>5</v>
      </c>
      <c r="S179" t="s">
        <v>8</v>
      </c>
    </row>
    <row r="180" spans="15:19" x14ac:dyDescent="0.35">
      <c r="O180">
        <v>71</v>
      </c>
      <c r="P180" t="str">
        <v>Toowoomba</v>
      </c>
      <c r="Q180" t="s">
        <v>28</v>
      </c>
      <c r="R180" t="s">
        <v>5</v>
      </c>
      <c r="S180" t="s">
        <v>8</v>
      </c>
    </row>
    <row r="181" spans="15:19" x14ac:dyDescent="0.35">
      <c r="O181">
        <v>146</v>
      </c>
      <c r="P181" t="str">
        <v>Townsville</v>
      </c>
      <c r="Q181" t="s">
        <v>28</v>
      </c>
      <c r="R181" t="s">
        <v>5</v>
      </c>
      <c r="S181" t="s">
        <v>8</v>
      </c>
    </row>
    <row r="182" spans="15:19" x14ac:dyDescent="0.35">
      <c r="O182">
        <v>352</v>
      </c>
      <c r="P182" t="str" cm="1">
        <f t="array" ref="P182:P190">TRANSPOSE(B1:J1)</f>
        <v>Brisbane</v>
      </c>
      <c r="Q182" t="s">
        <v>29</v>
      </c>
      <c r="R182" t="s">
        <v>5</v>
      </c>
      <c r="S182" t="s">
        <v>8</v>
      </c>
    </row>
    <row r="183" spans="15:19" x14ac:dyDescent="0.35">
      <c r="O183">
        <v>34</v>
      </c>
      <c r="P183" t="str">
        <v>Beenleigh</v>
      </c>
      <c r="Q183" t="s">
        <v>29</v>
      </c>
      <c r="R183" t="s">
        <v>5</v>
      </c>
      <c r="S183" t="s">
        <v>8</v>
      </c>
    </row>
    <row r="184" spans="15:19" x14ac:dyDescent="0.35">
      <c r="O184">
        <v>34</v>
      </c>
      <c r="P184" t="str">
        <v>Cairns</v>
      </c>
      <c r="Q184" t="s">
        <v>29</v>
      </c>
      <c r="R184" t="s">
        <v>5</v>
      </c>
      <c r="S184" t="s">
        <v>8</v>
      </c>
    </row>
    <row r="185" spans="15:19" x14ac:dyDescent="0.35">
      <c r="O185">
        <v>48</v>
      </c>
      <c r="P185" t="str">
        <v>Ipswich</v>
      </c>
      <c r="Q185" t="s">
        <v>29</v>
      </c>
      <c r="R185" t="s">
        <v>5</v>
      </c>
      <c r="S185" t="s">
        <v>8</v>
      </c>
    </row>
    <row r="186" spans="15:19" x14ac:dyDescent="0.35">
      <c r="O186">
        <v>19</v>
      </c>
      <c r="P186" t="str">
        <v>Maroochy</v>
      </c>
      <c r="Q186" t="s">
        <v>29</v>
      </c>
      <c r="R186" t="s">
        <v>5</v>
      </c>
      <c r="S186" t="s">
        <v>8</v>
      </c>
    </row>
    <row r="187" spans="15:19" x14ac:dyDescent="0.35">
      <c r="O187">
        <v>32</v>
      </c>
      <c r="P187" t="str">
        <v>Rockhampton</v>
      </c>
      <c r="Q187" t="s">
        <v>29</v>
      </c>
      <c r="R187" t="s">
        <v>5</v>
      </c>
      <c r="S187" t="s">
        <v>8</v>
      </c>
    </row>
    <row r="188" spans="15:19" x14ac:dyDescent="0.35">
      <c r="O188">
        <v>64</v>
      </c>
      <c r="P188" t="str">
        <v>Southport</v>
      </c>
      <c r="Q188" t="s">
        <v>29</v>
      </c>
      <c r="R188" t="s">
        <v>5</v>
      </c>
      <c r="S188" t="s">
        <v>8</v>
      </c>
    </row>
    <row r="189" spans="15:19" x14ac:dyDescent="0.35">
      <c r="O189">
        <v>22</v>
      </c>
      <c r="P189" t="str">
        <v>Toowoomba</v>
      </c>
      <c r="Q189" t="s">
        <v>29</v>
      </c>
      <c r="R189" t="s">
        <v>5</v>
      </c>
      <c r="S189" t="s">
        <v>8</v>
      </c>
    </row>
    <row r="190" spans="15:19" x14ac:dyDescent="0.35">
      <c r="O190">
        <v>45</v>
      </c>
      <c r="P190" t="str">
        <v>Townsville</v>
      </c>
      <c r="Q190" t="s">
        <v>29</v>
      </c>
      <c r="R190" t="s">
        <v>5</v>
      </c>
      <c r="S190" t="s">
        <v>8</v>
      </c>
    </row>
    <row r="191" spans="15:19" x14ac:dyDescent="0.35">
      <c r="O191">
        <v>51</v>
      </c>
      <c r="P191" t="str" cm="1">
        <f t="array" ref="P191:P199">TRANSPOSE(B1:J1)</f>
        <v>Brisbane</v>
      </c>
      <c r="Q191" t="s">
        <v>30</v>
      </c>
      <c r="R191" t="s">
        <v>5</v>
      </c>
      <c r="S191" t="s">
        <v>8</v>
      </c>
    </row>
    <row r="192" spans="15:19" x14ac:dyDescent="0.35">
      <c r="O192">
        <v>21</v>
      </c>
      <c r="P192" t="str">
        <v>Beenleigh</v>
      </c>
      <c r="Q192" t="s">
        <v>30</v>
      </c>
      <c r="R192" t="s">
        <v>5</v>
      </c>
      <c r="S192" t="s">
        <v>8</v>
      </c>
    </row>
    <row r="193" spans="15:19" x14ac:dyDescent="0.35">
      <c r="O193">
        <v>10</v>
      </c>
      <c r="P193" t="str">
        <v>Cairns</v>
      </c>
      <c r="Q193" t="s">
        <v>30</v>
      </c>
      <c r="R193" t="s">
        <v>5</v>
      </c>
      <c r="S193" t="s">
        <v>8</v>
      </c>
    </row>
    <row r="194" spans="15:19" x14ac:dyDescent="0.35">
      <c r="O194">
        <v>7</v>
      </c>
      <c r="P194" t="str">
        <v>Ipswich</v>
      </c>
      <c r="Q194" t="s">
        <v>30</v>
      </c>
      <c r="R194" t="s">
        <v>5</v>
      </c>
      <c r="S194" t="s">
        <v>8</v>
      </c>
    </row>
    <row r="195" spans="15:19" x14ac:dyDescent="0.35">
      <c r="O195">
        <v>9</v>
      </c>
      <c r="P195" t="str">
        <v>Maroochy</v>
      </c>
      <c r="Q195" t="s">
        <v>30</v>
      </c>
      <c r="R195" t="s">
        <v>5</v>
      </c>
      <c r="S195" t="s">
        <v>8</v>
      </c>
    </row>
    <row r="196" spans="15:19" x14ac:dyDescent="0.35">
      <c r="O196">
        <v>18</v>
      </c>
      <c r="P196" t="str">
        <v>Rockhampton</v>
      </c>
      <c r="Q196" t="s">
        <v>30</v>
      </c>
      <c r="R196" t="s">
        <v>5</v>
      </c>
      <c r="S196" t="s">
        <v>8</v>
      </c>
    </row>
    <row r="197" spans="15:19" x14ac:dyDescent="0.35">
      <c r="O197">
        <v>11</v>
      </c>
      <c r="P197" t="str">
        <v>Southport</v>
      </c>
      <c r="Q197" t="s">
        <v>30</v>
      </c>
      <c r="R197" t="s">
        <v>5</v>
      </c>
      <c r="S197" t="s">
        <v>8</v>
      </c>
    </row>
    <row r="198" spans="15:19" x14ac:dyDescent="0.35">
      <c r="O198">
        <v>13</v>
      </c>
      <c r="P198" t="str">
        <v>Toowoomba</v>
      </c>
      <c r="Q198" t="s">
        <v>30</v>
      </c>
      <c r="R198" t="s">
        <v>5</v>
      </c>
      <c r="S198" t="s">
        <v>8</v>
      </c>
    </row>
    <row r="199" spans="15:19" x14ac:dyDescent="0.35">
      <c r="O199">
        <v>17</v>
      </c>
      <c r="P199" t="str">
        <v>Townsville</v>
      </c>
      <c r="Q199" t="s">
        <v>30</v>
      </c>
      <c r="R199" t="s">
        <v>5</v>
      </c>
      <c r="S199" t="s">
        <v>8</v>
      </c>
    </row>
    <row r="200" spans="15:19" x14ac:dyDescent="0.35">
      <c r="O200">
        <v>15</v>
      </c>
      <c r="P200" t="str" cm="1">
        <f t="array" ref="P200:P208">TRANSPOSE(B1:J1)</f>
        <v>Brisbane</v>
      </c>
      <c r="Q200" t="s">
        <v>31</v>
      </c>
      <c r="R200" t="s">
        <v>5</v>
      </c>
      <c r="S200" t="s">
        <v>8</v>
      </c>
    </row>
    <row r="201" spans="15:19" x14ac:dyDescent="0.35">
      <c r="O201">
        <v>5</v>
      </c>
      <c r="P201" t="str">
        <v>Beenleigh</v>
      </c>
      <c r="Q201" t="s">
        <v>31</v>
      </c>
      <c r="R201" t="s">
        <v>5</v>
      </c>
      <c r="S201" t="s">
        <v>8</v>
      </c>
    </row>
    <row r="202" spans="15:19" x14ac:dyDescent="0.35">
      <c r="O202">
        <v>7</v>
      </c>
      <c r="P202" t="str">
        <v>Cairns</v>
      </c>
      <c r="Q202" t="s">
        <v>31</v>
      </c>
      <c r="R202" t="s">
        <v>5</v>
      </c>
      <c r="S202" t="s">
        <v>8</v>
      </c>
    </row>
    <row r="203" spans="15:19" x14ac:dyDescent="0.35">
      <c r="O203">
        <v>0</v>
      </c>
      <c r="P203" t="str">
        <v>Ipswich</v>
      </c>
      <c r="Q203" t="s">
        <v>31</v>
      </c>
      <c r="R203" t="s">
        <v>5</v>
      </c>
      <c r="S203" t="s">
        <v>8</v>
      </c>
    </row>
    <row r="204" spans="15:19" x14ac:dyDescent="0.35">
      <c r="O204">
        <v>0</v>
      </c>
      <c r="P204" t="str">
        <v>Maroochy</v>
      </c>
      <c r="Q204" t="s">
        <v>31</v>
      </c>
      <c r="R204" t="s">
        <v>5</v>
      </c>
      <c r="S204" t="s">
        <v>8</v>
      </c>
    </row>
    <row r="205" spans="15:19" x14ac:dyDescent="0.35">
      <c r="O205">
        <v>0</v>
      </c>
      <c r="P205" t="str">
        <v>Rockhampton</v>
      </c>
      <c r="Q205" t="s">
        <v>31</v>
      </c>
      <c r="R205" t="s">
        <v>5</v>
      </c>
      <c r="S205" t="s">
        <v>8</v>
      </c>
    </row>
    <row r="206" spans="15:19" x14ac:dyDescent="0.35">
      <c r="O206">
        <v>0</v>
      </c>
      <c r="P206" t="str">
        <v>Southport</v>
      </c>
      <c r="Q206" t="s">
        <v>31</v>
      </c>
      <c r="R206" t="s">
        <v>5</v>
      </c>
      <c r="S206" t="s">
        <v>8</v>
      </c>
    </row>
    <row r="207" spans="15:19" x14ac:dyDescent="0.35">
      <c r="O207">
        <v>1</v>
      </c>
      <c r="P207" t="str">
        <v>Toowoomba</v>
      </c>
      <c r="Q207" t="s">
        <v>31</v>
      </c>
      <c r="R207" t="s">
        <v>5</v>
      </c>
      <c r="S207" t="s">
        <v>8</v>
      </c>
    </row>
    <row r="208" spans="15:19" x14ac:dyDescent="0.35">
      <c r="O208">
        <v>0</v>
      </c>
      <c r="P208" t="str">
        <v>Townsville</v>
      </c>
      <c r="Q208" t="s">
        <v>31</v>
      </c>
      <c r="R208" t="s">
        <v>5</v>
      </c>
      <c r="S208" t="s">
        <v>8</v>
      </c>
    </row>
    <row r="209" spans="15:19" x14ac:dyDescent="0.35">
      <c r="O209">
        <v>1293</v>
      </c>
      <c r="P209" t="str" cm="1">
        <f t="array" ref="P209:P217">TRANSPOSE(B1:J1)</f>
        <v>Brisbane</v>
      </c>
      <c r="Q209" t="s">
        <v>32</v>
      </c>
      <c r="R209" t="s">
        <v>5</v>
      </c>
      <c r="S209" t="s">
        <v>8</v>
      </c>
    </row>
    <row r="210" spans="15:19" x14ac:dyDescent="0.35">
      <c r="O210">
        <v>336</v>
      </c>
      <c r="P210" t="str">
        <v>Beenleigh</v>
      </c>
      <c r="Q210" t="s">
        <v>32</v>
      </c>
      <c r="R210" t="s">
        <v>5</v>
      </c>
      <c r="S210" t="s">
        <v>8</v>
      </c>
    </row>
    <row r="211" spans="15:19" x14ac:dyDescent="0.35">
      <c r="O211">
        <v>205</v>
      </c>
      <c r="P211" t="str">
        <v>Cairns</v>
      </c>
      <c r="Q211" t="s">
        <v>32</v>
      </c>
      <c r="R211" t="s">
        <v>5</v>
      </c>
      <c r="S211" t="s">
        <v>8</v>
      </c>
    </row>
    <row r="212" spans="15:19" x14ac:dyDescent="0.35">
      <c r="O212">
        <v>265</v>
      </c>
      <c r="P212" t="str">
        <v>Ipswich</v>
      </c>
      <c r="Q212" t="s">
        <v>32</v>
      </c>
      <c r="R212" t="s">
        <v>5</v>
      </c>
      <c r="S212" t="s">
        <v>8</v>
      </c>
    </row>
    <row r="213" spans="15:19" x14ac:dyDescent="0.35">
      <c r="O213">
        <v>239</v>
      </c>
      <c r="P213" t="str">
        <v>Maroochy</v>
      </c>
      <c r="Q213" t="s">
        <v>32</v>
      </c>
      <c r="R213" t="s">
        <v>5</v>
      </c>
      <c r="S213" t="s">
        <v>8</v>
      </c>
    </row>
    <row r="214" spans="15:19" x14ac:dyDescent="0.35">
      <c r="O214">
        <v>199</v>
      </c>
      <c r="P214" t="str">
        <v>Rockhampton</v>
      </c>
      <c r="Q214" t="s">
        <v>32</v>
      </c>
      <c r="R214" t="s">
        <v>5</v>
      </c>
      <c r="S214" t="s">
        <v>8</v>
      </c>
    </row>
    <row r="215" spans="15:19" x14ac:dyDescent="0.35">
      <c r="O215">
        <v>234</v>
      </c>
      <c r="P215" t="str">
        <v>Southport</v>
      </c>
      <c r="Q215" t="s">
        <v>32</v>
      </c>
      <c r="R215" t="s">
        <v>5</v>
      </c>
      <c r="S215" t="s">
        <v>8</v>
      </c>
    </row>
    <row r="216" spans="15:19" x14ac:dyDescent="0.35">
      <c r="O216">
        <v>121</v>
      </c>
      <c r="P216" t="str">
        <v>Toowoomba</v>
      </c>
      <c r="Q216" t="s">
        <v>32</v>
      </c>
      <c r="R216" t="s">
        <v>5</v>
      </c>
      <c r="S216" t="s">
        <v>8</v>
      </c>
    </row>
    <row r="217" spans="15:19" x14ac:dyDescent="0.35">
      <c r="O217">
        <v>346</v>
      </c>
      <c r="P217" t="str">
        <v>Townsville</v>
      </c>
      <c r="Q217" t="s">
        <v>32</v>
      </c>
      <c r="R217" t="s">
        <v>5</v>
      </c>
      <c r="S217" t="s">
        <v>8</v>
      </c>
    </row>
    <row r="218" spans="15:19" x14ac:dyDescent="0.35">
      <c r="O218">
        <v>539</v>
      </c>
      <c r="P218" t="str" cm="1">
        <f t="array" ref="P218:P226">TRANSPOSE(B1:J1)</f>
        <v>Brisbane</v>
      </c>
      <c r="Q218" t="s">
        <v>33</v>
      </c>
      <c r="R218" t="s">
        <v>5</v>
      </c>
      <c r="S218" t="s">
        <v>8</v>
      </c>
    </row>
    <row r="219" spans="15:19" x14ac:dyDescent="0.35">
      <c r="O219">
        <v>72</v>
      </c>
      <c r="P219" t="str">
        <v>Beenleigh</v>
      </c>
      <c r="Q219" t="s">
        <v>33</v>
      </c>
      <c r="R219" t="s">
        <v>5</v>
      </c>
      <c r="S219" t="s">
        <v>8</v>
      </c>
    </row>
    <row r="220" spans="15:19" x14ac:dyDescent="0.35">
      <c r="O220">
        <v>81</v>
      </c>
      <c r="P220" t="str">
        <v>Cairns</v>
      </c>
      <c r="Q220" t="s">
        <v>33</v>
      </c>
      <c r="R220" t="s">
        <v>5</v>
      </c>
      <c r="S220" t="s">
        <v>8</v>
      </c>
    </row>
    <row r="221" spans="15:19" x14ac:dyDescent="0.35">
      <c r="O221">
        <v>40</v>
      </c>
      <c r="P221" t="str">
        <v>Ipswich</v>
      </c>
      <c r="Q221" t="s">
        <v>33</v>
      </c>
      <c r="R221" t="s">
        <v>5</v>
      </c>
      <c r="S221" t="s">
        <v>8</v>
      </c>
    </row>
    <row r="222" spans="15:19" x14ac:dyDescent="0.35">
      <c r="O222">
        <v>98</v>
      </c>
      <c r="P222" t="str">
        <v>Maroochy</v>
      </c>
      <c r="Q222" t="s">
        <v>33</v>
      </c>
      <c r="R222" t="s">
        <v>5</v>
      </c>
      <c r="S222" t="s">
        <v>8</v>
      </c>
    </row>
    <row r="223" spans="15:19" x14ac:dyDescent="0.35">
      <c r="O223">
        <v>91</v>
      </c>
      <c r="P223" t="str">
        <v>Rockhampton</v>
      </c>
      <c r="Q223" t="s">
        <v>33</v>
      </c>
      <c r="R223" t="s">
        <v>5</v>
      </c>
      <c r="S223" t="s">
        <v>8</v>
      </c>
    </row>
    <row r="224" spans="15:19" x14ac:dyDescent="0.35">
      <c r="O224">
        <v>56</v>
      </c>
      <c r="P224" t="str">
        <v>Southport</v>
      </c>
      <c r="Q224" t="s">
        <v>33</v>
      </c>
      <c r="R224" t="s">
        <v>5</v>
      </c>
      <c r="S224" t="s">
        <v>8</v>
      </c>
    </row>
    <row r="225" spans="15:19" x14ac:dyDescent="0.35">
      <c r="O225">
        <v>187</v>
      </c>
      <c r="P225" t="str">
        <v>Toowoomba</v>
      </c>
      <c r="Q225" t="s">
        <v>33</v>
      </c>
      <c r="R225" t="s">
        <v>5</v>
      </c>
      <c r="S225" t="s">
        <v>8</v>
      </c>
    </row>
    <row r="226" spans="15:19" x14ac:dyDescent="0.35">
      <c r="O226">
        <v>148</v>
      </c>
      <c r="P226" t="str">
        <v>Townsville</v>
      </c>
      <c r="Q226" t="s">
        <v>33</v>
      </c>
      <c r="R226" t="s">
        <v>5</v>
      </c>
      <c r="S226" t="s">
        <v>8</v>
      </c>
    </row>
    <row r="227" spans="15:19" x14ac:dyDescent="0.35">
      <c r="O227">
        <v>415</v>
      </c>
      <c r="P227" t="str" cm="1">
        <f t="array" ref="P227:P235">TRANSPOSE(B1:J1)</f>
        <v>Brisbane</v>
      </c>
      <c r="Q227" t="s">
        <v>34</v>
      </c>
      <c r="R227" t="s">
        <v>5</v>
      </c>
      <c r="S227" t="s">
        <v>8</v>
      </c>
    </row>
    <row r="228" spans="15:19" x14ac:dyDescent="0.35">
      <c r="O228">
        <v>15</v>
      </c>
      <c r="P228" t="str">
        <v>Beenleigh</v>
      </c>
      <c r="Q228" t="s">
        <v>34</v>
      </c>
      <c r="R228" t="s">
        <v>5</v>
      </c>
      <c r="S228" t="s">
        <v>8</v>
      </c>
    </row>
    <row r="229" spans="15:19" x14ac:dyDescent="0.35">
      <c r="O229">
        <v>53</v>
      </c>
      <c r="P229" t="str">
        <v>Cairns</v>
      </c>
      <c r="Q229" t="s">
        <v>34</v>
      </c>
      <c r="R229" t="s">
        <v>5</v>
      </c>
      <c r="S229" t="s">
        <v>8</v>
      </c>
    </row>
    <row r="230" spans="15:19" x14ac:dyDescent="0.35">
      <c r="O230">
        <v>47</v>
      </c>
      <c r="P230" t="str">
        <v>Ipswich</v>
      </c>
      <c r="Q230" t="s">
        <v>34</v>
      </c>
      <c r="R230" t="s">
        <v>5</v>
      </c>
      <c r="S230" t="s">
        <v>8</v>
      </c>
    </row>
    <row r="231" spans="15:19" x14ac:dyDescent="0.35">
      <c r="O231">
        <v>82</v>
      </c>
      <c r="P231" t="str">
        <v>Maroochy</v>
      </c>
      <c r="Q231" t="s">
        <v>34</v>
      </c>
      <c r="R231" t="s">
        <v>5</v>
      </c>
      <c r="S231" t="s">
        <v>8</v>
      </c>
    </row>
    <row r="232" spans="15:19" x14ac:dyDescent="0.35">
      <c r="O232">
        <v>32</v>
      </c>
      <c r="P232" t="str">
        <v>Rockhampton</v>
      </c>
      <c r="Q232" t="s">
        <v>34</v>
      </c>
      <c r="R232" t="s">
        <v>5</v>
      </c>
      <c r="S232" t="s">
        <v>8</v>
      </c>
    </row>
    <row r="233" spans="15:19" x14ac:dyDescent="0.35">
      <c r="O233">
        <v>74</v>
      </c>
      <c r="P233" t="str">
        <v>Southport</v>
      </c>
      <c r="Q233" t="s">
        <v>34</v>
      </c>
      <c r="R233" t="s">
        <v>5</v>
      </c>
      <c r="S233" t="s">
        <v>8</v>
      </c>
    </row>
    <row r="234" spans="15:19" x14ac:dyDescent="0.35">
      <c r="O234">
        <v>8</v>
      </c>
      <c r="P234" t="str">
        <v>Toowoomba</v>
      </c>
      <c r="Q234" t="s">
        <v>34</v>
      </c>
      <c r="R234" t="s">
        <v>5</v>
      </c>
      <c r="S234" t="s">
        <v>8</v>
      </c>
    </row>
    <row r="235" spans="15:19" x14ac:dyDescent="0.35">
      <c r="O235">
        <v>64</v>
      </c>
      <c r="P235" t="str">
        <v>Townsville</v>
      </c>
      <c r="Q235" t="s">
        <v>34</v>
      </c>
      <c r="R235" t="s">
        <v>5</v>
      </c>
      <c r="S235" t="s">
        <v>8</v>
      </c>
    </row>
    <row r="236" spans="15:19" x14ac:dyDescent="0.35">
      <c r="O236">
        <v>83</v>
      </c>
      <c r="P236" t="str" cm="1">
        <f t="array" ref="P236:P244">TRANSPOSE(B1:J1)</f>
        <v>Brisbane</v>
      </c>
      <c r="Q236" t="s">
        <v>22</v>
      </c>
      <c r="R236" t="s">
        <v>4</v>
      </c>
      <c r="S236" t="s">
        <v>7</v>
      </c>
    </row>
    <row r="237" spans="15:19" x14ac:dyDescent="0.35">
      <c r="O237">
        <v>0</v>
      </c>
      <c r="P237" t="str">
        <v>Beenleigh</v>
      </c>
      <c r="Q237" t="s">
        <v>22</v>
      </c>
      <c r="R237" t="s">
        <v>4</v>
      </c>
      <c r="S237" t="s">
        <v>7</v>
      </c>
    </row>
    <row r="238" spans="15:19" x14ac:dyDescent="0.35">
      <c r="O238">
        <v>8</v>
      </c>
      <c r="P238" t="str">
        <v>Cairns</v>
      </c>
      <c r="Q238" t="s">
        <v>22</v>
      </c>
      <c r="R238" t="s">
        <v>4</v>
      </c>
      <c r="S238" t="s">
        <v>7</v>
      </c>
    </row>
    <row r="239" spans="15:19" x14ac:dyDescent="0.35">
      <c r="O239">
        <v>4</v>
      </c>
      <c r="P239" t="str">
        <v>Ipswich</v>
      </c>
      <c r="Q239" t="s">
        <v>22</v>
      </c>
      <c r="R239" t="s">
        <v>4</v>
      </c>
      <c r="S239" t="s">
        <v>7</v>
      </c>
    </row>
    <row r="240" spans="15:19" x14ac:dyDescent="0.35">
      <c r="O240">
        <v>0</v>
      </c>
      <c r="P240" t="str">
        <v>Maroochy</v>
      </c>
      <c r="Q240" t="s">
        <v>22</v>
      </c>
      <c r="R240" t="s">
        <v>4</v>
      </c>
      <c r="S240" t="s">
        <v>7</v>
      </c>
    </row>
    <row r="241" spans="15:19" x14ac:dyDescent="0.35">
      <c r="O241">
        <v>3</v>
      </c>
      <c r="P241" t="str">
        <v>Rockhampton</v>
      </c>
      <c r="Q241" t="s">
        <v>22</v>
      </c>
      <c r="R241" t="s">
        <v>4</v>
      </c>
      <c r="S241" t="s">
        <v>7</v>
      </c>
    </row>
    <row r="242" spans="15:19" x14ac:dyDescent="0.35">
      <c r="O242">
        <v>3</v>
      </c>
      <c r="P242" t="str">
        <v>Southport</v>
      </c>
      <c r="Q242" t="s">
        <v>22</v>
      </c>
      <c r="R242" t="s">
        <v>4</v>
      </c>
      <c r="S242" t="s">
        <v>7</v>
      </c>
    </row>
    <row r="243" spans="15:19" x14ac:dyDescent="0.35">
      <c r="O243">
        <v>0</v>
      </c>
      <c r="P243" t="str">
        <v>Toowoomba</v>
      </c>
      <c r="Q243" t="s">
        <v>22</v>
      </c>
      <c r="R243" t="s">
        <v>4</v>
      </c>
      <c r="S243" t="s">
        <v>7</v>
      </c>
    </row>
    <row r="244" spans="15:19" x14ac:dyDescent="0.35">
      <c r="O244">
        <v>1</v>
      </c>
      <c r="P244" t="str">
        <v>Townsville</v>
      </c>
      <c r="Q244" t="s">
        <v>22</v>
      </c>
      <c r="R244" t="s">
        <v>4</v>
      </c>
      <c r="S244" t="s">
        <v>7</v>
      </c>
    </row>
    <row r="245" spans="15:19" x14ac:dyDescent="0.35">
      <c r="O245">
        <v>47</v>
      </c>
      <c r="P245" t="str" cm="1">
        <f t="array" ref="P245:P253">TRANSPOSE(B1:J1)</f>
        <v>Brisbane</v>
      </c>
      <c r="Q245" t="s">
        <v>23</v>
      </c>
      <c r="R245" t="s">
        <v>4</v>
      </c>
      <c r="S245" t="s">
        <v>7</v>
      </c>
    </row>
    <row r="246" spans="15:19" x14ac:dyDescent="0.35">
      <c r="O246">
        <v>0</v>
      </c>
      <c r="P246" t="str">
        <v>Beenleigh</v>
      </c>
      <c r="Q246" t="s">
        <v>23</v>
      </c>
      <c r="R246" t="s">
        <v>4</v>
      </c>
      <c r="S246" t="s">
        <v>7</v>
      </c>
    </row>
    <row r="247" spans="15:19" x14ac:dyDescent="0.35">
      <c r="O247">
        <v>1</v>
      </c>
      <c r="P247" t="str">
        <v>Cairns</v>
      </c>
      <c r="Q247" t="s">
        <v>23</v>
      </c>
      <c r="R247" t="s">
        <v>4</v>
      </c>
      <c r="S247" t="s">
        <v>7</v>
      </c>
    </row>
    <row r="248" spans="15:19" x14ac:dyDescent="0.35">
      <c r="O248">
        <v>2</v>
      </c>
      <c r="P248" t="str">
        <v>Ipswich</v>
      </c>
      <c r="Q248" t="s">
        <v>23</v>
      </c>
      <c r="R248" t="s">
        <v>4</v>
      </c>
      <c r="S248" t="s">
        <v>7</v>
      </c>
    </row>
    <row r="249" spans="15:19" x14ac:dyDescent="0.35">
      <c r="O249">
        <v>0</v>
      </c>
      <c r="P249" t="str">
        <v>Maroochy</v>
      </c>
      <c r="Q249" t="s">
        <v>23</v>
      </c>
      <c r="R249" t="s">
        <v>4</v>
      </c>
      <c r="S249" t="s">
        <v>7</v>
      </c>
    </row>
    <row r="250" spans="15:19" x14ac:dyDescent="0.35">
      <c r="O250">
        <v>1</v>
      </c>
      <c r="P250" t="str">
        <v>Rockhampton</v>
      </c>
      <c r="Q250" t="s">
        <v>23</v>
      </c>
      <c r="R250" t="s">
        <v>4</v>
      </c>
      <c r="S250" t="s">
        <v>7</v>
      </c>
    </row>
    <row r="251" spans="15:19" x14ac:dyDescent="0.35">
      <c r="O251">
        <v>0</v>
      </c>
      <c r="P251" t="str">
        <v>Southport</v>
      </c>
      <c r="Q251" t="s">
        <v>23</v>
      </c>
      <c r="R251" t="s">
        <v>4</v>
      </c>
      <c r="S251" t="s">
        <v>7</v>
      </c>
    </row>
    <row r="252" spans="15:19" x14ac:dyDescent="0.35">
      <c r="O252">
        <v>0</v>
      </c>
      <c r="P252" t="str">
        <v>Toowoomba</v>
      </c>
      <c r="Q252" t="s">
        <v>23</v>
      </c>
      <c r="R252" t="s">
        <v>4</v>
      </c>
      <c r="S252" t="s">
        <v>7</v>
      </c>
    </row>
    <row r="253" spans="15:19" x14ac:dyDescent="0.35">
      <c r="O253">
        <v>3</v>
      </c>
      <c r="P253" t="str">
        <v>Townsville</v>
      </c>
      <c r="Q253" t="s">
        <v>23</v>
      </c>
      <c r="R253" t="s">
        <v>4</v>
      </c>
      <c r="S253" t="s">
        <v>7</v>
      </c>
    </row>
    <row r="254" spans="15:19" x14ac:dyDescent="0.35">
      <c r="O254">
        <v>17</v>
      </c>
      <c r="P254" t="str" cm="1">
        <f t="array" ref="P254:P262">TRANSPOSE(B1:J1)</f>
        <v>Brisbane</v>
      </c>
      <c r="Q254" t="s">
        <v>24</v>
      </c>
      <c r="R254" t="s">
        <v>4</v>
      </c>
      <c r="S254" t="s">
        <v>7</v>
      </c>
    </row>
    <row r="255" spans="15:19" x14ac:dyDescent="0.35">
      <c r="O255">
        <v>0</v>
      </c>
      <c r="P255" t="str">
        <v>Beenleigh</v>
      </c>
      <c r="Q255" t="s">
        <v>24</v>
      </c>
      <c r="R255" t="s">
        <v>4</v>
      </c>
      <c r="S255" t="s">
        <v>7</v>
      </c>
    </row>
    <row r="256" spans="15:19" x14ac:dyDescent="0.35">
      <c r="O256">
        <v>4</v>
      </c>
      <c r="P256" t="str">
        <v>Cairns</v>
      </c>
      <c r="Q256" t="s">
        <v>24</v>
      </c>
      <c r="R256" t="s">
        <v>4</v>
      </c>
      <c r="S256" t="s">
        <v>7</v>
      </c>
    </row>
    <row r="257" spans="15:19" x14ac:dyDescent="0.35">
      <c r="O257">
        <v>1</v>
      </c>
      <c r="P257" t="str">
        <v>Ipswich</v>
      </c>
      <c r="Q257" t="s">
        <v>24</v>
      </c>
      <c r="R257" t="s">
        <v>4</v>
      </c>
      <c r="S257" t="s">
        <v>7</v>
      </c>
    </row>
    <row r="258" spans="15:19" x14ac:dyDescent="0.35">
      <c r="O258">
        <v>1</v>
      </c>
      <c r="P258" t="str">
        <v>Maroochy</v>
      </c>
      <c r="Q258" t="s">
        <v>24</v>
      </c>
      <c r="R258" t="s">
        <v>4</v>
      </c>
      <c r="S258" t="s">
        <v>7</v>
      </c>
    </row>
    <row r="259" spans="15:19" x14ac:dyDescent="0.35">
      <c r="O259">
        <v>0</v>
      </c>
      <c r="P259" t="str">
        <v>Rockhampton</v>
      </c>
      <c r="Q259" t="s">
        <v>24</v>
      </c>
      <c r="R259" t="s">
        <v>4</v>
      </c>
      <c r="S259" t="s">
        <v>7</v>
      </c>
    </row>
    <row r="260" spans="15:19" x14ac:dyDescent="0.35">
      <c r="O260">
        <v>0</v>
      </c>
      <c r="P260" t="str">
        <v>Southport</v>
      </c>
      <c r="Q260" t="s">
        <v>24</v>
      </c>
      <c r="R260" t="s">
        <v>4</v>
      </c>
      <c r="S260" t="s">
        <v>7</v>
      </c>
    </row>
    <row r="261" spans="15:19" x14ac:dyDescent="0.35">
      <c r="O261">
        <v>0</v>
      </c>
      <c r="P261" t="str">
        <v>Toowoomba</v>
      </c>
      <c r="Q261" t="s">
        <v>24</v>
      </c>
      <c r="R261" t="s">
        <v>4</v>
      </c>
      <c r="S261" t="s">
        <v>7</v>
      </c>
    </row>
    <row r="262" spans="15:19" x14ac:dyDescent="0.35">
      <c r="O262">
        <v>0</v>
      </c>
      <c r="P262" t="str">
        <v>Townsville</v>
      </c>
      <c r="Q262" t="s">
        <v>24</v>
      </c>
      <c r="R262" t="s">
        <v>4</v>
      </c>
      <c r="S262" t="s">
        <v>7</v>
      </c>
    </row>
    <row r="263" spans="15:19" x14ac:dyDescent="0.35">
      <c r="O263">
        <v>18</v>
      </c>
      <c r="P263" t="str" cm="1">
        <f t="array" ref="P263:P271">TRANSPOSE(B1:J1)</f>
        <v>Brisbane</v>
      </c>
      <c r="Q263" t="s">
        <v>25</v>
      </c>
      <c r="R263" t="s">
        <v>4</v>
      </c>
      <c r="S263" t="s">
        <v>7</v>
      </c>
    </row>
    <row r="264" spans="15:19" x14ac:dyDescent="0.35">
      <c r="O264">
        <v>2</v>
      </c>
      <c r="P264" t="str">
        <v>Beenleigh</v>
      </c>
      <c r="Q264" t="s">
        <v>25</v>
      </c>
      <c r="R264" t="s">
        <v>4</v>
      </c>
      <c r="S264" t="s">
        <v>7</v>
      </c>
    </row>
    <row r="265" spans="15:19" x14ac:dyDescent="0.35">
      <c r="O265">
        <v>4</v>
      </c>
      <c r="P265" t="str">
        <v>Cairns</v>
      </c>
      <c r="Q265" t="s">
        <v>25</v>
      </c>
      <c r="R265" t="s">
        <v>4</v>
      </c>
      <c r="S265" t="s">
        <v>7</v>
      </c>
    </row>
    <row r="266" spans="15:19" x14ac:dyDescent="0.35">
      <c r="O266">
        <v>2</v>
      </c>
      <c r="P266" t="str">
        <v>Ipswich</v>
      </c>
      <c r="Q266" t="s">
        <v>25</v>
      </c>
      <c r="R266" t="s">
        <v>4</v>
      </c>
      <c r="S266" t="s">
        <v>7</v>
      </c>
    </row>
    <row r="267" spans="15:19" x14ac:dyDescent="0.35">
      <c r="O267">
        <v>6</v>
      </c>
      <c r="P267" t="str">
        <v>Maroochy</v>
      </c>
      <c r="Q267" t="s">
        <v>25</v>
      </c>
      <c r="R267" t="s">
        <v>4</v>
      </c>
      <c r="S267" t="s">
        <v>7</v>
      </c>
    </row>
    <row r="268" spans="15:19" x14ac:dyDescent="0.35">
      <c r="O268">
        <v>3</v>
      </c>
      <c r="P268" t="str">
        <v>Rockhampton</v>
      </c>
      <c r="Q268" t="s">
        <v>25</v>
      </c>
      <c r="R268" t="s">
        <v>4</v>
      </c>
      <c r="S268" t="s">
        <v>7</v>
      </c>
    </row>
    <row r="269" spans="15:19" x14ac:dyDescent="0.35">
      <c r="O269">
        <v>1</v>
      </c>
      <c r="P269" t="str">
        <v>Southport</v>
      </c>
      <c r="Q269" t="s">
        <v>25</v>
      </c>
      <c r="R269" t="s">
        <v>4</v>
      </c>
      <c r="S269" t="s">
        <v>7</v>
      </c>
    </row>
    <row r="270" spans="15:19" x14ac:dyDescent="0.35">
      <c r="O270">
        <v>4</v>
      </c>
      <c r="P270" t="str">
        <v>Toowoomba</v>
      </c>
      <c r="Q270" t="s">
        <v>25</v>
      </c>
      <c r="R270" t="s">
        <v>4</v>
      </c>
      <c r="S270" t="s">
        <v>7</v>
      </c>
    </row>
    <row r="271" spans="15:19" x14ac:dyDescent="0.35">
      <c r="O271">
        <v>6</v>
      </c>
      <c r="P271" t="str">
        <v>Townsville</v>
      </c>
      <c r="Q271" t="s">
        <v>25</v>
      </c>
      <c r="R271" t="s">
        <v>4</v>
      </c>
      <c r="S271" t="s">
        <v>7</v>
      </c>
    </row>
    <row r="272" spans="15:19" x14ac:dyDescent="0.35">
      <c r="O272">
        <v>3</v>
      </c>
      <c r="P272" t="str" cm="1">
        <f t="array" ref="P272:P280">TRANSPOSE(B1:J1)</f>
        <v>Brisbane</v>
      </c>
      <c r="Q272" t="s">
        <v>26</v>
      </c>
      <c r="R272" t="s">
        <v>4</v>
      </c>
      <c r="S272" t="s">
        <v>7</v>
      </c>
    </row>
    <row r="273" spans="15:19" x14ac:dyDescent="0.35">
      <c r="O273">
        <v>0</v>
      </c>
      <c r="P273" t="str">
        <v>Beenleigh</v>
      </c>
      <c r="Q273" t="s">
        <v>26</v>
      </c>
      <c r="R273" t="s">
        <v>4</v>
      </c>
      <c r="S273" t="s">
        <v>7</v>
      </c>
    </row>
    <row r="274" spans="15:19" x14ac:dyDescent="0.35">
      <c r="O274">
        <v>1</v>
      </c>
      <c r="P274" t="str">
        <v>Cairns</v>
      </c>
      <c r="Q274" t="s">
        <v>26</v>
      </c>
      <c r="R274" t="s">
        <v>4</v>
      </c>
      <c r="S274" t="s">
        <v>7</v>
      </c>
    </row>
    <row r="275" spans="15:19" x14ac:dyDescent="0.35">
      <c r="O275">
        <v>0</v>
      </c>
      <c r="P275" t="str">
        <v>Ipswich</v>
      </c>
      <c r="Q275" t="s">
        <v>26</v>
      </c>
      <c r="R275" t="s">
        <v>4</v>
      </c>
      <c r="S275" t="s">
        <v>7</v>
      </c>
    </row>
    <row r="276" spans="15:19" x14ac:dyDescent="0.35">
      <c r="O276">
        <v>0</v>
      </c>
      <c r="P276" t="str">
        <v>Maroochy</v>
      </c>
      <c r="Q276" t="s">
        <v>26</v>
      </c>
      <c r="R276" t="s">
        <v>4</v>
      </c>
      <c r="S276" t="s">
        <v>7</v>
      </c>
    </row>
    <row r="277" spans="15:19" x14ac:dyDescent="0.35">
      <c r="O277">
        <v>0</v>
      </c>
      <c r="P277" t="str">
        <v>Rockhampton</v>
      </c>
      <c r="Q277" t="s">
        <v>26</v>
      </c>
      <c r="R277" t="s">
        <v>4</v>
      </c>
      <c r="S277" t="s">
        <v>7</v>
      </c>
    </row>
    <row r="278" spans="15:19" x14ac:dyDescent="0.35">
      <c r="O278">
        <v>0</v>
      </c>
      <c r="P278" t="str">
        <v>Southport</v>
      </c>
      <c r="Q278" t="s">
        <v>26</v>
      </c>
      <c r="R278" t="s">
        <v>4</v>
      </c>
      <c r="S278" t="s">
        <v>7</v>
      </c>
    </row>
    <row r="279" spans="15:19" x14ac:dyDescent="0.35">
      <c r="O279">
        <v>0</v>
      </c>
      <c r="P279" t="str">
        <v>Toowoomba</v>
      </c>
      <c r="Q279" t="s">
        <v>26</v>
      </c>
      <c r="R279" t="s">
        <v>4</v>
      </c>
      <c r="S279" t="s">
        <v>7</v>
      </c>
    </row>
    <row r="280" spans="15:19" x14ac:dyDescent="0.35">
      <c r="O280">
        <v>0</v>
      </c>
      <c r="P280" t="str">
        <v>Townsville</v>
      </c>
      <c r="Q280" t="s">
        <v>26</v>
      </c>
      <c r="R280" t="s">
        <v>4</v>
      </c>
      <c r="S280" t="s">
        <v>7</v>
      </c>
    </row>
    <row r="281" spans="15:19" x14ac:dyDescent="0.35">
      <c r="O281">
        <v>7</v>
      </c>
      <c r="P281" t="str" cm="1">
        <f t="array" ref="P281:P289">TRANSPOSE(B1:J1)</f>
        <v>Brisbane</v>
      </c>
      <c r="Q281" t="s">
        <v>27</v>
      </c>
      <c r="R281" t="s">
        <v>4</v>
      </c>
      <c r="S281" t="s">
        <v>7</v>
      </c>
    </row>
    <row r="282" spans="15:19" x14ac:dyDescent="0.35">
      <c r="O282">
        <v>1</v>
      </c>
      <c r="P282" t="str">
        <v>Beenleigh</v>
      </c>
      <c r="Q282" t="s">
        <v>27</v>
      </c>
      <c r="R282" t="s">
        <v>4</v>
      </c>
      <c r="S282" t="s">
        <v>7</v>
      </c>
    </row>
    <row r="283" spans="15:19" x14ac:dyDescent="0.35">
      <c r="O283">
        <v>0</v>
      </c>
      <c r="P283" t="str">
        <v>Cairns</v>
      </c>
      <c r="Q283" t="s">
        <v>27</v>
      </c>
      <c r="R283" t="s">
        <v>4</v>
      </c>
      <c r="S283" t="s">
        <v>7</v>
      </c>
    </row>
    <row r="284" spans="15:19" x14ac:dyDescent="0.35">
      <c r="O284">
        <v>0</v>
      </c>
      <c r="P284" t="str">
        <v>Ipswich</v>
      </c>
      <c r="Q284" t="s">
        <v>27</v>
      </c>
      <c r="R284" t="s">
        <v>4</v>
      </c>
      <c r="S284" t="s">
        <v>7</v>
      </c>
    </row>
    <row r="285" spans="15:19" x14ac:dyDescent="0.35">
      <c r="O285">
        <v>0</v>
      </c>
      <c r="P285" t="str">
        <v>Maroochy</v>
      </c>
      <c r="Q285" t="s">
        <v>27</v>
      </c>
      <c r="R285" t="s">
        <v>4</v>
      </c>
      <c r="S285" t="s">
        <v>7</v>
      </c>
    </row>
    <row r="286" spans="15:19" x14ac:dyDescent="0.35">
      <c r="O286">
        <v>0</v>
      </c>
      <c r="P286" t="str">
        <v>Rockhampton</v>
      </c>
      <c r="Q286" t="s">
        <v>27</v>
      </c>
      <c r="R286" t="s">
        <v>4</v>
      </c>
      <c r="S286" t="s">
        <v>7</v>
      </c>
    </row>
    <row r="287" spans="15:19" x14ac:dyDescent="0.35">
      <c r="O287">
        <v>0</v>
      </c>
      <c r="P287" t="str">
        <v>Southport</v>
      </c>
      <c r="Q287" t="s">
        <v>27</v>
      </c>
      <c r="R287" t="s">
        <v>4</v>
      </c>
      <c r="S287" t="s">
        <v>7</v>
      </c>
    </row>
    <row r="288" spans="15:19" x14ac:dyDescent="0.35">
      <c r="O288">
        <v>1</v>
      </c>
      <c r="P288" t="str">
        <v>Toowoomba</v>
      </c>
      <c r="Q288" t="s">
        <v>27</v>
      </c>
      <c r="R288" t="s">
        <v>4</v>
      </c>
      <c r="S288" t="s">
        <v>7</v>
      </c>
    </row>
    <row r="289" spans="15:19" x14ac:dyDescent="0.35">
      <c r="O289">
        <v>0</v>
      </c>
      <c r="P289" t="str">
        <v>Townsville</v>
      </c>
      <c r="Q289" t="s">
        <v>27</v>
      </c>
      <c r="R289" t="s">
        <v>4</v>
      </c>
      <c r="S289" t="s">
        <v>7</v>
      </c>
    </row>
    <row r="290" spans="15:19" x14ac:dyDescent="0.35">
      <c r="O290">
        <v>845</v>
      </c>
      <c r="P290" t="str" cm="1">
        <f t="array" ref="P290:P298">TRANSPOSE(B1:J1)</f>
        <v>Brisbane</v>
      </c>
      <c r="Q290" t="s">
        <v>28</v>
      </c>
      <c r="R290" t="s">
        <v>4</v>
      </c>
      <c r="S290" t="s">
        <v>8</v>
      </c>
    </row>
    <row r="291" spans="15:19" x14ac:dyDescent="0.35">
      <c r="O291">
        <v>74</v>
      </c>
      <c r="P291" t="str">
        <v>Beenleigh</v>
      </c>
      <c r="Q291" t="s">
        <v>28</v>
      </c>
      <c r="R291" t="s">
        <v>4</v>
      </c>
      <c r="S291" t="s">
        <v>8</v>
      </c>
    </row>
    <row r="292" spans="15:19" x14ac:dyDescent="0.35">
      <c r="O292">
        <v>85</v>
      </c>
      <c r="P292" t="str">
        <v>Cairns</v>
      </c>
      <c r="Q292" t="s">
        <v>28</v>
      </c>
      <c r="R292" t="s">
        <v>4</v>
      </c>
      <c r="S292" t="s">
        <v>8</v>
      </c>
    </row>
    <row r="293" spans="15:19" x14ac:dyDescent="0.35">
      <c r="O293">
        <v>205</v>
      </c>
      <c r="P293" t="str">
        <v>Ipswich</v>
      </c>
      <c r="Q293" t="s">
        <v>28</v>
      </c>
      <c r="R293" t="s">
        <v>4</v>
      </c>
      <c r="S293" t="s">
        <v>8</v>
      </c>
    </row>
    <row r="294" spans="15:19" x14ac:dyDescent="0.35">
      <c r="O294">
        <v>98</v>
      </c>
      <c r="P294" t="str">
        <v>Maroochy</v>
      </c>
      <c r="Q294" t="s">
        <v>28</v>
      </c>
      <c r="R294" t="s">
        <v>4</v>
      </c>
      <c r="S294" t="s">
        <v>8</v>
      </c>
    </row>
    <row r="295" spans="15:19" x14ac:dyDescent="0.35">
      <c r="O295">
        <v>123</v>
      </c>
      <c r="P295" t="str">
        <v>Rockhampton</v>
      </c>
      <c r="Q295" t="s">
        <v>28</v>
      </c>
      <c r="R295" t="s">
        <v>4</v>
      </c>
      <c r="S295" t="s">
        <v>8</v>
      </c>
    </row>
    <row r="296" spans="15:19" x14ac:dyDescent="0.35">
      <c r="O296">
        <v>117</v>
      </c>
      <c r="P296" t="str">
        <v>Southport</v>
      </c>
      <c r="Q296" t="s">
        <v>28</v>
      </c>
      <c r="R296" t="s">
        <v>4</v>
      </c>
      <c r="S296" t="s">
        <v>8</v>
      </c>
    </row>
    <row r="297" spans="15:19" x14ac:dyDescent="0.35">
      <c r="O297">
        <v>26</v>
      </c>
      <c r="P297" t="str">
        <v>Toowoomba</v>
      </c>
      <c r="Q297" t="s">
        <v>28</v>
      </c>
      <c r="R297" t="s">
        <v>4</v>
      </c>
      <c r="S297" t="s">
        <v>8</v>
      </c>
    </row>
    <row r="298" spans="15:19" x14ac:dyDescent="0.35">
      <c r="O298">
        <v>128</v>
      </c>
      <c r="P298" t="str">
        <v>Townsville</v>
      </c>
      <c r="Q298" t="s">
        <v>28</v>
      </c>
      <c r="R298" t="s">
        <v>4</v>
      </c>
      <c r="S298" t="s">
        <v>8</v>
      </c>
    </row>
    <row r="299" spans="15:19" x14ac:dyDescent="0.35">
      <c r="O299">
        <v>298</v>
      </c>
      <c r="P299" t="str" cm="1">
        <f t="array" ref="P299:P307">TRANSPOSE(B1:J1)</f>
        <v>Brisbane</v>
      </c>
      <c r="Q299" t="s">
        <v>29</v>
      </c>
      <c r="R299" t="s">
        <v>4</v>
      </c>
      <c r="S299" t="s">
        <v>8</v>
      </c>
    </row>
    <row r="300" spans="15:19" x14ac:dyDescent="0.35">
      <c r="O300">
        <v>19</v>
      </c>
      <c r="P300" t="str">
        <v>Beenleigh</v>
      </c>
      <c r="Q300" t="s">
        <v>29</v>
      </c>
      <c r="R300" t="s">
        <v>4</v>
      </c>
      <c r="S300" t="s">
        <v>8</v>
      </c>
    </row>
    <row r="301" spans="15:19" x14ac:dyDescent="0.35">
      <c r="O301">
        <v>16</v>
      </c>
      <c r="P301" t="str">
        <v>Cairns</v>
      </c>
      <c r="Q301" t="s">
        <v>29</v>
      </c>
      <c r="R301" t="s">
        <v>4</v>
      </c>
      <c r="S301" t="s">
        <v>8</v>
      </c>
    </row>
    <row r="302" spans="15:19" x14ac:dyDescent="0.35">
      <c r="O302">
        <v>78</v>
      </c>
      <c r="P302" t="str">
        <v>Ipswich</v>
      </c>
      <c r="Q302" t="s">
        <v>29</v>
      </c>
      <c r="R302" t="s">
        <v>4</v>
      </c>
      <c r="S302" t="s">
        <v>8</v>
      </c>
    </row>
    <row r="303" spans="15:19" x14ac:dyDescent="0.35">
      <c r="O303">
        <v>16</v>
      </c>
      <c r="P303" t="str">
        <v>Maroochy</v>
      </c>
      <c r="Q303" t="s">
        <v>29</v>
      </c>
      <c r="R303" t="s">
        <v>4</v>
      </c>
      <c r="S303" t="s">
        <v>8</v>
      </c>
    </row>
    <row r="304" spans="15:19" x14ac:dyDescent="0.35">
      <c r="O304">
        <v>49</v>
      </c>
      <c r="P304" t="str">
        <v>Rockhampton</v>
      </c>
      <c r="Q304" t="s">
        <v>29</v>
      </c>
      <c r="R304" t="s">
        <v>4</v>
      </c>
      <c r="S304" t="s">
        <v>8</v>
      </c>
    </row>
    <row r="305" spans="15:19" x14ac:dyDescent="0.35">
      <c r="O305">
        <v>34</v>
      </c>
      <c r="P305" t="str">
        <v>Southport</v>
      </c>
      <c r="Q305" t="s">
        <v>29</v>
      </c>
      <c r="R305" t="s">
        <v>4</v>
      </c>
      <c r="S305" t="s">
        <v>8</v>
      </c>
    </row>
    <row r="306" spans="15:19" x14ac:dyDescent="0.35">
      <c r="O306">
        <v>4</v>
      </c>
      <c r="P306" t="str">
        <v>Toowoomba</v>
      </c>
      <c r="Q306" t="s">
        <v>29</v>
      </c>
      <c r="R306" t="s">
        <v>4</v>
      </c>
      <c r="S306" t="s">
        <v>8</v>
      </c>
    </row>
    <row r="307" spans="15:19" x14ac:dyDescent="0.35">
      <c r="O307">
        <v>50</v>
      </c>
      <c r="P307" t="str">
        <v>Townsville</v>
      </c>
      <c r="Q307" t="s">
        <v>29</v>
      </c>
      <c r="R307" t="s">
        <v>4</v>
      </c>
      <c r="S307" t="s">
        <v>8</v>
      </c>
    </row>
    <row r="308" spans="15:19" x14ac:dyDescent="0.35">
      <c r="O308">
        <v>79</v>
      </c>
      <c r="P308" t="str" cm="1">
        <f t="array" ref="P308:P316">TRANSPOSE(B1:J1)</f>
        <v>Brisbane</v>
      </c>
      <c r="Q308" t="s">
        <v>30</v>
      </c>
      <c r="R308" t="s">
        <v>4</v>
      </c>
      <c r="S308" t="s">
        <v>8</v>
      </c>
    </row>
    <row r="309" spans="15:19" x14ac:dyDescent="0.35">
      <c r="O309">
        <v>9</v>
      </c>
      <c r="P309" t="str">
        <v>Beenleigh</v>
      </c>
      <c r="Q309" t="s">
        <v>30</v>
      </c>
      <c r="R309" t="s">
        <v>4</v>
      </c>
      <c r="S309" t="s">
        <v>8</v>
      </c>
    </row>
    <row r="310" spans="15:19" x14ac:dyDescent="0.35">
      <c r="O310">
        <v>18</v>
      </c>
      <c r="P310" t="str">
        <v>Cairns</v>
      </c>
      <c r="Q310" t="s">
        <v>30</v>
      </c>
      <c r="R310" t="s">
        <v>4</v>
      </c>
      <c r="S310" t="s">
        <v>8</v>
      </c>
    </row>
    <row r="311" spans="15:19" x14ac:dyDescent="0.35">
      <c r="O311">
        <v>16</v>
      </c>
      <c r="P311" t="str">
        <v>Ipswich</v>
      </c>
      <c r="Q311" t="s">
        <v>30</v>
      </c>
      <c r="R311" t="s">
        <v>4</v>
      </c>
      <c r="S311" t="s">
        <v>8</v>
      </c>
    </row>
    <row r="312" spans="15:19" x14ac:dyDescent="0.35">
      <c r="O312">
        <v>9</v>
      </c>
      <c r="P312" t="str">
        <v>Maroochy</v>
      </c>
      <c r="Q312" t="s">
        <v>30</v>
      </c>
      <c r="R312" t="s">
        <v>4</v>
      </c>
      <c r="S312" t="s">
        <v>8</v>
      </c>
    </row>
    <row r="313" spans="15:19" x14ac:dyDescent="0.35">
      <c r="O313">
        <v>26</v>
      </c>
      <c r="P313" t="str">
        <v>Rockhampton</v>
      </c>
      <c r="Q313" t="s">
        <v>30</v>
      </c>
      <c r="R313" t="s">
        <v>4</v>
      </c>
      <c r="S313" t="s">
        <v>8</v>
      </c>
    </row>
    <row r="314" spans="15:19" x14ac:dyDescent="0.35">
      <c r="O314">
        <v>45</v>
      </c>
      <c r="P314" t="str">
        <v>Southport</v>
      </c>
      <c r="Q314" t="s">
        <v>30</v>
      </c>
      <c r="R314" t="s">
        <v>4</v>
      </c>
      <c r="S314" t="s">
        <v>8</v>
      </c>
    </row>
    <row r="315" spans="15:19" x14ac:dyDescent="0.35">
      <c r="O315">
        <v>9</v>
      </c>
      <c r="P315" t="str">
        <v>Toowoomba</v>
      </c>
      <c r="Q315" t="s">
        <v>30</v>
      </c>
      <c r="R315" t="s">
        <v>4</v>
      </c>
      <c r="S315" t="s">
        <v>8</v>
      </c>
    </row>
    <row r="316" spans="15:19" x14ac:dyDescent="0.35">
      <c r="O316">
        <v>23</v>
      </c>
      <c r="P316" t="str">
        <v>Townsville</v>
      </c>
      <c r="Q316" t="s">
        <v>30</v>
      </c>
      <c r="R316" t="s">
        <v>4</v>
      </c>
      <c r="S316" t="s">
        <v>8</v>
      </c>
    </row>
    <row r="317" spans="15:19" x14ac:dyDescent="0.35">
      <c r="O317">
        <v>4</v>
      </c>
      <c r="P317" t="str" cm="1">
        <f t="array" ref="P317:P325">TRANSPOSE(B1:J1)</f>
        <v>Brisbane</v>
      </c>
      <c r="Q317" t="s">
        <v>31</v>
      </c>
      <c r="R317" t="s">
        <v>4</v>
      </c>
      <c r="S317" t="s">
        <v>8</v>
      </c>
    </row>
    <row r="318" spans="15:19" x14ac:dyDescent="0.35">
      <c r="O318">
        <v>1</v>
      </c>
      <c r="P318" t="str">
        <v>Beenleigh</v>
      </c>
      <c r="Q318" t="s">
        <v>31</v>
      </c>
      <c r="R318" t="s">
        <v>4</v>
      </c>
      <c r="S318" t="s">
        <v>8</v>
      </c>
    </row>
    <row r="319" spans="15:19" x14ac:dyDescent="0.35">
      <c r="O319">
        <v>0</v>
      </c>
      <c r="P319" t="str">
        <v>Cairns</v>
      </c>
      <c r="Q319" t="s">
        <v>31</v>
      </c>
      <c r="R319" t="s">
        <v>4</v>
      </c>
      <c r="S319" t="s">
        <v>8</v>
      </c>
    </row>
    <row r="320" spans="15:19" x14ac:dyDescent="0.35">
      <c r="O320">
        <v>0</v>
      </c>
      <c r="P320" t="str">
        <v>Ipswich</v>
      </c>
      <c r="Q320" t="s">
        <v>31</v>
      </c>
      <c r="R320" t="s">
        <v>4</v>
      </c>
      <c r="S320" t="s">
        <v>8</v>
      </c>
    </row>
    <row r="321" spans="15:19" x14ac:dyDescent="0.35">
      <c r="O321">
        <v>1</v>
      </c>
      <c r="P321" t="str">
        <v>Maroochy</v>
      </c>
      <c r="Q321" t="s">
        <v>31</v>
      </c>
      <c r="R321" t="s">
        <v>4</v>
      </c>
      <c r="S321" t="s">
        <v>8</v>
      </c>
    </row>
    <row r="322" spans="15:19" x14ac:dyDescent="0.35">
      <c r="O322">
        <v>0</v>
      </c>
      <c r="P322" t="str">
        <v>Rockhampton</v>
      </c>
      <c r="Q322" t="s">
        <v>31</v>
      </c>
      <c r="R322" t="s">
        <v>4</v>
      </c>
      <c r="S322" t="s">
        <v>8</v>
      </c>
    </row>
    <row r="323" spans="15:19" x14ac:dyDescent="0.35">
      <c r="O323">
        <v>4</v>
      </c>
      <c r="P323" t="str">
        <v>Southport</v>
      </c>
      <c r="Q323" t="s">
        <v>31</v>
      </c>
      <c r="R323" t="s">
        <v>4</v>
      </c>
      <c r="S323" t="s">
        <v>8</v>
      </c>
    </row>
    <row r="324" spans="15:19" x14ac:dyDescent="0.35">
      <c r="O324">
        <v>0</v>
      </c>
      <c r="P324" t="str">
        <v>Toowoomba</v>
      </c>
      <c r="Q324" t="s">
        <v>31</v>
      </c>
      <c r="R324" t="s">
        <v>4</v>
      </c>
      <c r="S324" t="s">
        <v>8</v>
      </c>
    </row>
    <row r="325" spans="15:19" x14ac:dyDescent="0.35">
      <c r="O325">
        <v>5</v>
      </c>
      <c r="P325" t="str">
        <v>Townsville</v>
      </c>
      <c r="Q325" t="s">
        <v>31</v>
      </c>
      <c r="R325" t="s">
        <v>4</v>
      </c>
      <c r="S325" t="s">
        <v>8</v>
      </c>
    </row>
    <row r="326" spans="15:19" x14ac:dyDescent="0.35">
      <c r="O326">
        <v>1406</v>
      </c>
      <c r="P326" t="str" cm="1">
        <f t="array" ref="P326:P334">TRANSPOSE(B1:J1)</f>
        <v>Brisbane</v>
      </c>
      <c r="Q326" t="s">
        <v>32</v>
      </c>
      <c r="R326" t="s">
        <v>4</v>
      </c>
      <c r="S326" t="s">
        <v>8</v>
      </c>
    </row>
    <row r="327" spans="15:19" x14ac:dyDescent="0.35">
      <c r="O327">
        <v>289</v>
      </c>
      <c r="P327" t="str">
        <v>Beenleigh</v>
      </c>
      <c r="Q327" t="s">
        <v>32</v>
      </c>
      <c r="R327" t="s">
        <v>4</v>
      </c>
      <c r="S327" t="s">
        <v>8</v>
      </c>
    </row>
    <row r="328" spans="15:19" x14ac:dyDescent="0.35">
      <c r="O328">
        <v>164</v>
      </c>
      <c r="P328" t="str">
        <v>Cairns</v>
      </c>
      <c r="Q328" t="s">
        <v>32</v>
      </c>
      <c r="R328" t="s">
        <v>4</v>
      </c>
      <c r="S328" t="s">
        <v>8</v>
      </c>
    </row>
    <row r="329" spans="15:19" x14ac:dyDescent="0.35">
      <c r="O329">
        <v>331</v>
      </c>
      <c r="P329" t="str">
        <v>Ipswich</v>
      </c>
      <c r="Q329" t="s">
        <v>32</v>
      </c>
      <c r="R329" t="s">
        <v>4</v>
      </c>
      <c r="S329" t="s">
        <v>8</v>
      </c>
    </row>
    <row r="330" spans="15:19" x14ac:dyDescent="0.35">
      <c r="O330">
        <v>259</v>
      </c>
      <c r="P330" t="str">
        <v>Maroochy</v>
      </c>
      <c r="Q330" t="s">
        <v>32</v>
      </c>
      <c r="R330" t="s">
        <v>4</v>
      </c>
      <c r="S330" t="s">
        <v>8</v>
      </c>
    </row>
    <row r="331" spans="15:19" x14ac:dyDescent="0.35">
      <c r="O331">
        <v>226</v>
      </c>
      <c r="P331" t="str">
        <v>Rockhampton</v>
      </c>
      <c r="Q331" t="s">
        <v>32</v>
      </c>
      <c r="R331" t="s">
        <v>4</v>
      </c>
      <c r="S331" t="s">
        <v>8</v>
      </c>
    </row>
    <row r="332" spans="15:19" x14ac:dyDescent="0.35">
      <c r="O332">
        <v>195</v>
      </c>
      <c r="P332" t="str">
        <v>Southport</v>
      </c>
      <c r="Q332" t="s">
        <v>32</v>
      </c>
      <c r="R332" t="s">
        <v>4</v>
      </c>
      <c r="S332" t="s">
        <v>8</v>
      </c>
    </row>
    <row r="333" spans="15:19" x14ac:dyDescent="0.35">
      <c r="O333">
        <v>32</v>
      </c>
      <c r="P333" t="str">
        <v>Toowoomba</v>
      </c>
      <c r="Q333" t="s">
        <v>32</v>
      </c>
      <c r="R333" t="s">
        <v>4</v>
      </c>
      <c r="S333" t="s">
        <v>8</v>
      </c>
    </row>
    <row r="334" spans="15:19" x14ac:dyDescent="0.35">
      <c r="O334">
        <v>379</v>
      </c>
      <c r="P334" t="str">
        <v>Townsville</v>
      </c>
      <c r="Q334" t="s">
        <v>32</v>
      </c>
      <c r="R334" t="s">
        <v>4</v>
      </c>
      <c r="S334" t="s">
        <v>8</v>
      </c>
    </row>
    <row r="335" spans="15:19" x14ac:dyDescent="0.35">
      <c r="O335">
        <v>399</v>
      </c>
      <c r="P335" t="str" cm="1">
        <f t="array" ref="P335:P343">TRANSPOSE(B1:J1)</f>
        <v>Brisbane</v>
      </c>
      <c r="Q335" t="s">
        <v>33</v>
      </c>
      <c r="R335" t="s">
        <v>4</v>
      </c>
      <c r="S335" t="s">
        <v>8</v>
      </c>
    </row>
    <row r="336" spans="15:19" x14ac:dyDescent="0.35">
      <c r="O336">
        <v>62</v>
      </c>
      <c r="P336" t="str">
        <v>Beenleigh</v>
      </c>
      <c r="Q336" t="s">
        <v>33</v>
      </c>
      <c r="R336" t="s">
        <v>4</v>
      </c>
      <c r="S336" t="s">
        <v>8</v>
      </c>
    </row>
    <row r="337" spans="15:19" x14ac:dyDescent="0.35">
      <c r="O337">
        <v>118</v>
      </c>
      <c r="P337" t="str">
        <v>Cairns</v>
      </c>
      <c r="Q337" t="s">
        <v>33</v>
      </c>
      <c r="R337" t="s">
        <v>4</v>
      </c>
      <c r="S337" t="s">
        <v>8</v>
      </c>
    </row>
    <row r="338" spans="15:19" x14ac:dyDescent="0.35">
      <c r="O338">
        <v>123</v>
      </c>
      <c r="P338" t="str">
        <v>Ipswich</v>
      </c>
      <c r="Q338" t="s">
        <v>33</v>
      </c>
      <c r="R338" t="s">
        <v>4</v>
      </c>
      <c r="S338" t="s">
        <v>8</v>
      </c>
    </row>
    <row r="339" spans="15:19" x14ac:dyDescent="0.35">
      <c r="O339">
        <v>52</v>
      </c>
      <c r="P339" t="str">
        <v>Maroochy</v>
      </c>
      <c r="Q339" t="s">
        <v>33</v>
      </c>
      <c r="R339" t="s">
        <v>4</v>
      </c>
      <c r="S339" t="s">
        <v>8</v>
      </c>
    </row>
    <row r="340" spans="15:19" x14ac:dyDescent="0.35">
      <c r="O340">
        <v>70</v>
      </c>
      <c r="P340" t="str">
        <v>Rockhampton</v>
      </c>
      <c r="Q340" t="s">
        <v>33</v>
      </c>
      <c r="R340" t="s">
        <v>4</v>
      </c>
      <c r="S340" t="s">
        <v>8</v>
      </c>
    </row>
    <row r="341" spans="15:19" x14ac:dyDescent="0.35">
      <c r="O341">
        <v>29</v>
      </c>
      <c r="P341" t="str">
        <v>Southport</v>
      </c>
      <c r="Q341" t="s">
        <v>33</v>
      </c>
      <c r="R341" t="s">
        <v>4</v>
      </c>
      <c r="S341" t="s">
        <v>8</v>
      </c>
    </row>
    <row r="342" spans="15:19" x14ac:dyDescent="0.35">
      <c r="O342">
        <v>20</v>
      </c>
      <c r="P342" t="str">
        <v>Toowoomba</v>
      </c>
      <c r="Q342" t="s">
        <v>33</v>
      </c>
      <c r="R342" t="s">
        <v>4</v>
      </c>
      <c r="S342" t="s">
        <v>8</v>
      </c>
    </row>
    <row r="343" spans="15:19" x14ac:dyDescent="0.35">
      <c r="O343">
        <v>78</v>
      </c>
      <c r="P343" t="str">
        <v>Townsville</v>
      </c>
      <c r="Q343" t="s">
        <v>33</v>
      </c>
      <c r="R343" t="s">
        <v>4</v>
      </c>
      <c r="S343" t="s">
        <v>8</v>
      </c>
    </row>
    <row r="344" spans="15:19" x14ac:dyDescent="0.35">
      <c r="O344">
        <v>383</v>
      </c>
      <c r="P344" t="str" cm="1">
        <f t="array" ref="P344:P352">TRANSPOSE(B1:J1)</f>
        <v>Brisbane</v>
      </c>
      <c r="Q344" t="s">
        <v>34</v>
      </c>
      <c r="R344" t="s">
        <v>4</v>
      </c>
      <c r="S344" t="s">
        <v>8</v>
      </c>
    </row>
    <row r="345" spans="15:19" x14ac:dyDescent="0.35">
      <c r="O345">
        <v>180</v>
      </c>
      <c r="P345" t="str">
        <v>Beenleigh</v>
      </c>
      <c r="Q345" t="s">
        <v>34</v>
      </c>
      <c r="R345" t="s">
        <v>4</v>
      </c>
      <c r="S345" t="s">
        <v>8</v>
      </c>
    </row>
    <row r="346" spans="15:19" x14ac:dyDescent="0.35">
      <c r="O346">
        <v>49</v>
      </c>
      <c r="P346" t="str">
        <v>Cairns</v>
      </c>
      <c r="Q346" t="s">
        <v>34</v>
      </c>
      <c r="R346" t="s">
        <v>4</v>
      </c>
      <c r="S346" t="s">
        <v>8</v>
      </c>
    </row>
    <row r="347" spans="15:19" x14ac:dyDescent="0.35">
      <c r="O347">
        <v>61</v>
      </c>
      <c r="P347" t="str">
        <v>Ipswich</v>
      </c>
      <c r="Q347" t="s">
        <v>34</v>
      </c>
      <c r="R347" t="s">
        <v>4</v>
      </c>
      <c r="S347" t="s">
        <v>8</v>
      </c>
    </row>
    <row r="348" spans="15:19" x14ac:dyDescent="0.35">
      <c r="O348">
        <v>66</v>
      </c>
      <c r="P348" t="str">
        <v>Maroochy</v>
      </c>
      <c r="Q348" t="s">
        <v>34</v>
      </c>
      <c r="R348" t="s">
        <v>4</v>
      </c>
      <c r="S348" t="s">
        <v>8</v>
      </c>
    </row>
    <row r="349" spans="15:19" x14ac:dyDescent="0.35">
      <c r="O349">
        <v>46</v>
      </c>
      <c r="P349" t="str">
        <v>Rockhampton</v>
      </c>
      <c r="Q349" t="s">
        <v>34</v>
      </c>
      <c r="R349" t="s">
        <v>4</v>
      </c>
      <c r="S349" t="s">
        <v>8</v>
      </c>
    </row>
    <row r="350" spans="15:19" x14ac:dyDescent="0.35">
      <c r="O350">
        <v>24</v>
      </c>
      <c r="P350" t="str">
        <v>Southport</v>
      </c>
      <c r="Q350" t="s">
        <v>34</v>
      </c>
      <c r="R350" t="s">
        <v>4</v>
      </c>
      <c r="S350" t="s">
        <v>8</v>
      </c>
    </row>
    <row r="351" spans="15:19" x14ac:dyDescent="0.35">
      <c r="O351">
        <v>13</v>
      </c>
      <c r="P351" t="str">
        <v>Toowoomba</v>
      </c>
      <c r="Q351" t="s">
        <v>34</v>
      </c>
      <c r="R351" t="s">
        <v>4</v>
      </c>
      <c r="S351" t="s">
        <v>8</v>
      </c>
    </row>
    <row r="352" spans="15:19" x14ac:dyDescent="0.35">
      <c r="O352">
        <v>88</v>
      </c>
      <c r="P352" t="str">
        <v>Townsville</v>
      </c>
      <c r="Q352" t="s">
        <v>34</v>
      </c>
      <c r="R352" t="s">
        <v>4</v>
      </c>
      <c r="S352" t="s">
        <v>8</v>
      </c>
    </row>
    <row r="353" spans="15:19" x14ac:dyDescent="0.35">
      <c r="O353">
        <v>79</v>
      </c>
      <c r="P353" t="str" cm="1">
        <f t="array" ref="P353:P361">TRANSPOSE(B1:J1)</f>
        <v>Brisbane</v>
      </c>
      <c r="Q353" t="s">
        <v>22</v>
      </c>
      <c r="R353" t="s">
        <v>3</v>
      </c>
      <c r="S353" t="s">
        <v>7</v>
      </c>
    </row>
    <row r="354" spans="15:19" x14ac:dyDescent="0.35">
      <c r="O354">
        <v>0</v>
      </c>
      <c r="P354" t="str">
        <v>Beenleigh</v>
      </c>
      <c r="Q354" t="s">
        <v>22</v>
      </c>
      <c r="R354" t="s">
        <v>3</v>
      </c>
      <c r="S354" t="s">
        <v>7</v>
      </c>
    </row>
    <row r="355" spans="15:19" x14ac:dyDescent="0.35">
      <c r="O355">
        <v>8</v>
      </c>
      <c r="P355" t="str">
        <v>Cairns</v>
      </c>
      <c r="Q355" t="s">
        <v>22</v>
      </c>
      <c r="R355" t="s">
        <v>3</v>
      </c>
      <c r="S355" t="s">
        <v>7</v>
      </c>
    </row>
    <row r="356" spans="15:19" x14ac:dyDescent="0.35">
      <c r="O356">
        <v>9</v>
      </c>
      <c r="P356" t="str">
        <v>Ipswich</v>
      </c>
      <c r="Q356" t="s">
        <v>22</v>
      </c>
      <c r="R356" t="s">
        <v>3</v>
      </c>
      <c r="S356" t="s">
        <v>7</v>
      </c>
    </row>
    <row r="357" spans="15:19" x14ac:dyDescent="0.35">
      <c r="O357">
        <v>3</v>
      </c>
      <c r="P357" t="str">
        <v>Maroochy</v>
      </c>
      <c r="Q357" t="s">
        <v>22</v>
      </c>
      <c r="R357" t="s">
        <v>3</v>
      </c>
      <c r="S357" t="s">
        <v>7</v>
      </c>
    </row>
    <row r="358" spans="15:19" x14ac:dyDescent="0.35">
      <c r="O358">
        <v>4</v>
      </c>
      <c r="P358" t="str">
        <v>Rockhampton</v>
      </c>
      <c r="Q358" t="s">
        <v>22</v>
      </c>
      <c r="R358" t="s">
        <v>3</v>
      </c>
      <c r="S358" t="s">
        <v>7</v>
      </c>
    </row>
    <row r="359" spans="15:19" x14ac:dyDescent="0.35">
      <c r="O359">
        <v>6</v>
      </c>
      <c r="P359" t="str">
        <v>Southport</v>
      </c>
      <c r="Q359" t="s">
        <v>22</v>
      </c>
      <c r="R359" t="s">
        <v>3</v>
      </c>
      <c r="S359" t="s">
        <v>7</v>
      </c>
    </row>
    <row r="360" spans="15:19" x14ac:dyDescent="0.35">
      <c r="O360">
        <v>0</v>
      </c>
      <c r="P360" t="str">
        <v>Toowoomba</v>
      </c>
      <c r="Q360" t="s">
        <v>22</v>
      </c>
      <c r="R360" t="s">
        <v>3</v>
      </c>
      <c r="S360" t="s">
        <v>7</v>
      </c>
    </row>
    <row r="361" spans="15:19" x14ac:dyDescent="0.35">
      <c r="O361">
        <v>2</v>
      </c>
      <c r="P361" t="str">
        <v>Townsville</v>
      </c>
      <c r="Q361" t="s">
        <v>22</v>
      </c>
      <c r="R361" t="s">
        <v>3</v>
      </c>
      <c r="S361" t="s">
        <v>7</v>
      </c>
    </row>
    <row r="362" spans="15:19" x14ac:dyDescent="0.35">
      <c r="O362">
        <v>39</v>
      </c>
      <c r="P362" t="str" cm="1">
        <f t="array" ref="P362:P370">TRANSPOSE(B1:J1)</f>
        <v>Brisbane</v>
      </c>
      <c r="Q362" t="s">
        <v>23</v>
      </c>
      <c r="R362" t="s">
        <v>3</v>
      </c>
      <c r="S362" t="s">
        <v>7</v>
      </c>
    </row>
    <row r="363" spans="15:19" x14ac:dyDescent="0.35">
      <c r="O363">
        <v>0</v>
      </c>
      <c r="P363" t="str">
        <v>Beenleigh</v>
      </c>
      <c r="Q363" t="s">
        <v>23</v>
      </c>
      <c r="R363" t="s">
        <v>3</v>
      </c>
      <c r="S363" t="s">
        <v>7</v>
      </c>
    </row>
    <row r="364" spans="15:19" x14ac:dyDescent="0.35">
      <c r="O364">
        <v>6</v>
      </c>
      <c r="P364" t="str">
        <v>Cairns</v>
      </c>
      <c r="Q364" t="s">
        <v>23</v>
      </c>
      <c r="R364" t="s">
        <v>3</v>
      </c>
      <c r="S364" t="s">
        <v>7</v>
      </c>
    </row>
    <row r="365" spans="15:19" x14ac:dyDescent="0.35">
      <c r="O365">
        <v>3</v>
      </c>
      <c r="P365" t="str">
        <v>Ipswich</v>
      </c>
      <c r="Q365" t="s">
        <v>23</v>
      </c>
      <c r="R365" t="s">
        <v>3</v>
      </c>
      <c r="S365" t="s">
        <v>7</v>
      </c>
    </row>
    <row r="366" spans="15:19" x14ac:dyDescent="0.35">
      <c r="O366">
        <v>0</v>
      </c>
      <c r="P366" t="str">
        <v>Maroochy</v>
      </c>
      <c r="Q366" t="s">
        <v>23</v>
      </c>
      <c r="R366" t="s">
        <v>3</v>
      </c>
      <c r="S366" t="s">
        <v>7</v>
      </c>
    </row>
    <row r="367" spans="15:19" x14ac:dyDescent="0.35">
      <c r="O367">
        <v>4</v>
      </c>
      <c r="P367" t="str">
        <v>Rockhampton</v>
      </c>
      <c r="Q367" t="s">
        <v>23</v>
      </c>
      <c r="R367" t="s">
        <v>3</v>
      </c>
      <c r="S367" t="s">
        <v>7</v>
      </c>
    </row>
    <row r="368" spans="15:19" x14ac:dyDescent="0.35">
      <c r="O368">
        <v>0</v>
      </c>
      <c r="P368" t="str">
        <v>Southport</v>
      </c>
      <c r="Q368" t="s">
        <v>23</v>
      </c>
      <c r="R368" t="s">
        <v>3</v>
      </c>
      <c r="S368" t="s">
        <v>7</v>
      </c>
    </row>
    <row r="369" spans="15:19" x14ac:dyDescent="0.35">
      <c r="O369">
        <v>0</v>
      </c>
      <c r="P369" t="str">
        <v>Toowoomba</v>
      </c>
      <c r="Q369" t="s">
        <v>23</v>
      </c>
      <c r="R369" t="s">
        <v>3</v>
      </c>
      <c r="S369" t="s">
        <v>7</v>
      </c>
    </row>
    <row r="370" spans="15:19" x14ac:dyDescent="0.35">
      <c r="O370">
        <v>3</v>
      </c>
      <c r="P370" t="str">
        <v>Townsville</v>
      </c>
      <c r="Q370" t="s">
        <v>23</v>
      </c>
      <c r="R370" t="s">
        <v>3</v>
      </c>
      <c r="S370" t="s">
        <v>7</v>
      </c>
    </row>
    <row r="371" spans="15:19" x14ac:dyDescent="0.35">
      <c r="O371">
        <v>11</v>
      </c>
      <c r="P371" t="str" cm="1">
        <f t="array" ref="P371:P379">TRANSPOSE(B1:J1)</f>
        <v>Brisbane</v>
      </c>
      <c r="Q371" t="s">
        <v>24</v>
      </c>
      <c r="R371" t="s">
        <v>3</v>
      </c>
      <c r="S371" t="s">
        <v>7</v>
      </c>
    </row>
    <row r="372" spans="15:19" x14ac:dyDescent="0.35">
      <c r="O372">
        <v>0</v>
      </c>
      <c r="P372" t="str">
        <v>Beenleigh</v>
      </c>
      <c r="Q372" t="s">
        <v>24</v>
      </c>
      <c r="R372" t="s">
        <v>3</v>
      </c>
      <c r="S372" t="s">
        <v>7</v>
      </c>
    </row>
    <row r="373" spans="15:19" x14ac:dyDescent="0.35">
      <c r="O373">
        <v>0</v>
      </c>
      <c r="P373" t="str">
        <v>Cairns</v>
      </c>
      <c r="Q373" t="s">
        <v>24</v>
      </c>
      <c r="R373" t="s">
        <v>3</v>
      </c>
      <c r="S373" t="s">
        <v>7</v>
      </c>
    </row>
    <row r="374" spans="15:19" x14ac:dyDescent="0.35">
      <c r="O374">
        <v>0</v>
      </c>
      <c r="P374" t="str">
        <v>Ipswich</v>
      </c>
      <c r="Q374" t="s">
        <v>24</v>
      </c>
      <c r="R374" t="s">
        <v>3</v>
      </c>
      <c r="S374" t="s">
        <v>7</v>
      </c>
    </row>
    <row r="375" spans="15:19" x14ac:dyDescent="0.35">
      <c r="O375">
        <v>0</v>
      </c>
      <c r="P375" t="str">
        <v>Maroochy</v>
      </c>
      <c r="Q375" t="s">
        <v>24</v>
      </c>
      <c r="R375" t="s">
        <v>3</v>
      </c>
      <c r="S375" t="s">
        <v>7</v>
      </c>
    </row>
    <row r="376" spans="15:19" x14ac:dyDescent="0.35">
      <c r="O376">
        <v>0</v>
      </c>
      <c r="P376" t="str">
        <v>Rockhampton</v>
      </c>
      <c r="Q376" t="s">
        <v>24</v>
      </c>
      <c r="R376" t="s">
        <v>3</v>
      </c>
      <c r="S376" t="s">
        <v>7</v>
      </c>
    </row>
    <row r="377" spans="15:19" x14ac:dyDescent="0.35">
      <c r="O377">
        <v>0</v>
      </c>
      <c r="P377" t="str">
        <v>Southport</v>
      </c>
      <c r="Q377" t="s">
        <v>24</v>
      </c>
      <c r="R377" t="s">
        <v>3</v>
      </c>
      <c r="S377" t="s">
        <v>7</v>
      </c>
    </row>
    <row r="378" spans="15:19" x14ac:dyDescent="0.35">
      <c r="O378">
        <v>0</v>
      </c>
      <c r="P378" t="str">
        <v>Toowoomba</v>
      </c>
      <c r="Q378" t="s">
        <v>24</v>
      </c>
      <c r="R378" t="s">
        <v>3</v>
      </c>
      <c r="S378" t="s">
        <v>7</v>
      </c>
    </row>
    <row r="379" spans="15:19" x14ac:dyDescent="0.35">
      <c r="O379">
        <v>2</v>
      </c>
      <c r="P379" t="str">
        <v>Townsville</v>
      </c>
      <c r="Q379" t="s">
        <v>24</v>
      </c>
      <c r="R379" t="s">
        <v>3</v>
      </c>
      <c r="S379" t="s">
        <v>7</v>
      </c>
    </row>
    <row r="380" spans="15:19" x14ac:dyDescent="0.35">
      <c r="O380">
        <v>7</v>
      </c>
      <c r="P380" t="str" cm="1">
        <f t="array" ref="P380:P388">TRANSPOSE(B1:J1)</f>
        <v>Brisbane</v>
      </c>
      <c r="Q380" t="s">
        <v>25</v>
      </c>
      <c r="R380" t="s">
        <v>3</v>
      </c>
      <c r="S380" t="s">
        <v>7</v>
      </c>
    </row>
    <row r="381" spans="15:19" x14ac:dyDescent="0.35">
      <c r="O381">
        <v>0</v>
      </c>
      <c r="P381" t="str">
        <v>Beenleigh</v>
      </c>
      <c r="Q381" t="s">
        <v>25</v>
      </c>
      <c r="R381" t="s">
        <v>3</v>
      </c>
      <c r="S381" t="s">
        <v>7</v>
      </c>
    </row>
    <row r="382" spans="15:19" x14ac:dyDescent="0.35">
      <c r="O382">
        <v>2</v>
      </c>
      <c r="P382" t="str">
        <v>Cairns</v>
      </c>
      <c r="Q382" t="s">
        <v>25</v>
      </c>
      <c r="R382" t="s">
        <v>3</v>
      </c>
      <c r="S382" t="s">
        <v>7</v>
      </c>
    </row>
    <row r="383" spans="15:19" x14ac:dyDescent="0.35">
      <c r="O383">
        <v>3</v>
      </c>
      <c r="P383" t="str">
        <v>Ipswich</v>
      </c>
      <c r="Q383" t="s">
        <v>25</v>
      </c>
      <c r="R383" t="s">
        <v>3</v>
      </c>
      <c r="S383" t="s">
        <v>7</v>
      </c>
    </row>
    <row r="384" spans="15:19" x14ac:dyDescent="0.35">
      <c r="O384">
        <v>1</v>
      </c>
      <c r="P384" t="str">
        <v>Maroochy</v>
      </c>
      <c r="Q384" t="s">
        <v>25</v>
      </c>
      <c r="R384" t="s">
        <v>3</v>
      </c>
      <c r="S384" t="s">
        <v>7</v>
      </c>
    </row>
    <row r="385" spans="15:19" x14ac:dyDescent="0.35">
      <c r="O385">
        <v>2</v>
      </c>
      <c r="P385" t="str">
        <v>Rockhampton</v>
      </c>
      <c r="Q385" t="s">
        <v>25</v>
      </c>
      <c r="R385" t="s">
        <v>3</v>
      </c>
      <c r="S385" t="s">
        <v>7</v>
      </c>
    </row>
    <row r="386" spans="15:19" x14ac:dyDescent="0.35">
      <c r="O386">
        <v>0</v>
      </c>
      <c r="P386" t="str">
        <v>Southport</v>
      </c>
      <c r="Q386" t="s">
        <v>25</v>
      </c>
      <c r="R386" t="s">
        <v>3</v>
      </c>
      <c r="S386" t="s">
        <v>7</v>
      </c>
    </row>
    <row r="387" spans="15:19" x14ac:dyDescent="0.35">
      <c r="O387">
        <v>2</v>
      </c>
      <c r="P387" t="str">
        <v>Toowoomba</v>
      </c>
      <c r="Q387" t="s">
        <v>25</v>
      </c>
      <c r="R387" t="s">
        <v>3</v>
      </c>
      <c r="S387" t="s">
        <v>7</v>
      </c>
    </row>
    <row r="388" spans="15:19" x14ac:dyDescent="0.35">
      <c r="O388">
        <v>3</v>
      </c>
      <c r="P388" t="str">
        <v>Townsville</v>
      </c>
      <c r="Q388" t="s">
        <v>25</v>
      </c>
      <c r="R388" t="s">
        <v>3</v>
      </c>
      <c r="S388" t="s">
        <v>7</v>
      </c>
    </row>
    <row r="389" spans="15:19" x14ac:dyDescent="0.35">
      <c r="O389">
        <v>2</v>
      </c>
      <c r="P389" t="str" cm="1">
        <f t="array" ref="P389:P397">TRANSPOSE(B1:J1)</f>
        <v>Brisbane</v>
      </c>
      <c r="Q389" t="s">
        <v>26</v>
      </c>
      <c r="R389" t="s">
        <v>3</v>
      </c>
      <c r="S389" t="s">
        <v>7</v>
      </c>
    </row>
    <row r="390" spans="15:19" x14ac:dyDescent="0.35">
      <c r="O390">
        <v>2</v>
      </c>
      <c r="P390" t="str">
        <v>Beenleigh</v>
      </c>
      <c r="Q390" t="s">
        <v>26</v>
      </c>
      <c r="R390" t="s">
        <v>3</v>
      </c>
      <c r="S390" t="s">
        <v>7</v>
      </c>
    </row>
    <row r="391" spans="15:19" x14ac:dyDescent="0.35">
      <c r="O391">
        <v>0</v>
      </c>
      <c r="P391" t="str">
        <v>Cairns</v>
      </c>
      <c r="Q391" t="s">
        <v>26</v>
      </c>
      <c r="R391" t="s">
        <v>3</v>
      </c>
      <c r="S391" t="s">
        <v>7</v>
      </c>
    </row>
    <row r="392" spans="15:19" x14ac:dyDescent="0.35">
      <c r="O392">
        <v>0</v>
      </c>
      <c r="P392" t="str">
        <v>Ipswich</v>
      </c>
      <c r="Q392" t="s">
        <v>26</v>
      </c>
      <c r="R392" t="s">
        <v>3</v>
      </c>
      <c r="S392" t="s">
        <v>7</v>
      </c>
    </row>
    <row r="393" spans="15:19" x14ac:dyDescent="0.35">
      <c r="O393">
        <v>0</v>
      </c>
      <c r="P393" t="str">
        <v>Maroochy</v>
      </c>
      <c r="Q393" t="s">
        <v>26</v>
      </c>
      <c r="R393" t="s">
        <v>3</v>
      </c>
      <c r="S393" t="s">
        <v>7</v>
      </c>
    </row>
    <row r="394" spans="15:19" x14ac:dyDescent="0.35">
      <c r="O394">
        <v>0</v>
      </c>
      <c r="P394" t="str">
        <v>Rockhampton</v>
      </c>
      <c r="Q394" t="s">
        <v>26</v>
      </c>
      <c r="R394" t="s">
        <v>3</v>
      </c>
      <c r="S394" t="s">
        <v>7</v>
      </c>
    </row>
    <row r="395" spans="15:19" x14ac:dyDescent="0.35">
      <c r="O395">
        <v>1</v>
      </c>
      <c r="P395" t="str">
        <v>Southport</v>
      </c>
      <c r="Q395" t="s">
        <v>26</v>
      </c>
      <c r="R395" t="s">
        <v>3</v>
      </c>
      <c r="S395" t="s">
        <v>7</v>
      </c>
    </row>
    <row r="396" spans="15:19" x14ac:dyDescent="0.35">
      <c r="O396">
        <v>0</v>
      </c>
      <c r="P396" t="str">
        <v>Toowoomba</v>
      </c>
      <c r="Q396" t="s">
        <v>26</v>
      </c>
      <c r="R396" t="s">
        <v>3</v>
      </c>
      <c r="S396" t="s">
        <v>7</v>
      </c>
    </row>
    <row r="397" spans="15:19" x14ac:dyDescent="0.35">
      <c r="O397">
        <v>0</v>
      </c>
      <c r="P397" t="str">
        <v>Townsville</v>
      </c>
      <c r="Q397" t="s">
        <v>26</v>
      </c>
      <c r="R397" t="s">
        <v>3</v>
      </c>
      <c r="S397" t="s">
        <v>7</v>
      </c>
    </row>
    <row r="398" spans="15:19" x14ac:dyDescent="0.35">
      <c r="O398">
        <v>7</v>
      </c>
      <c r="P398" t="str" cm="1">
        <f t="array" ref="P398:P406">TRANSPOSE(B1:J1)</f>
        <v>Brisbane</v>
      </c>
      <c r="Q398" t="s">
        <v>27</v>
      </c>
      <c r="R398" t="s">
        <v>3</v>
      </c>
      <c r="S398" t="s">
        <v>7</v>
      </c>
    </row>
    <row r="399" spans="15:19" x14ac:dyDescent="0.35">
      <c r="O399">
        <v>0</v>
      </c>
      <c r="P399" t="str">
        <v>Beenleigh</v>
      </c>
      <c r="Q399" t="s">
        <v>27</v>
      </c>
      <c r="R399" t="s">
        <v>3</v>
      </c>
      <c r="S399" t="s">
        <v>7</v>
      </c>
    </row>
    <row r="400" spans="15:19" x14ac:dyDescent="0.35">
      <c r="O400">
        <v>0</v>
      </c>
      <c r="P400" t="str">
        <v>Cairns</v>
      </c>
      <c r="Q400" t="s">
        <v>27</v>
      </c>
      <c r="R400" t="s">
        <v>3</v>
      </c>
      <c r="S400" t="s">
        <v>7</v>
      </c>
    </row>
    <row r="401" spans="15:19" x14ac:dyDescent="0.35">
      <c r="O401">
        <v>1</v>
      </c>
      <c r="P401" t="str">
        <v>Ipswich</v>
      </c>
      <c r="Q401" t="s">
        <v>27</v>
      </c>
      <c r="R401" t="s">
        <v>3</v>
      </c>
      <c r="S401" t="s">
        <v>7</v>
      </c>
    </row>
    <row r="402" spans="15:19" x14ac:dyDescent="0.35">
      <c r="O402">
        <v>0</v>
      </c>
      <c r="P402" t="str">
        <v>Maroochy</v>
      </c>
      <c r="Q402" t="s">
        <v>27</v>
      </c>
      <c r="R402" t="s">
        <v>3</v>
      </c>
      <c r="S402" t="s">
        <v>7</v>
      </c>
    </row>
    <row r="403" spans="15:19" x14ac:dyDescent="0.35">
      <c r="O403">
        <v>0</v>
      </c>
      <c r="P403" t="str">
        <v>Rockhampton</v>
      </c>
      <c r="Q403" t="s">
        <v>27</v>
      </c>
      <c r="R403" t="s">
        <v>3</v>
      </c>
      <c r="S403" t="s">
        <v>7</v>
      </c>
    </row>
    <row r="404" spans="15:19" x14ac:dyDescent="0.35">
      <c r="O404">
        <v>0</v>
      </c>
      <c r="P404" t="str">
        <v>Southport</v>
      </c>
      <c r="Q404" t="s">
        <v>27</v>
      </c>
      <c r="R404" t="s">
        <v>3</v>
      </c>
      <c r="S404" t="s">
        <v>7</v>
      </c>
    </row>
    <row r="405" spans="15:19" x14ac:dyDescent="0.35">
      <c r="O405">
        <v>0</v>
      </c>
      <c r="P405" t="str">
        <v>Toowoomba</v>
      </c>
      <c r="Q405" t="s">
        <v>27</v>
      </c>
      <c r="R405" t="s">
        <v>3</v>
      </c>
      <c r="S405" t="s">
        <v>7</v>
      </c>
    </row>
    <row r="406" spans="15:19" x14ac:dyDescent="0.35">
      <c r="O406">
        <v>0</v>
      </c>
      <c r="P406" t="str">
        <v>Townsville</v>
      </c>
      <c r="Q406" t="s">
        <v>27</v>
      </c>
      <c r="R406" t="s">
        <v>3</v>
      </c>
      <c r="S406" t="s">
        <v>7</v>
      </c>
    </row>
    <row r="407" spans="15:19" x14ac:dyDescent="0.35">
      <c r="O407">
        <v>777</v>
      </c>
      <c r="P407" t="str" cm="1">
        <f t="array" ref="P407:P415">TRANSPOSE(B1:J1)</f>
        <v>Brisbane</v>
      </c>
      <c r="Q407" t="s">
        <v>28</v>
      </c>
      <c r="R407" t="s">
        <v>3</v>
      </c>
      <c r="S407" t="s">
        <v>8</v>
      </c>
    </row>
    <row r="408" spans="15:19" x14ac:dyDescent="0.35">
      <c r="O408">
        <v>79</v>
      </c>
      <c r="P408" t="str">
        <v>Beenleigh</v>
      </c>
      <c r="Q408" t="s">
        <v>28</v>
      </c>
      <c r="R408" t="s">
        <v>3</v>
      </c>
      <c r="S408" t="s">
        <v>8</v>
      </c>
    </row>
    <row r="409" spans="15:19" x14ac:dyDescent="0.35">
      <c r="O409">
        <v>121</v>
      </c>
      <c r="P409" t="str">
        <v>Cairns</v>
      </c>
      <c r="Q409" t="s">
        <v>28</v>
      </c>
      <c r="R409" t="s">
        <v>3</v>
      </c>
      <c r="S409" t="s">
        <v>8</v>
      </c>
    </row>
    <row r="410" spans="15:19" x14ac:dyDescent="0.35">
      <c r="O410">
        <v>129</v>
      </c>
      <c r="P410" t="str">
        <v>Ipswich</v>
      </c>
      <c r="Q410" t="s">
        <v>28</v>
      </c>
      <c r="R410" t="s">
        <v>3</v>
      </c>
      <c r="S410" t="s">
        <v>8</v>
      </c>
    </row>
    <row r="411" spans="15:19" x14ac:dyDescent="0.35">
      <c r="O411">
        <v>103</v>
      </c>
      <c r="P411" t="str">
        <v>Maroochy</v>
      </c>
      <c r="Q411" t="s">
        <v>28</v>
      </c>
      <c r="R411" t="s">
        <v>3</v>
      </c>
      <c r="S411" t="s">
        <v>8</v>
      </c>
    </row>
    <row r="412" spans="15:19" x14ac:dyDescent="0.35">
      <c r="O412">
        <v>206</v>
      </c>
      <c r="P412" t="str">
        <v>Rockhampton</v>
      </c>
      <c r="Q412" t="s">
        <v>28</v>
      </c>
      <c r="R412" t="s">
        <v>3</v>
      </c>
      <c r="S412" t="s">
        <v>8</v>
      </c>
    </row>
    <row r="413" spans="15:19" x14ac:dyDescent="0.35">
      <c r="O413">
        <v>117</v>
      </c>
      <c r="P413" t="str">
        <v>Southport</v>
      </c>
      <c r="Q413" t="s">
        <v>28</v>
      </c>
      <c r="R413" t="s">
        <v>3</v>
      </c>
      <c r="S413" t="s">
        <v>8</v>
      </c>
    </row>
    <row r="414" spans="15:19" x14ac:dyDescent="0.35">
      <c r="O414">
        <v>32</v>
      </c>
      <c r="P414" t="str">
        <v>Toowoomba</v>
      </c>
      <c r="Q414" t="s">
        <v>28</v>
      </c>
      <c r="R414" t="s">
        <v>3</v>
      </c>
      <c r="S414" t="s">
        <v>8</v>
      </c>
    </row>
    <row r="415" spans="15:19" x14ac:dyDescent="0.35">
      <c r="O415">
        <v>241</v>
      </c>
      <c r="P415" t="str">
        <v>Townsville</v>
      </c>
      <c r="Q415" t="s">
        <v>28</v>
      </c>
      <c r="R415" t="s">
        <v>3</v>
      </c>
      <c r="S415" t="s">
        <v>8</v>
      </c>
    </row>
    <row r="416" spans="15:19" x14ac:dyDescent="0.35">
      <c r="O416">
        <v>211</v>
      </c>
      <c r="P416" t="str" cm="1">
        <f t="array" ref="P416:P424">TRANSPOSE(B1:J1)</f>
        <v>Brisbane</v>
      </c>
      <c r="Q416" t="s">
        <v>29</v>
      </c>
      <c r="R416" t="s">
        <v>3</v>
      </c>
      <c r="S416" t="s">
        <v>8</v>
      </c>
    </row>
    <row r="417" spans="15:19" x14ac:dyDescent="0.35">
      <c r="O417">
        <v>10</v>
      </c>
      <c r="P417" t="str">
        <v>Beenleigh</v>
      </c>
      <c r="Q417" t="s">
        <v>29</v>
      </c>
      <c r="R417" t="s">
        <v>3</v>
      </c>
      <c r="S417" t="s">
        <v>8</v>
      </c>
    </row>
    <row r="418" spans="15:19" x14ac:dyDescent="0.35">
      <c r="O418">
        <v>22</v>
      </c>
      <c r="P418" t="str">
        <v>Cairns</v>
      </c>
      <c r="Q418" t="s">
        <v>29</v>
      </c>
      <c r="R418" t="s">
        <v>3</v>
      </c>
      <c r="S418" t="s">
        <v>8</v>
      </c>
    </row>
    <row r="419" spans="15:19" x14ac:dyDescent="0.35">
      <c r="O419">
        <v>19</v>
      </c>
      <c r="P419" t="str">
        <v>Ipswich</v>
      </c>
      <c r="Q419" t="s">
        <v>29</v>
      </c>
      <c r="R419" t="s">
        <v>3</v>
      </c>
      <c r="S419" t="s">
        <v>8</v>
      </c>
    </row>
    <row r="420" spans="15:19" x14ac:dyDescent="0.35">
      <c r="O420">
        <v>19</v>
      </c>
      <c r="P420" t="str">
        <v>Maroochy</v>
      </c>
      <c r="Q420" t="s">
        <v>29</v>
      </c>
      <c r="R420" t="s">
        <v>3</v>
      </c>
      <c r="S420" t="s">
        <v>8</v>
      </c>
    </row>
    <row r="421" spans="15:19" x14ac:dyDescent="0.35">
      <c r="O421">
        <v>11</v>
      </c>
      <c r="P421" t="str">
        <v>Rockhampton</v>
      </c>
      <c r="Q421" t="s">
        <v>29</v>
      </c>
      <c r="R421" t="s">
        <v>3</v>
      </c>
      <c r="S421" t="s">
        <v>8</v>
      </c>
    </row>
    <row r="422" spans="15:19" x14ac:dyDescent="0.35">
      <c r="O422">
        <v>46</v>
      </c>
      <c r="P422" t="str">
        <v>Southport</v>
      </c>
      <c r="Q422" t="s">
        <v>29</v>
      </c>
      <c r="R422" t="s">
        <v>3</v>
      </c>
      <c r="S422" t="s">
        <v>8</v>
      </c>
    </row>
    <row r="423" spans="15:19" x14ac:dyDescent="0.35">
      <c r="O423">
        <v>1</v>
      </c>
      <c r="P423" t="str">
        <v>Toowoomba</v>
      </c>
      <c r="Q423" t="s">
        <v>29</v>
      </c>
      <c r="R423" t="s">
        <v>3</v>
      </c>
      <c r="S423" t="s">
        <v>8</v>
      </c>
    </row>
    <row r="424" spans="15:19" x14ac:dyDescent="0.35">
      <c r="O424">
        <v>68</v>
      </c>
      <c r="P424" t="str">
        <v>Townsville</v>
      </c>
      <c r="Q424" t="s">
        <v>29</v>
      </c>
      <c r="R424" t="s">
        <v>3</v>
      </c>
      <c r="S424" t="s">
        <v>8</v>
      </c>
    </row>
    <row r="425" spans="15:19" x14ac:dyDescent="0.35">
      <c r="O425">
        <v>47</v>
      </c>
      <c r="P425" t="str" cm="1">
        <f t="array" ref="P425:P433">TRANSPOSE(B1:J1)</f>
        <v>Brisbane</v>
      </c>
      <c r="Q425" t="s">
        <v>30</v>
      </c>
      <c r="R425" t="s">
        <v>3</v>
      </c>
      <c r="S425" t="s">
        <v>8</v>
      </c>
    </row>
    <row r="426" spans="15:19" x14ac:dyDescent="0.35">
      <c r="O426">
        <v>16</v>
      </c>
      <c r="P426" t="str">
        <v>Beenleigh</v>
      </c>
      <c r="Q426" t="s">
        <v>30</v>
      </c>
      <c r="R426" t="s">
        <v>3</v>
      </c>
      <c r="S426" t="s">
        <v>8</v>
      </c>
    </row>
    <row r="427" spans="15:19" x14ac:dyDescent="0.35">
      <c r="O427">
        <v>19</v>
      </c>
      <c r="P427" t="str">
        <v>Cairns</v>
      </c>
      <c r="Q427" t="s">
        <v>30</v>
      </c>
      <c r="R427" t="s">
        <v>3</v>
      </c>
      <c r="S427" t="s">
        <v>8</v>
      </c>
    </row>
    <row r="428" spans="15:19" x14ac:dyDescent="0.35">
      <c r="O428">
        <v>9</v>
      </c>
      <c r="P428" t="str">
        <v>Ipswich</v>
      </c>
      <c r="Q428" t="s">
        <v>30</v>
      </c>
      <c r="R428" t="s">
        <v>3</v>
      </c>
      <c r="S428" t="s">
        <v>8</v>
      </c>
    </row>
    <row r="429" spans="15:19" x14ac:dyDescent="0.35">
      <c r="O429">
        <v>8</v>
      </c>
      <c r="P429" t="str">
        <v>Maroochy</v>
      </c>
      <c r="Q429" t="s">
        <v>30</v>
      </c>
      <c r="R429" t="s">
        <v>3</v>
      </c>
      <c r="S429" t="s">
        <v>8</v>
      </c>
    </row>
    <row r="430" spans="15:19" x14ac:dyDescent="0.35">
      <c r="O430">
        <v>41</v>
      </c>
      <c r="P430" t="str">
        <v>Rockhampton</v>
      </c>
      <c r="Q430" t="s">
        <v>30</v>
      </c>
      <c r="R430" t="s">
        <v>3</v>
      </c>
      <c r="S430" t="s">
        <v>8</v>
      </c>
    </row>
    <row r="431" spans="15:19" x14ac:dyDescent="0.35">
      <c r="O431">
        <v>8</v>
      </c>
      <c r="P431" t="str">
        <v>Southport</v>
      </c>
      <c r="Q431" t="s">
        <v>30</v>
      </c>
      <c r="R431" t="s">
        <v>3</v>
      </c>
      <c r="S431" t="s">
        <v>8</v>
      </c>
    </row>
    <row r="432" spans="15:19" x14ac:dyDescent="0.35">
      <c r="O432">
        <v>6</v>
      </c>
      <c r="P432" t="str">
        <v>Toowoomba</v>
      </c>
      <c r="Q432" t="s">
        <v>30</v>
      </c>
      <c r="R432" t="s">
        <v>3</v>
      </c>
      <c r="S432" t="s">
        <v>8</v>
      </c>
    </row>
    <row r="433" spans="15:19" x14ac:dyDescent="0.35">
      <c r="O433">
        <v>20</v>
      </c>
      <c r="P433" t="str">
        <v>Townsville</v>
      </c>
      <c r="Q433" t="s">
        <v>30</v>
      </c>
      <c r="R433" t="s">
        <v>3</v>
      </c>
      <c r="S433" t="s">
        <v>8</v>
      </c>
    </row>
    <row r="434" spans="15:19" x14ac:dyDescent="0.35">
      <c r="O434">
        <v>11</v>
      </c>
      <c r="P434" t="str" cm="1">
        <f t="array" ref="P434:P442">TRANSPOSE(B1:J1)</f>
        <v>Brisbane</v>
      </c>
      <c r="Q434" t="s">
        <v>31</v>
      </c>
      <c r="R434" t="s">
        <v>3</v>
      </c>
      <c r="S434" t="s">
        <v>8</v>
      </c>
    </row>
    <row r="435" spans="15:19" x14ac:dyDescent="0.35">
      <c r="O435">
        <v>0</v>
      </c>
      <c r="P435" t="str">
        <v>Beenleigh</v>
      </c>
      <c r="Q435" t="s">
        <v>31</v>
      </c>
      <c r="R435" t="s">
        <v>3</v>
      </c>
      <c r="S435" t="s">
        <v>8</v>
      </c>
    </row>
    <row r="436" spans="15:19" x14ac:dyDescent="0.35">
      <c r="O436">
        <v>0</v>
      </c>
      <c r="P436" t="str">
        <v>Cairns</v>
      </c>
      <c r="Q436" t="s">
        <v>31</v>
      </c>
      <c r="R436" t="s">
        <v>3</v>
      </c>
      <c r="S436" t="s">
        <v>8</v>
      </c>
    </row>
    <row r="437" spans="15:19" x14ac:dyDescent="0.35">
      <c r="O437">
        <v>1</v>
      </c>
      <c r="P437" t="str">
        <v>Ipswich</v>
      </c>
      <c r="Q437" t="s">
        <v>31</v>
      </c>
      <c r="R437" t="s">
        <v>3</v>
      </c>
      <c r="S437" t="s">
        <v>8</v>
      </c>
    </row>
    <row r="438" spans="15:19" x14ac:dyDescent="0.35">
      <c r="O438">
        <v>1</v>
      </c>
      <c r="P438" t="str">
        <v>Maroochy</v>
      </c>
      <c r="Q438" t="s">
        <v>31</v>
      </c>
      <c r="R438" t="s">
        <v>3</v>
      </c>
      <c r="S438" t="s">
        <v>8</v>
      </c>
    </row>
    <row r="439" spans="15:19" x14ac:dyDescent="0.35">
      <c r="O439">
        <v>1</v>
      </c>
      <c r="P439" t="str">
        <v>Rockhampton</v>
      </c>
      <c r="Q439" t="s">
        <v>31</v>
      </c>
      <c r="R439" t="s">
        <v>3</v>
      </c>
      <c r="S439" t="s">
        <v>8</v>
      </c>
    </row>
    <row r="440" spans="15:19" x14ac:dyDescent="0.35">
      <c r="O440">
        <v>19</v>
      </c>
      <c r="P440" t="str">
        <v>Southport</v>
      </c>
      <c r="Q440" t="s">
        <v>31</v>
      </c>
      <c r="R440" t="s">
        <v>3</v>
      </c>
      <c r="S440" t="s">
        <v>8</v>
      </c>
    </row>
    <row r="441" spans="15:19" x14ac:dyDescent="0.35">
      <c r="O441">
        <v>0</v>
      </c>
      <c r="P441" t="str">
        <v>Toowoomba</v>
      </c>
      <c r="Q441" t="s">
        <v>31</v>
      </c>
      <c r="R441" t="s">
        <v>3</v>
      </c>
      <c r="S441" t="s">
        <v>8</v>
      </c>
    </row>
    <row r="442" spans="15:19" x14ac:dyDescent="0.35">
      <c r="O442">
        <v>4</v>
      </c>
      <c r="P442" t="str">
        <v>Townsville</v>
      </c>
      <c r="Q442" t="s">
        <v>31</v>
      </c>
      <c r="R442" t="s">
        <v>3</v>
      </c>
      <c r="S442" t="s">
        <v>8</v>
      </c>
    </row>
    <row r="443" spans="15:19" x14ac:dyDescent="0.35">
      <c r="O443">
        <v>1297</v>
      </c>
      <c r="P443" t="str" cm="1">
        <f t="array" ref="P443:P451">TRANSPOSE(B1:J1)</f>
        <v>Brisbane</v>
      </c>
      <c r="Q443" t="s">
        <v>32</v>
      </c>
      <c r="R443" t="s">
        <v>3</v>
      </c>
      <c r="S443" t="s">
        <v>8</v>
      </c>
    </row>
    <row r="444" spans="15:19" x14ac:dyDescent="0.35">
      <c r="O444">
        <v>236</v>
      </c>
      <c r="P444" t="str">
        <v>Beenleigh</v>
      </c>
      <c r="Q444" t="s">
        <v>32</v>
      </c>
      <c r="R444" t="s">
        <v>3</v>
      </c>
      <c r="S444" t="s">
        <v>8</v>
      </c>
    </row>
    <row r="445" spans="15:19" x14ac:dyDescent="0.35">
      <c r="O445">
        <v>170</v>
      </c>
      <c r="P445" t="str">
        <v>Cairns</v>
      </c>
      <c r="Q445" t="s">
        <v>32</v>
      </c>
      <c r="R445" t="s">
        <v>3</v>
      </c>
      <c r="S445" t="s">
        <v>8</v>
      </c>
    </row>
    <row r="446" spans="15:19" x14ac:dyDescent="0.35">
      <c r="O446">
        <v>288</v>
      </c>
      <c r="P446" t="str">
        <v>Ipswich</v>
      </c>
      <c r="Q446" t="s">
        <v>32</v>
      </c>
      <c r="R446" t="s">
        <v>3</v>
      </c>
      <c r="S446" t="s">
        <v>8</v>
      </c>
    </row>
    <row r="447" spans="15:19" x14ac:dyDescent="0.35">
      <c r="O447">
        <v>173</v>
      </c>
      <c r="P447" t="str">
        <v>Maroochy</v>
      </c>
      <c r="Q447" t="s">
        <v>32</v>
      </c>
      <c r="R447" t="s">
        <v>3</v>
      </c>
      <c r="S447" t="s">
        <v>8</v>
      </c>
    </row>
    <row r="448" spans="15:19" x14ac:dyDescent="0.35">
      <c r="O448">
        <v>252</v>
      </c>
      <c r="P448" t="str">
        <v>Rockhampton</v>
      </c>
      <c r="Q448" t="s">
        <v>32</v>
      </c>
      <c r="R448" t="s">
        <v>3</v>
      </c>
      <c r="S448" t="s">
        <v>8</v>
      </c>
    </row>
    <row r="449" spans="15:19" x14ac:dyDescent="0.35">
      <c r="O449">
        <v>188</v>
      </c>
      <c r="P449" t="str">
        <v>Southport</v>
      </c>
      <c r="Q449" t="s">
        <v>32</v>
      </c>
      <c r="R449" t="s">
        <v>3</v>
      </c>
      <c r="S449" t="s">
        <v>8</v>
      </c>
    </row>
    <row r="450" spans="15:19" x14ac:dyDescent="0.35">
      <c r="O450">
        <v>56</v>
      </c>
      <c r="P450" t="str">
        <v>Toowoomba</v>
      </c>
      <c r="Q450" t="s">
        <v>32</v>
      </c>
      <c r="R450" t="s">
        <v>3</v>
      </c>
      <c r="S450" t="s">
        <v>8</v>
      </c>
    </row>
    <row r="451" spans="15:19" x14ac:dyDescent="0.35">
      <c r="O451">
        <v>289</v>
      </c>
      <c r="P451" t="str">
        <v>Townsville</v>
      </c>
      <c r="Q451" t="s">
        <v>32</v>
      </c>
      <c r="R451" t="s">
        <v>3</v>
      </c>
      <c r="S451" t="s">
        <v>8</v>
      </c>
    </row>
    <row r="452" spans="15:19" x14ac:dyDescent="0.35">
      <c r="O452">
        <v>445</v>
      </c>
      <c r="P452" t="str" cm="1">
        <f t="array" ref="P452:P460">TRANSPOSE(B1:J1)</f>
        <v>Brisbane</v>
      </c>
      <c r="Q452" t="s">
        <v>33</v>
      </c>
      <c r="R452" t="s">
        <v>3</v>
      </c>
      <c r="S452" t="s">
        <v>8</v>
      </c>
    </row>
    <row r="453" spans="15:19" x14ac:dyDescent="0.35">
      <c r="O453">
        <v>44</v>
      </c>
      <c r="P453" t="str">
        <v>Beenleigh</v>
      </c>
      <c r="Q453" t="s">
        <v>33</v>
      </c>
      <c r="R453" t="s">
        <v>3</v>
      </c>
      <c r="S453" t="s">
        <v>8</v>
      </c>
    </row>
    <row r="454" spans="15:19" x14ac:dyDescent="0.35">
      <c r="O454">
        <v>55</v>
      </c>
      <c r="P454" t="str">
        <v>Cairns</v>
      </c>
      <c r="Q454" t="s">
        <v>33</v>
      </c>
      <c r="R454" t="s">
        <v>3</v>
      </c>
      <c r="S454" t="s">
        <v>8</v>
      </c>
    </row>
    <row r="455" spans="15:19" x14ac:dyDescent="0.35">
      <c r="O455">
        <v>132</v>
      </c>
      <c r="P455" t="str">
        <v>Ipswich</v>
      </c>
      <c r="Q455" t="s">
        <v>33</v>
      </c>
      <c r="R455" t="s">
        <v>3</v>
      </c>
      <c r="S455" t="s">
        <v>8</v>
      </c>
    </row>
    <row r="456" spans="15:19" x14ac:dyDescent="0.35">
      <c r="O456">
        <v>53</v>
      </c>
      <c r="P456" t="str">
        <v>Maroochy</v>
      </c>
      <c r="Q456" t="s">
        <v>33</v>
      </c>
      <c r="R456" t="s">
        <v>3</v>
      </c>
      <c r="S456" t="s">
        <v>8</v>
      </c>
    </row>
    <row r="457" spans="15:19" x14ac:dyDescent="0.35">
      <c r="O457">
        <v>141</v>
      </c>
      <c r="P457" t="str">
        <v>Rockhampton</v>
      </c>
      <c r="Q457" t="s">
        <v>33</v>
      </c>
      <c r="R457" t="s">
        <v>3</v>
      </c>
      <c r="S457" t="s">
        <v>8</v>
      </c>
    </row>
    <row r="458" spans="15:19" x14ac:dyDescent="0.35">
      <c r="O458">
        <v>57</v>
      </c>
      <c r="P458" t="str">
        <v>Southport</v>
      </c>
      <c r="Q458" t="s">
        <v>33</v>
      </c>
      <c r="R458" t="s">
        <v>3</v>
      </c>
      <c r="S458" t="s">
        <v>8</v>
      </c>
    </row>
    <row r="459" spans="15:19" x14ac:dyDescent="0.35">
      <c r="O459">
        <v>48</v>
      </c>
      <c r="P459" t="str">
        <v>Toowoomba</v>
      </c>
      <c r="Q459" t="s">
        <v>33</v>
      </c>
      <c r="R459" t="s">
        <v>3</v>
      </c>
      <c r="S459" t="s">
        <v>8</v>
      </c>
    </row>
    <row r="460" spans="15:19" x14ac:dyDescent="0.35">
      <c r="O460">
        <v>163</v>
      </c>
      <c r="P460" t="str">
        <v>Townsville</v>
      </c>
      <c r="Q460" t="s">
        <v>33</v>
      </c>
      <c r="R460" t="s">
        <v>3</v>
      </c>
      <c r="S460" t="s">
        <v>8</v>
      </c>
    </row>
    <row r="461" spans="15:19" x14ac:dyDescent="0.35">
      <c r="O461">
        <v>518</v>
      </c>
      <c r="P461" t="str" cm="1">
        <f t="array" ref="P461:P469">TRANSPOSE(B1:J1)</f>
        <v>Brisbane</v>
      </c>
      <c r="Q461" t="s">
        <v>34</v>
      </c>
      <c r="R461" t="s">
        <v>3</v>
      </c>
      <c r="S461" t="s">
        <v>8</v>
      </c>
    </row>
    <row r="462" spans="15:19" x14ac:dyDescent="0.35">
      <c r="O462">
        <v>19</v>
      </c>
      <c r="P462" t="str">
        <v>Beenleigh</v>
      </c>
      <c r="Q462" t="s">
        <v>34</v>
      </c>
      <c r="R462" t="s">
        <v>3</v>
      </c>
      <c r="S462" t="s">
        <v>8</v>
      </c>
    </row>
    <row r="463" spans="15:19" x14ac:dyDescent="0.35">
      <c r="O463">
        <v>20</v>
      </c>
      <c r="P463" t="str">
        <v>Cairns</v>
      </c>
      <c r="Q463" t="s">
        <v>34</v>
      </c>
      <c r="R463" t="s">
        <v>3</v>
      </c>
      <c r="S463" t="s">
        <v>8</v>
      </c>
    </row>
    <row r="464" spans="15:19" x14ac:dyDescent="0.35">
      <c r="O464">
        <v>32</v>
      </c>
      <c r="P464" t="str">
        <v>Ipswich</v>
      </c>
      <c r="Q464" t="s">
        <v>34</v>
      </c>
      <c r="R464" t="s">
        <v>3</v>
      </c>
      <c r="S464" t="s">
        <v>8</v>
      </c>
    </row>
    <row r="465" spans="15:19" x14ac:dyDescent="0.35">
      <c r="O465">
        <v>54</v>
      </c>
      <c r="P465" t="str">
        <v>Maroochy</v>
      </c>
      <c r="Q465" t="s">
        <v>34</v>
      </c>
      <c r="R465" t="s">
        <v>3</v>
      </c>
      <c r="S465" t="s">
        <v>8</v>
      </c>
    </row>
    <row r="466" spans="15:19" x14ac:dyDescent="0.35">
      <c r="O466">
        <v>42</v>
      </c>
      <c r="P466" t="str">
        <v>Rockhampton</v>
      </c>
      <c r="Q466" t="s">
        <v>34</v>
      </c>
      <c r="R466" t="s">
        <v>3</v>
      </c>
      <c r="S466" t="s">
        <v>8</v>
      </c>
    </row>
    <row r="467" spans="15:19" x14ac:dyDescent="0.35">
      <c r="O467">
        <v>33</v>
      </c>
      <c r="P467" t="str">
        <v>Southport</v>
      </c>
      <c r="Q467" t="s">
        <v>34</v>
      </c>
      <c r="R467" t="s">
        <v>3</v>
      </c>
      <c r="S467" t="s">
        <v>8</v>
      </c>
    </row>
    <row r="468" spans="15:19" x14ac:dyDescent="0.35">
      <c r="O468">
        <v>47</v>
      </c>
      <c r="P468" t="str">
        <v>Toowoomba</v>
      </c>
      <c r="Q468" t="s">
        <v>34</v>
      </c>
      <c r="R468" t="s">
        <v>3</v>
      </c>
      <c r="S468" t="s">
        <v>8</v>
      </c>
    </row>
    <row r="469" spans="15:19" x14ac:dyDescent="0.35">
      <c r="O469">
        <v>27</v>
      </c>
      <c r="P469" t="str">
        <v>Townsville</v>
      </c>
      <c r="Q469" t="s">
        <v>34</v>
      </c>
      <c r="R469" t="s">
        <v>3</v>
      </c>
      <c r="S469" t="s">
        <v>8</v>
      </c>
    </row>
    <row r="470" spans="15:19" x14ac:dyDescent="0.35">
      <c r="O470">
        <v>86</v>
      </c>
      <c r="P470" t="str" cm="1">
        <f t="array" ref="P470:P478">TRANSPOSE(B1:J1)</f>
        <v>Brisbane</v>
      </c>
      <c r="Q470" t="s">
        <v>22</v>
      </c>
      <c r="R470" t="s">
        <v>2</v>
      </c>
      <c r="S470" t="s">
        <v>7</v>
      </c>
    </row>
    <row r="471" spans="15:19" x14ac:dyDescent="0.35">
      <c r="O471">
        <v>0</v>
      </c>
      <c r="P471" t="str">
        <v>Beenleigh</v>
      </c>
      <c r="Q471" t="s">
        <v>22</v>
      </c>
      <c r="R471" t="s">
        <v>2</v>
      </c>
      <c r="S471" t="s">
        <v>7</v>
      </c>
    </row>
    <row r="472" spans="15:19" x14ac:dyDescent="0.35">
      <c r="O472">
        <v>8</v>
      </c>
      <c r="P472" t="str">
        <v>Cairns</v>
      </c>
      <c r="Q472" t="s">
        <v>22</v>
      </c>
      <c r="R472" t="s">
        <v>2</v>
      </c>
      <c r="S472" t="s">
        <v>7</v>
      </c>
    </row>
    <row r="473" spans="15:19" x14ac:dyDescent="0.35">
      <c r="O473">
        <v>2</v>
      </c>
      <c r="P473" t="str">
        <v>Ipswich</v>
      </c>
      <c r="Q473" t="s">
        <v>22</v>
      </c>
      <c r="R473" t="s">
        <v>2</v>
      </c>
      <c r="S473" t="s">
        <v>7</v>
      </c>
    </row>
    <row r="474" spans="15:19" x14ac:dyDescent="0.35">
      <c r="O474">
        <v>2</v>
      </c>
      <c r="P474" t="str">
        <v>Maroochy</v>
      </c>
      <c r="Q474" t="s">
        <v>22</v>
      </c>
      <c r="R474" t="s">
        <v>2</v>
      </c>
      <c r="S474" t="s">
        <v>7</v>
      </c>
    </row>
    <row r="475" spans="15:19" x14ac:dyDescent="0.35">
      <c r="O475">
        <v>2</v>
      </c>
      <c r="P475" t="str">
        <v>Rockhampton</v>
      </c>
      <c r="Q475" t="s">
        <v>22</v>
      </c>
      <c r="R475" t="s">
        <v>2</v>
      </c>
      <c r="S475" t="s">
        <v>7</v>
      </c>
    </row>
    <row r="476" spans="15:19" x14ac:dyDescent="0.35">
      <c r="O476">
        <v>0</v>
      </c>
      <c r="P476" t="str">
        <v>Southport</v>
      </c>
      <c r="Q476" t="s">
        <v>22</v>
      </c>
      <c r="R476" t="s">
        <v>2</v>
      </c>
      <c r="S476" t="s">
        <v>7</v>
      </c>
    </row>
    <row r="477" spans="15:19" x14ac:dyDescent="0.35">
      <c r="O477">
        <v>2</v>
      </c>
      <c r="P477" t="str">
        <v>Toowoomba</v>
      </c>
      <c r="Q477" t="s">
        <v>22</v>
      </c>
      <c r="R477" t="s">
        <v>2</v>
      </c>
      <c r="S477" t="s">
        <v>7</v>
      </c>
    </row>
    <row r="478" spans="15:19" x14ac:dyDescent="0.35">
      <c r="O478">
        <v>1</v>
      </c>
      <c r="P478" t="str">
        <v>Townsville</v>
      </c>
      <c r="Q478" t="s">
        <v>22</v>
      </c>
      <c r="R478" t="s">
        <v>2</v>
      </c>
      <c r="S478" t="s">
        <v>7</v>
      </c>
    </row>
    <row r="479" spans="15:19" x14ac:dyDescent="0.35">
      <c r="O479">
        <v>43</v>
      </c>
      <c r="P479" t="str" cm="1">
        <f t="array" ref="P479:P487">TRANSPOSE(B1:J1)</f>
        <v>Brisbane</v>
      </c>
      <c r="Q479" t="s">
        <v>23</v>
      </c>
      <c r="R479" t="s">
        <v>2</v>
      </c>
      <c r="S479" t="s">
        <v>7</v>
      </c>
    </row>
    <row r="480" spans="15:19" x14ac:dyDescent="0.35">
      <c r="O480">
        <v>0</v>
      </c>
      <c r="P480" t="str">
        <v>Beenleigh</v>
      </c>
      <c r="Q480" t="s">
        <v>23</v>
      </c>
      <c r="R480" t="s">
        <v>2</v>
      </c>
      <c r="S480" t="s">
        <v>7</v>
      </c>
    </row>
    <row r="481" spans="15:19" x14ac:dyDescent="0.35">
      <c r="O481">
        <v>0</v>
      </c>
      <c r="P481" t="str">
        <v>Cairns</v>
      </c>
      <c r="Q481" t="s">
        <v>23</v>
      </c>
      <c r="R481" t="s">
        <v>2</v>
      </c>
      <c r="S481" t="s">
        <v>7</v>
      </c>
    </row>
    <row r="482" spans="15:19" x14ac:dyDescent="0.35">
      <c r="O482">
        <v>2</v>
      </c>
      <c r="P482" t="str">
        <v>Ipswich</v>
      </c>
      <c r="Q482" t="s">
        <v>23</v>
      </c>
      <c r="R482" t="s">
        <v>2</v>
      </c>
      <c r="S482" t="s">
        <v>7</v>
      </c>
    </row>
    <row r="483" spans="15:19" x14ac:dyDescent="0.35">
      <c r="O483">
        <v>1</v>
      </c>
      <c r="P483" t="str">
        <v>Maroochy</v>
      </c>
      <c r="Q483" t="s">
        <v>23</v>
      </c>
      <c r="R483" t="s">
        <v>2</v>
      </c>
      <c r="S483" t="s">
        <v>7</v>
      </c>
    </row>
    <row r="484" spans="15:19" x14ac:dyDescent="0.35">
      <c r="O484">
        <v>3</v>
      </c>
      <c r="P484" t="str">
        <v>Rockhampton</v>
      </c>
      <c r="Q484" t="s">
        <v>23</v>
      </c>
      <c r="R484" t="s">
        <v>2</v>
      </c>
      <c r="S484" t="s">
        <v>7</v>
      </c>
    </row>
    <row r="485" spans="15:19" x14ac:dyDescent="0.35">
      <c r="O485">
        <v>0</v>
      </c>
      <c r="P485" t="str">
        <v>Southport</v>
      </c>
      <c r="Q485" t="s">
        <v>23</v>
      </c>
      <c r="R485" t="s">
        <v>2</v>
      </c>
      <c r="S485" t="s">
        <v>7</v>
      </c>
    </row>
    <row r="486" spans="15:19" x14ac:dyDescent="0.35">
      <c r="O486">
        <v>1</v>
      </c>
      <c r="P486" t="str">
        <v>Toowoomba</v>
      </c>
      <c r="Q486" t="s">
        <v>23</v>
      </c>
      <c r="R486" t="s">
        <v>2</v>
      </c>
      <c r="S486" t="s">
        <v>7</v>
      </c>
    </row>
    <row r="487" spans="15:19" x14ac:dyDescent="0.35">
      <c r="O487">
        <v>0</v>
      </c>
      <c r="P487" t="str">
        <v>Townsville</v>
      </c>
      <c r="Q487" t="s">
        <v>23</v>
      </c>
      <c r="R487" t="s">
        <v>2</v>
      </c>
      <c r="S487" t="s">
        <v>7</v>
      </c>
    </row>
    <row r="488" spans="15:19" x14ac:dyDescent="0.35">
      <c r="O488">
        <v>24</v>
      </c>
      <c r="P488" t="str" cm="1">
        <f t="array" ref="P488:P496">TRANSPOSE(B1:J1)</f>
        <v>Brisbane</v>
      </c>
      <c r="Q488" t="s">
        <v>24</v>
      </c>
      <c r="R488" t="s">
        <v>2</v>
      </c>
      <c r="S488" t="s">
        <v>7</v>
      </c>
    </row>
    <row r="489" spans="15:19" x14ac:dyDescent="0.35">
      <c r="O489">
        <v>0</v>
      </c>
      <c r="P489" t="str">
        <v>Beenleigh</v>
      </c>
      <c r="Q489" t="s">
        <v>24</v>
      </c>
      <c r="R489" t="s">
        <v>2</v>
      </c>
      <c r="S489" t="s">
        <v>7</v>
      </c>
    </row>
    <row r="490" spans="15:19" x14ac:dyDescent="0.35">
      <c r="O490">
        <v>0</v>
      </c>
      <c r="P490" t="str">
        <v>Cairns</v>
      </c>
      <c r="Q490" t="s">
        <v>24</v>
      </c>
      <c r="R490" t="s">
        <v>2</v>
      </c>
      <c r="S490" t="s">
        <v>7</v>
      </c>
    </row>
    <row r="491" spans="15:19" x14ac:dyDescent="0.35">
      <c r="O491">
        <v>0</v>
      </c>
      <c r="P491" t="str">
        <v>Ipswich</v>
      </c>
      <c r="Q491" t="s">
        <v>24</v>
      </c>
      <c r="R491" t="s">
        <v>2</v>
      </c>
      <c r="S491" t="s">
        <v>7</v>
      </c>
    </row>
    <row r="492" spans="15:19" x14ac:dyDescent="0.35">
      <c r="O492">
        <v>0</v>
      </c>
      <c r="P492" t="str">
        <v>Maroochy</v>
      </c>
      <c r="Q492" t="s">
        <v>24</v>
      </c>
      <c r="R492" t="s">
        <v>2</v>
      </c>
      <c r="S492" t="s">
        <v>7</v>
      </c>
    </row>
    <row r="493" spans="15:19" x14ac:dyDescent="0.35">
      <c r="O493">
        <v>1</v>
      </c>
      <c r="P493" t="str">
        <v>Rockhampton</v>
      </c>
      <c r="Q493" t="s">
        <v>24</v>
      </c>
      <c r="R493" t="s">
        <v>2</v>
      </c>
      <c r="S493" t="s">
        <v>7</v>
      </c>
    </row>
    <row r="494" spans="15:19" x14ac:dyDescent="0.35">
      <c r="O494">
        <v>0</v>
      </c>
      <c r="P494" t="str">
        <v>Southport</v>
      </c>
      <c r="Q494" t="s">
        <v>24</v>
      </c>
      <c r="R494" t="s">
        <v>2</v>
      </c>
      <c r="S494" t="s">
        <v>7</v>
      </c>
    </row>
    <row r="495" spans="15:19" x14ac:dyDescent="0.35">
      <c r="O495">
        <v>0</v>
      </c>
      <c r="P495" t="str">
        <v>Toowoomba</v>
      </c>
      <c r="Q495" t="s">
        <v>24</v>
      </c>
      <c r="R495" t="s">
        <v>2</v>
      </c>
      <c r="S495" t="s">
        <v>7</v>
      </c>
    </row>
    <row r="496" spans="15:19" x14ac:dyDescent="0.35">
      <c r="O496">
        <v>0</v>
      </c>
      <c r="P496" t="str">
        <v>Townsville</v>
      </c>
      <c r="Q496" t="s">
        <v>24</v>
      </c>
      <c r="R496" t="s">
        <v>2</v>
      </c>
      <c r="S496" t="s">
        <v>7</v>
      </c>
    </row>
    <row r="497" spans="15:19" x14ac:dyDescent="0.35">
      <c r="O497">
        <v>21</v>
      </c>
      <c r="P497" t="str" cm="1">
        <f t="array" ref="P497:P505">TRANSPOSE(B1:J1)</f>
        <v>Brisbane</v>
      </c>
      <c r="Q497" t="s">
        <v>25</v>
      </c>
      <c r="R497" t="s">
        <v>2</v>
      </c>
      <c r="S497" t="s">
        <v>7</v>
      </c>
    </row>
    <row r="498" spans="15:19" x14ac:dyDescent="0.35">
      <c r="O498">
        <v>11</v>
      </c>
      <c r="P498" t="str">
        <v>Beenleigh</v>
      </c>
      <c r="Q498" t="s">
        <v>25</v>
      </c>
      <c r="R498" t="s">
        <v>2</v>
      </c>
      <c r="S498" t="s">
        <v>7</v>
      </c>
    </row>
    <row r="499" spans="15:19" x14ac:dyDescent="0.35">
      <c r="O499">
        <v>4</v>
      </c>
      <c r="P499" t="str">
        <v>Cairns</v>
      </c>
      <c r="Q499" t="s">
        <v>25</v>
      </c>
      <c r="R499" t="s">
        <v>2</v>
      </c>
      <c r="S499" t="s">
        <v>7</v>
      </c>
    </row>
    <row r="500" spans="15:19" x14ac:dyDescent="0.35">
      <c r="O500">
        <v>2</v>
      </c>
      <c r="P500" t="str">
        <v>Ipswich</v>
      </c>
      <c r="Q500" t="s">
        <v>25</v>
      </c>
      <c r="R500" t="s">
        <v>2</v>
      </c>
      <c r="S500" t="s">
        <v>7</v>
      </c>
    </row>
    <row r="501" spans="15:19" x14ac:dyDescent="0.35">
      <c r="O501">
        <v>8</v>
      </c>
      <c r="P501" t="str">
        <v>Maroochy</v>
      </c>
      <c r="Q501" t="s">
        <v>25</v>
      </c>
      <c r="R501" t="s">
        <v>2</v>
      </c>
      <c r="S501" t="s">
        <v>7</v>
      </c>
    </row>
    <row r="502" spans="15:19" x14ac:dyDescent="0.35">
      <c r="O502">
        <v>2</v>
      </c>
      <c r="P502" t="str">
        <v>Rockhampton</v>
      </c>
      <c r="Q502" t="s">
        <v>25</v>
      </c>
      <c r="R502" t="s">
        <v>2</v>
      </c>
      <c r="S502" t="s">
        <v>7</v>
      </c>
    </row>
    <row r="503" spans="15:19" x14ac:dyDescent="0.35">
      <c r="O503">
        <v>2</v>
      </c>
      <c r="P503" t="str">
        <v>Southport</v>
      </c>
      <c r="Q503" t="s">
        <v>25</v>
      </c>
      <c r="R503" t="s">
        <v>2</v>
      </c>
      <c r="S503" t="s">
        <v>7</v>
      </c>
    </row>
    <row r="504" spans="15:19" x14ac:dyDescent="0.35">
      <c r="O504">
        <v>2</v>
      </c>
      <c r="P504" t="str">
        <v>Toowoomba</v>
      </c>
      <c r="Q504" t="s">
        <v>25</v>
      </c>
      <c r="R504" t="s">
        <v>2</v>
      </c>
      <c r="S504" t="s">
        <v>7</v>
      </c>
    </row>
    <row r="505" spans="15:19" x14ac:dyDescent="0.35">
      <c r="O505">
        <v>4</v>
      </c>
      <c r="P505" t="str">
        <v>Townsville</v>
      </c>
      <c r="Q505" t="s">
        <v>25</v>
      </c>
      <c r="R505" t="s">
        <v>2</v>
      </c>
      <c r="S505" t="s">
        <v>7</v>
      </c>
    </row>
    <row r="506" spans="15:19" x14ac:dyDescent="0.35">
      <c r="O506">
        <v>0</v>
      </c>
      <c r="P506" t="str" cm="1">
        <f t="array" ref="P506:P514">TRANSPOSE(B1:J1)</f>
        <v>Brisbane</v>
      </c>
      <c r="Q506" t="s">
        <v>26</v>
      </c>
      <c r="R506" t="s">
        <v>2</v>
      </c>
      <c r="S506" t="s">
        <v>7</v>
      </c>
    </row>
    <row r="507" spans="15:19" x14ac:dyDescent="0.35">
      <c r="O507">
        <v>1</v>
      </c>
      <c r="P507" t="str">
        <v>Beenleigh</v>
      </c>
      <c r="Q507" t="s">
        <v>26</v>
      </c>
      <c r="R507" t="s">
        <v>2</v>
      </c>
      <c r="S507" t="s">
        <v>7</v>
      </c>
    </row>
    <row r="508" spans="15:19" x14ac:dyDescent="0.35">
      <c r="O508">
        <v>0</v>
      </c>
      <c r="P508" t="str">
        <v>Cairns</v>
      </c>
      <c r="Q508" t="s">
        <v>26</v>
      </c>
      <c r="R508" t="s">
        <v>2</v>
      </c>
      <c r="S508" t="s">
        <v>7</v>
      </c>
    </row>
    <row r="509" spans="15:19" x14ac:dyDescent="0.35">
      <c r="O509">
        <v>0</v>
      </c>
      <c r="P509" t="str">
        <v>Ipswich</v>
      </c>
      <c r="Q509" t="s">
        <v>26</v>
      </c>
      <c r="R509" t="s">
        <v>2</v>
      </c>
      <c r="S509" t="s">
        <v>7</v>
      </c>
    </row>
    <row r="510" spans="15:19" x14ac:dyDescent="0.35">
      <c r="O510">
        <v>0</v>
      </c>
      <c r="P510" t="str">
        <v>Maroochy</v>
      </c>
      <c r="Q510" t="s">
        <v>26</v>
      </c>
      <c r="R510" t="s">
        <v>2</v>
      </c>
      <c r="S510" t="s">
        <v>7</v>
      </c>
    </row>
    <row r="511" spans="15:19" x14ac:dyDescent="0.35">
      <c r="O511">
        <v>0</v>
      </c>
      <c r="P511" t="str">
        <v>Rockhampton</v>
      </c>
      <c r="Q511" t="s">
        <v>26</v>
      </c>
      <c r="R511" t="s">
        <v>2</v>
      </c>
      <c r="S511" t="s">
        <v>7</v>
      </c>
    </row>
    <row r="512" spans="15:19" x14ac:dyDescent="0.35">
      <c r="O512">
        <v>1</v>
      </c>
      <c r="P512" t="str">
        <v>Southport</v>
      </c>
      <c r="Q512" t="s">
        <v>26</v>
      </c>
      <c r="R512" t="s">
        <v>2</v>
      </c>
      <c r="S512" t="s">
        <v>7</v>
      </c>
    </row>
    <row r="513" spans="15:19" x14ac:dyDescent="0.35">
      <c r="O513">
        <v>0</v>
      </c>
      <c r="P513" t="str">
        <v>Toowoomba</v>
      </c>
      <c r="Q513" t="s">
        <v>26</v>
      </c>
      <c r="R513" t="s">
        <v>2</v>
      </c>
      <c r="S513" t="s">
        <v>7</v>
      </c>
    </row>
    <row r="514" spans="15:19" x14ac:dyDescent="0.35">
      <c r="O514">
        <v>0</v>
      </c>
      <c r="P514" t="str">
        <v>Townsville</v>
      </c>
      <c r="Q514" t="s">
        <v>26</v>
      </c>
      <c r="R514" t="s">
        <v>2</v>
      </c>
      <c r="S514" t="s">
        <v>7</v>
      </c>
    </row>
    <row r="515" spans="15:19" x14ac:dyDescent="0.35">
      <c r="O515">
        <v>18</v>
      </c>
      <c r="P515" t="str" cm="1">
        <f t="array" ref="P515:P523">TRANSPOSE(B1:J1)</f>
        <v>Brisbane</v>
      </c>
      <c r="Q515" t="s">
        <v>27</v>
      </c>
      <c r="R515" t="s">
        <v>2</v>
      </c>
      <c r="S515" t="s">
        <v>7</v>
      </c>
    </row>
    <row r="516" spans="15:19" x14ac:dyDescent="0.35">
      <c r="O516">
        <v>0</v>
      </c>
      <c r="P516" t="str">
        <v>Beenleigh</v>
      </c>
      <c r="Q516" t="s">
        <v>27</v>
      </c>
      <c r="R516" t="s">
        <v>2</v>
      </c>
      <c r="S516" t="s">
        <v>7</v>
      </c>
    </row>
    <row r="517" spans="15:19" x14ac:dyDescent="0.35">
      <c r="O517">
        <v>0</v>
      </c>
      <c r="P517" t="str">
        <v>Cairns</v>
      </c>
      <c r="Q517" t="s">
        <v>27</v>
      </c>
      <c r="R517" t="s">
        <v>2</v>
      </c>
      <c r="S517" t="s">
        <v>7</v>
      </c>
    </row>
    <row r="518" spans="15:19" x14ac:dyDescent="0.35">
      <c r="O518">
        <v>0</v>
      </c>
      <c r="P518" t="str">
        <v>Ipswich</v>
      </c>
      <c r="Q518" t="s">
        <v>27</v>
      </c>
      <c r="R518" t="s">
        <v>2</v>
      </c>
      <c r="S518" t="s">
        <v>7</v>
      </c>
    </row>
    <row r="519" spans="15:19" x14ac:dyDescent="0.35">
      <c r="O519">
        <v>0</v>
      </c>
      <c r="P519" t="str">
        <v>Maroochy</v>
      </c>
      <c r="Q519" t="s">
        <v>27</v>
      </c>
      <c r="R519" t="s">
        <v>2</v>
      </c>
      <c r="S519" t="s">
        <v>7</v>
      </c>
    </row>
    <row r="520" spans="15:19" x14ac:dyDescent="0.35">
      <c r="O520">
        <v>0</v>
      </c>
      <c r="P520" t="str">
        <v>Rockhampton</v>
      </c>
      <c r="Q520" t="s">
        <v>27</v>
      </c>
      <c r="R520" t="s">
        <v>2</v>
      </c>
      <c r="S520" t="s">
        <v>7</v>
      </c>
    </row>
    <row r="521" spans="15:19" x14ac:dyDescent="0.35">
      <c r="O521">
        <v>0</v>
      </c>
      <c r="P521" t="str">
        <v>Southport</v>
      </c>
      <c r="Q521" t="s">
        <v>27</v>
      </c>
      <c r="R521" t="s">
        <v>2</v>
      </c>
      <c r="S521" t="s">
        <v>7</v>
      </c>
    </row>
    <row r="522" spans="15:19" x14ac:dyDescent="0.35">
      <c r="O522">
        <v>0</v>
      </c>
      <c r="P522" t="str">
        <v>Toowoomba</v>
      </c>
      <c r="Q522" t="s">
        <v>27</v>
      </c>
      <c r="R522" t="s">
        <v>2</v>
      </c>
      <c r="S522" t="s">
        <v>7</v>
      </c>
    </row>
    <row r="523" spans="15:19" x14ac:dyDescent="0.35">
      <c r="O523">
        <v>0</v>
      </c>
      <c r="P523" t="str">
        <v>Townsville</v>
      </c>
      <c r="Q523" t="s">
        <v>27</v>
      </c>
      <c r="R523" t="s">
        <v>2</v>
      </c>
      <c r="S523" t="s">
        <v>7</v>
      </c>
    </row>
    <row r="524" spans="15:19" x14ac:dyDescent="0.35">
      <c r="O524">
        <v>974</v>
      </c>
      <c r="P524" t="str" cm="1">
        <f t="array" ref="P524:P532">TRANSPOSE(B1:J1)</f>
        <v>Brisbane</v>
      </c>
      <c r="Q524" t="s">
        <v>28</v>
      </c>
      <c r="R524" t="s">
        <v>2</v>
      </c>
      <c r="S524" t="s">
        <v>8</v>
      </c>
    </row>
    <row r="525" spans="15:19" x14ac:dyDescent="0.35">
      <c r="O525">
        <v>96</v>
      </c>
      <c r="P525" t="str">
        <v>Beenleigh</v>
      </c>
      <c r="Q525" t="s">
        <v>28</v>
      </c>
      <c r="R525" t="s">
        <v>2</v>
      </c>
      <c r="S525" t="s">
        <v>8</v>
      </c>
    </row>
    <row r="526" spans="15:19" x14ac:dyDescent="0.35">
      <c r="O526">
        <v>112</v>
      </c>
      <c r="P526" t="str">
        <v>Cairns</v>
      </c>
      <c r="Q526" t="s">
        <v>28</v>
      </c>
      <c r="R526" t="s">
        <v>2</v>
      </c>
      <c r="S526" t="s">
        <v>8</v>
      </c>
    </row>
    <row r="527" spans="15:19" x14ac:dyDescent="0.35">
      <c r="O527">
        <v>89</v>
      </c>
      <c r="P527" t="str">
        <v>Ipswich</v>
      </c>
      <c r="Q527" t="s">
        <v>28</v>
      </c>
      <c r="R527" t="s">
        <v>2</v>
      </c>
      <c r="S527" t="s">
        <v>8</v>
      </c>
    </row>
    <row r="528" spans="15:19" x14ac:dyDescent="0.35">
      <c r="O528">
        <v>45</v>
      </c>
      <c r="P528" t="str">
        <v>Maroochy</v>
      </c>
      <c r="Q528" t="s">
        <v>28</v>
      </c>
      <c r="R528" t="s">
        <v>2</v>
      </c>
      <c r="S528" t="s">
        <v>8</v>
      </c>
    </row>
    <row r="529" spans="15:19" x14ac:dyDescent="0.35">
      <c r="O529">
        <v>104</v>
      </c>
      <c r="P529" t="str">
        <v>Rockhampton</v>
      </c>
      <c r="Q529" t="s">
        <v>28</v>
      </c>
      <c r="R529" t="s">
        <v>2</v>
      </c>
      <c r="S529" t="s">
        <v>8</v>
      </c>
    </row>
    <row r="530" spans="15:19" x14ac:dyDescent="0.35">
      <c r="O530">
        <v>62</v>
      </c>
      <c r="P530" t="str">
        <v>Southport</v>
      </c>
      <c r="Q530" t="s">
        <v>28</v>
      </c>
      <c r="R530" t="s">
        <v>2</v>
      </c>
      <c r="S530" t="s">
        <v>8</v>
      </c>
    </row>
    <row r="531" spans="15:19" x14ac:dyDescent="0.35">
      <c r="O531">
        <v>33</v>
      </c>
      <c r="P531" t="str">
        <v>Toowoomba</v>
      </c>
      <c r="Q531" t="s">
        <v>28</v>
      </c>
      <c r="R531" t="s">
        <v>2</v>
      </c>
      <c r="S531" t="s">
        <v>8</v>
      </c>
    </row>
    <row r="532" spans="15:19" x14ac:dyDescent="0.35">
      <c r="O532">
        <v>100</v>
      </c>
      <c r="P532" t="str">
        <v>Townsville</v>
      </c>
      <c r="Q532" t="s">
        <v>28</v>
      </c>
      <c r="R532" t="s">
        <v>2</v>
      </c>
      <c r="S532" t="s">
        <v>8</v>
      </c>
    </row>
    <row r="533" spans="15:19" x14ac:dyDescent="0.35">
      <c r="O533">
        <v>314</v>
      </c>
      <c r="P533" t="str" cm="1">
        <f t="array" ref="P533:P541">TRANSPOSE(B1:J1)</f>
        <v>Brisbane</v>
      </c>
      <c r="Q533" t="s">
        <v>29</v>
      </c>
      <c r="R533" t="s">
        <v>2</v>
      </c>
      <c r="S533" t="s">
        <v>8</v>
      </c>
    </row>
    <row r="534" spans="15:19" x14ac:dyDescent="0.35">
      <c r="O534">
        <v>23</v>
      </c>
      <c r="P534" t="str">
        <v>Beenleigh</v>
      </c>
      <c r="Q534" t="s">
        <v>29</v>
      </c>
      <c r="R534" t="s">
        <v>2</v>
      </c>
      <c r="S534" t="s">
        <v>8</v>
      </c>
    </row>
    <row r="535" spans="15:19" x14ac:dyDescent="0.35">
      <c r="O535">
        <v>28</v>
      </c>
      <c r="P535" t="str">
        <v>Cairns</v>
      </c>
      <c r="Q535" t="s">
        <v>29</v>
      </c>
      <c r="R535" t="s">
        <v>2</v>
      </c>
      <c r="S535" t="s">
        <v>8</v>
      </c>
    </row>
    <row r="536" spans="15:19" x14ac:dyDescent="0.35">
      <c r="O536">
        <v>15</v>
      </c>
      <c r="P536" t="str">
        <v>Ipswich</v>
      </c>
      <c r="Q536" t="s">
        <v>29</v>
      </c>
      <c r="R536" t="s">
        <v>2</v>
      </c>
      <c r="S536" t="s">
        <v>8</v>
      </c>
    </row>
    <row r="537" spans="15:19" x14ac:dyDescent="0.35">
      <c r="O537">
        <v>18</v>
      </c>
      <c r="P537" t="str">
        <v>Maroochy</v>
      </c>
      <c r="Q537" t="s">
        <v>29</v>
      </c>
      <c r="R537" t="s">
        <v>2</v>
      </c>
      <c r="S537" t="s">
        <v>8</v>
      </c>
    </row>
    <row r="538" spans="15:19" x14ac:dyDescent="0.35">
      <c r="O538">
        <v>19</v>
      </c>
      <c r="P538" t="str">
        <v>Rockhampton</v>
      </c>
      <c r="Q538" t="s">
        <v>29</v>
      </c>
      <c r="R538" t="s">
        <v>2</v>
      </c>
      <c r="S538" t="s">
        <v>8</v>
      </c>
    </row>
    <row r="539" spans="15:19" x14ac:dyDescent="0.35">
      <c r="O539">
        <v>48</v>
      </c>
      <c r="P539" t="str">
        <v>Southport</v>
      </c>
      <c r="Q539" t="s">
        <v>29</v>
      </c>
      <c r="R539" t="s">
        <v>2</v>
      </c>
      <c r="S539" t="s">
        <v>8</v>
      </c>
    </row>
    <row r="540" spans="15:19" x14ac:dyDescent="0.35">
      <c r="O540">
        <v>13</v>
      </c>
      <c r="P540" t="str">
        <v>Toowoomba</v>
      </c>
      <c r="Q540" t="s">
        <v>29</v>
      </c>
      <c r="R540" t="s">
        <v>2</v>
      </c>
      <c r="S540" t="s">
        <v>8</v>
      </c>
    </row>
    <row r="541" spans="15:19" x14ac:dyDescent="0.35">
      <c r="O541">
        <v>35</v>
      </c>
      <c r="P541" t="str">
        <v>Townsville</v>
      </c>
      <c r="Q541" t="s">
        <v>29</v>
      </c>
      <c r="R541" t="s">
        <v>2</v>
      </c>
      <c r="S541" t="s">
        <v>8</v>
      </c>
    </row>
    <row r="542" spans="15:19" x14ac:dyDescent="0.35">
      <c r="O542">
        <v>73</v>
      </c>
      <c r="P542" t="str" cm="1">
        <f t="array" ref="P542:P550">TRANSPOSE(B1:J1)</f>
        <v>Brisbane</v>
      </c>
      <c r="Q542" t="s">
        <v>30</v>
      </c>
      <c r="R542" t="s">
        <v>2</v>
      </c>
      <c r="S542" t="s">
        <v>8</v>
      </c>
    </row>
    <row r="543" spans="15:19" x14ac:dyDescent="0.35">
      <c r="O543">
        <v>6</v>
      </c>
      <c r="P543" t="str">
        <v>Beenleigh</v>
      </c>
      <c r="Q543" t="s">
        <v>30</v>
      </c>
      <c r="R543" t="s">
        <v>2</v>
      </c>
      <c r="S543" t="s">
        <v>8</v>
      </c>
    </row>
    <row r="544" spans="15:19" x14ac:dyDescent="0.35">
      <c r="O544">
        <v>6</v>
      </c>
      <c r="P544" t="str">
        <v>Cairns</v>
      </c>
      <c r="Q544" t="s">
        <v>30</v>
      </c>
      <c r="R544" t="s">
        <v>2</v>
      </c>
      <c r="S544" t="s">
        <v>8</v>
      </c>
    </row>
    <row r="545" spans="15:19" x14ac:dyDescent="0.35">
      <c r="O545">
        <v>11</v>
      </c>
      <c r="P545" t="str">
        <v>Ipswich</v>
      </c>
      <c r="Q545" t="s">
        <v>30</v>
      </c>
      <c r="R545" t="s">
        <v>2</v>
      </c>
      <c r="S545" t="s">
        <v>8</v>
      </c>
    </row>
    <row r="546" spans="15:19" x14ac:dyDescent="0.35">
      <c r="O546">
        <v>17</v>
      </c>
      <c r="P546" t="str">
        <v>Maroochy</v>
      </c>
      <c r="Q546" t="s">
        <v>30</v>
      </c>
      <c r="R546" t="s">
        <v>2</v>
      </c>
      <c r="S546" t="s">
        <v>8</v>
      </c>
    </row>
    <row r="547" spans="15:19" x14ac:dyDescent="0.35">
      <c r="O547">
        <v>29</v>
      </c>
      <c r="P547" t="str">
        <v>Rockhampton</v>
      </c>
      <c r="Q547" t="s">
        <v>30</v>
      </c>
      <c r="R547" t="s">
        <v>2</v>
      </c>
      <c r="S547" t="s">
        <v>8</v>
      </c>
    </row>
    <row r="548" spans="15:19" x14ac:dyDescent="0.35">
      <c r="O548">
        <v>8</v>
      </c>
      <c r="P548" t="str">
        <v>Southport</v>
      </c>
      <c r="Q548" t="s">
        <v>30</v>
      </c>
      <c r="R548" t="s">
        <v>2</v>
      </c>
      <c r="S548" t="s">
        <v>8</v>
      </c>
    </row>
    <row r="549" spans="15:19" x14ac:dyDescent="0.35">
      <c r="O549">
        <v>7</v>
      </c>
      <c r="P549" t="str">
        <v>Toowoomba</v>
      </c>
      <c r="Q549" t="s">
        <v>30</v>
      </c>
      <c r="R549" t="s">
        <v>2</v>
      </c>
      <c r="S549" t="s">
        <v>8</v>
      </c>
    </row>
    <row r="550" spans="15:19" x14ac:dyDescent="0.35">
      <c r="O550">
        <v>28</v>
      </c>
      <c r="P550" t="str">
        <v>Townsville</v>
      </c>
      <c r="Q550" t="s">
        <v>30</v>
      </c>
      <c r="R550" t="s">
        <v>2</v>
      </c>
      <c r="S550" t="s">
        <v>8</v>
      </c>
    </row>
    <row r="551" spans="15:19" x14ac:dyDescent="0.35">
      <c r="O551">
        <v>14</v>
      </c>
      <c r="P551" t="str" cm="1">
        <f t="array" ref="P551:P559">TRANSPOSE(B1:J1)</f>
        <v>Brisbane</v>
      </c>
      <c r="Q551" t="s">
        <v>31</v>
      </c>
      <c r="R551" t="s">
        <v>2</v>
      </c>
      <c r="S551" t="s">
        <v>8</v>
      </c>
    </row>
    <row r="552" spans="15:19" x14ac:dyDescent="0.35">
      <c r="O552">
        <v>3</v>
      </c>
      <c r="P552" t="str">
        <v>Beenleigh</v>
      </c>
      <c r="Q552" t="s">
        <v>31</v>
      </c>
      <c r="R552" t="s">
        <v>2</v>
      </c>
      <c r="S552" t="s">
        <v>8</v>
      </c>
    </row>
    <row r="553" spans="15:19" x14ac:dyDescent="0.35">
      <c r="O553">
        <v>0</v>
      </c>
      <c r="P553" t="str">
        <v>Cairns</v>
      </c>
      <c r="Q553" t="s">
        <v>31</v>
      </c>
      <c r="R553" t="s">
        <v>2</v>
      </c>
      <c r="S553" t="s">
        <v>8</v>
      </c>
    </row>
    <row r="554" spans="15:19" x14ac:dyDescent="0.35">
      <c r="O554">
        <v>0</v>
      </c>
      <c r="P554" t="str">
        <v>Ipswich</v>
      </c>
      <c r="Q554" t="s">
        <v>31</v>
      </c>
      <c r="R554" t="s">
        <v>2</v>
      </c>
      <c r="S554" t="s">
        <v>8</v>
      </c>
    </row>
    <row r="555" spans="15:19" x14ac:dyDescent="0.35">
      <c r="O555">
        <v>2</v>
      </c>
      <c r="P555" t="str">
        <v>Maroochy</v>
      </c>
      <c r="Q555" t="s">
        <v>31</v>
      </c>
      <c r="R555" t="s">
        <v>2</v>
      </c>
      <c r="S555" t="s">
        <v>8</v>
      </c>
    </row>
    <row r="556" spans="15:19" x14ac:dyDescent="0.35">
      <c r="O556">
        <v>1</v>
      </c>
      <c r="P556" t="str">
        <v>Rockhampton</v>
      </c>
      <c r="Q556" t="s">
        <v>31</v>
      </c>
      <c r="R556" t="s">
        <v>2</v>
      </c>
      <c r="S556" t="s">
        <v>8</v>
      </c>
    </row>
    <row r="557" spans="15:19" x14ac:dyDescent="0.35">
      <c r="O557">
        <v>0</v>
      </c>
      <c r="P557" t="str">
        <v>Southport</v>
      </c>
      <c r="Q557" t="s">
        <v>31</v>
      </c>
      <c r="R557" t="s">
        <v>2</v>
      </c>
      <c r="S557" t="s">
        <v>8</v>
      </c>
    </row>
    <row r="558" spans="15:19" x14ac:dyDescent="0.35">
      <c r="O558">
        <v>0</v>
      </c>
      <c r="P558" t="str">
        <v>Toowoomba</v>
      </c>
      <c r="Q558" t="s">
        <v>31</v>
      </c>
      <c r="R558" t="s">
        <v>2</v>
      </c>
      <c r="S558" t="s">
        <v>8</v>
      </c>
    </row>
    <row r="559" spans="15:19" x14ac:dyDescent="0.35">
      <c r="O559">
        <v>0</v>
      </c>
      <c r="P559" t="str">
        <v>Townsville</v>
      </c>
      <c r="Q559" t="s">
        <v>31</v>
      </c>
      <c r="R559" t="s">
        <v>2</v>
      </c>
      <c r="S559" t="s">
        <v>8</v>
      </c>
    </row>
    <row r="560" spans="15:19" x14ac:dyDescent="0.35">
      <c r="O560">
        <v>1669</v>
      </c>
      <c r="P560" t="str" cm="1">
        <f t="array" ref="P560:P568">TRANSPOSE(B1:J1)</f>
        <v>Brisbane</v>
      </c>
      <c r="Q560" t="s">
        <v>32</v>
      </c>
      <c r="R560" t="s">
        <v>2</v>
      </c>
      <c r="S560" t="s">
        <v>8</v>
      </c>
    </row>
    <row r="561" spans="15:19" x14ac:dyDescent="0.35">
      <c r="O561">
        <v>220</v>
      </c>
      <c r="P561" t="str">
        <v>Beenleigh</v>
      </c>
      <c r="Q561" t="s">
        <v>32</v>
      </c>
      <c r="R561" t="s">
        <v>2</v>
      </c>
      <c r="S561" t="s">
        <v>8</v>
      </c>
    </row>
    <row r="562" spans="15:19" x14ac:dyDescent="0.35">
      <c r="O562">
        <v>258</v>
      </c>
      <c r="P562" t="str">
        <v>Cairns</v>
      </c>
      <c r="Q562" t="s">
        <v>32</v>
      </c>
      <c r="R562" t="s">
        <v>2</v>
      </c>
      <c r="S562" t="s">
        <v>8</v>
      </c>
    </row>
    <row r="563" spans="15:19" x14ac:dyDescent="0.35">
      <c r="O563">
        <v>200</v>
      </c>
      <c r="P563" t="str">
        <v>Ipswich</v>
      </c>
      <c r="Q563" t="s">
        <v>32</v>
      </c>
      <c r="R563" t="s">
        <v>2</v>
      </c>
      <c r="S563" t="s">
        <v>8</v>
      </c>
    </row>
    <row r="564" spans="15:19" x14ac:dyDescent="0.35">
      <c r="O564">
        <v>192</v>
      </c>
      <c r="P564" t="str">
        <v>Maroochy</v>
      </c>
      <c r="Q564" t="s">
        <v>32</v>
      </c>
      <c r="R564" t="s">
        <v>2</v>
      </c>
      <c r="S564" t="s">
        <v>8</v>
      </c>
    </row>
    <row r="565" spans="15:19" x14ac:dyDescent="0.35">
      <c r="O565">
        <v>445</v>
      </c>
      <c r="P565" t="str">
        <v>Rockhampton</v>
      </c>
      <c r="Q565" t="s">
        <v>32</v>
      </c>
      <c r="R565" t="s">
        <v>2</v>
      </c>
      <c r="S565" t="s">
        <v>8</v>
      </c>
    </row>
    <row r="566" spans="15:19" x14ac:dyDescent="0.35">
      <c r="O566">
        <v>107</v>
      </c>
      <c r="P566" t="str">
        <v>Southport</v>
      </c>
      <c r="Q566" t="s">
        <v>32</v>
      </c>
      <c r="R566" t="s">
        <v>2</v>
      </c>
      <c r="S566" t="s">
        <v>8</v>
      </c>
    </row>
    <row r="567" spans="15:19" x14ac:dyDescent="0.35">
      <c r="O567">
        <v>93</v>
      </c>
      <c r="P567" t="str">
        <v>Toowoomba</v>
      </c>
      <c r="Q567" t="s">
        <v>32</v>
      </c>
      <c r="R567" t="s">
        <v>2</v>
      </c>
      <c r="S567" t="s">
        <v>8</v>
      </c>
    </row>
    <row r="568" spans="15:19" x14ac:dyDescent="0.35">
      <c r="O568">
        <v>161</v>
      </c>
      <c r="P568" t="str">
        <v>Townsville</v>
      </c>
      <c r="Q568" t="s">
        <v>32</v>
      </c>
      <c r="R568" t="s">
        <v>2</v>
      </c>
      <c r="S568" t="s">
        <v>8</v>
      </c>
    </row>
    <row r="569" spans="15:19" x14ac:dyDescent="0.35">
      <c r="O569">
        <v>436</v>
      </c>
      <c r="P569" t="str" cm="1">
        <f t="array" ref="P569:P577">TRANSPOSE(B1:J1)</f>
        <v>Brisbane</v>
      </c>
      <c r="Q569" t="s">
        <v>33</v>
      </c>
      <c r="R569" t="s">
        <v>2</v>
      </c>
      <c r="S569" t="s">
        <v>8</v>
      </c>
    </row>
    <row r="570" spans="15:19" x14ac:dyDescent="0.35">
      <c r="O570">
        <v>48</v>
      </c>
      <c r="P570" t="str">
        <v>Beenleigh</v>
      </c>
      <c r="Q570" t="s">
        <v>33</v>
      </c>
      <c r="R570" t="s">
        <v>2</v>
      </c>
      <c r="S570" t="s">
        <v>8</v>
      </c>
    </row>
    <row r="571" spans="15:19" x14ac:dyDescent="0.35">
      <c r="O571">
        <v>77</v>
      </c>
      <c r="P571" t="str">
        <v>Cairns</v>
      </c>
      <c r="Q571" t="s">
        <v>33</v>
      </c>
      <c r="R571" t="s">
        <v>2</v>
      </c>
      <c r="S571" t="s">
        <v>8</v>
      </c>
    </row>
    <row r="572" spans="15:19" x14ac:dyDescent="0.35">
      <c r="O572">
        <v>88</v>
      </c>
      <c r="P572" t="str">
        <v>Ipswich</v>
      </c>
      <c r="Q572" t="s">
        <v>33</v>
      </c>
      <c r="R572" t="s">
        <v>2</v>
      </c>
      <c r="S572" t="s">
        <v>8</v>
      </c>
    </row>
    <row r="573" spans="15:19" x14ac:dyDescent="0.35">
      <c r="O573">
        <v>47</v>
      </c>
      <c r="P573" t="str">
        <v>Maroochy</v>
      </c>
      <c r="Q573" t="s">
        <v>33</v>
      </c>
      <c r="R573" t="s">
        <v>2</v>
      </c>
      <c r="S573" t="s">
        <v>8</v>
      </c>
    </row>
    <row r="574" spans="15:19" x14ac:dyDescent="0.35">
      <c r="O574">
        <v>146</v>
      </c>
      <c r="P574" t="str">
        <v>Rockhampton</v>
      </c>
      <c r="Q574" t="s">
        <v>33</v>
      </c>
      <c r="R574" t="s">
        <v>2</v>
      </c>
      <c r="S574" t="s">
        <v>8</v>
      </c>
    </row>
    <row r="575" spans="15:19" x14ac:dyDescent="0.35">
      <c r="O575">
        <v>49</v>
      </c>
      <c r="P575" t="str">
        <v>Southport</v>
      </c>
      <c r="Q575" t="s">
        <v>33</v>
      </c>
      <c r="R575" t="s">
        <v>2</v>
      </c>
      <c r="S575" t="s">
        <v>8</v>
      </c>
    </row>
    <row r="576" spans="15:19" x14ac:dyDescent="0.35">
      <c r="O576">
        <v>36</v>
      </c>
      <c r="P576" t="str">
        <v>Toowoomba</v>
      </c>
      <c r="Q576" t="s">
        <v>33</v>
      </c>
      <c r="R576" t="s">
        <v>2</v>
      </c>
      <c r="S576" t="s">
        <v>8</v>
      </c>
    </row>
    <row r="577" spans="15:19" x14ac:dyDescent="0.35">
      <c r="O577">
        <v>36</v>
      </c>
      <c r="P577" t="str">
        <v>Townsville</v>
      </c>
      <c r="Q577" t="s">
        <v>33</v>
      </c>
      <c r="R577" t="s">
        <v>2</v>
      </c>
      <c r="S577" t="s">
        <v>8</v>
      </c>
    </row>
    <row r="578" spans="15:19" x14ac:dyDescent="0.35">
      <c r="O578">
        <v>337</v>
      </c>
      <c r="P578" t="str" cm="1">
        <f t="array" ref="P578:P586">TRANSPOSE(B1:J1)</f>
        <v>Brisbane</v>
      </c>
      <c r="Q578" t="s">
        <v>34</v>
      </c>
      <c r="R578" t="s">
        <v>2</v>
      </c>
      <c r="S578" t="s">
        <v>8</v>
      </c>
    </row>
    <row r="579" spans="15:19" x14ac:dyDescent="0.35">
      <c r="O579">
        <v>35</v>
      </c>
      <c r="P579" t="str">
        <v>Beenleigh</v>
      </c>
      <c r="Q579" t="s">
        <v>34</v>
      </c>
      <c r="R579" t="s">
        <v>2</v>
      </c>
      <c r="S579" t="s">
        <v>8</v>
      </c>
    </row>
    <row r="580" spans="15:19" x14ac:dyDescent="0.35">
      <c r="O580">
        <v>21</v>
      </c>
      <c r="P580" t="str">
        <v>Cairns</v>
      </c>
      <c r="Q580" t="s">
        <v>34</v>
      </c>
      <c r="R580" t="s">
        <v>2</v>
      </c>
      <c r="S580" t="s">
        <v>8</v>
      </c>
    </row>
    <row r="581" spans="15:19" x14ac:dyDescent="0.35">
      <c r="O581">
        <v>113</v>
      </c>
      <c r="P581" t="str">
        <v>Ipswich</v>
      </c>
      <c r="Q581" t="s">
        <v>34</v>
      </c>
      <c r="R581" t="s">
        <v>2</v>
      </c>
      <c r="S581" t="s">
        <v>8</v>
      </c>
    </row>
    <row r="582" spans="15:19" x14ac:dyDescent="0.35">
      <c r="O582">
        <v>19</v>
      </c>
      <c r="P582" t="str">
        <v>Maroochy</v>
      </c>
      <c r="Q582" t="s">
        <v>34</v>
      </c>
      <c r="R582" t="s">
        <v>2</v>
      </c>
      <c r="S582" t="s">
        <v>8</v>
      </c>
    </row>
    <row r="583" spans="15:19" x14ac:dyDescent="0.35">
      <c r="O583">
        <v>36</v>
      </c>
      <c r="P583" t="str">
        <v>Rockhampton</v>
      </c>
      <c r="Q583" t="s">
        <v>34</v>
      </c>
      <c r="R583" t="s">
        <v>2</v>
      </c>
      <c r="S583" t="s">
        <v>8</v>
      </c>
    </row>
    <row r="584" spans="15:19" x14ac:dyDescent="0.35">
      <c r="O584">
        <v>17</v>
      </c>
      <c r="P584" t="str">
        <v>Southport</v>
      </c>
      <c r="Q584" t="s">
        <v>34</v>
      </c>
      <c r="R584" t="s">
        <v>2</v>
      </c>
      <c r="S584" t="s">
        <v>8</v>
      </c>
    </row>
    <row r="585" spans="15:19" x14ac:dyDescent="0.35">
      <c r="O585">
        <v>31</v>
      </c>
      <c r="P585" t="str">
        <v>Toowoomba</v>
      </c>
      <c r="Q585" t="s">
        <v>34</v>
      </c>
      <c r="R585" t="s">
        <v>2</v>
      </c>
      <c r="S585" t="s">
        <v>8</v>
      </c>
    </row>
    <row r="586" spans="15:19" x14ac:dyDescent="0.35">
      <c r="O586">
        <v>26</v>
      </c>
      <c r="P586" t="str">
        <v>Townsville</v>
      </c>
      <c r="Q586" t="s">
        <v>34</v>
      </c>
      <c r="R586" t="s">
        <v>2</v>
      </c>
      <c r="S586" t="s">
        <v>8</v>
      </c>
    </row>
    <row r="587" spans="15:19" x14ac:dyDescent="0.35">
      <c r="O587">
        <v>45</v>
      </c>
      <c r="P587" t="str" cm="1">
        <f t="array" ref="P587:P595">TRANSPOSE(B1:J1)</f>
        <v>Brisbane</v>
      </c>
      <c r="Q587" t="s">
        <v>22</v>
      </c>
      <c r="R587" t="s">
        <v>1</v>
      </c>
      <c r="S587" t="s">
        <v>7</v>
      </c>
    </row>
    <row r="588" spans="15:19" x14ac:dyDescent="0.35">
      <c r="O588">
        <v>0</v>
      </c>
      <c r="P588" t="str">
        <v>Beenleigh</v>
      </c>
      <c r="Q588" t="s">
        <v>22</v>
      </c>
      <c r="R588" t="s">
        <v>1</v>
      </c>
      <c r="S588" t="s">
        <v>7</v>
      </c>
    </row>
    <row r="589" spans="15:19" x14ac:dyDescent="0.35">
      <c r="O589">
        <v>8</v>
      </c>
      <c r="P589" t="str">
        <v>Cairns</v>
      </c>
      <c r="Q589" t="s">
        <v>22</v>
      </c>
      <c r="R589" t="s">
        <v>1</v>
      </c>
      <c r="S589" t="s">
        <v>7</v>
      </c>
    </row>
    <row r="590" spans="15:19" x14ac:dyDescent="0.35">
      <c r="O590">
        <v>0</v>
      </c>
      <c r="P590" t="str">
        <v>Ipswich</v>
      </c>
      <c r="Q590" t="s">
        <v>22</v>
      </c>
      <c r="R590" t="s">
        <v>1</v>
      </c>
      <c r="S590" t="s">
        <v>7</v>
      </c>
    </row>
    <row r="591" spans="15:19" x14ac:dyDescent="0.35">
      <c r="O591">
        <v>0</v>
      </c>
      <c r="P591" t="str">
        <v>Maroochy</v>
      </c>
      <c r="Q591" t="s">
        <v>22</v>
      </c>
      <c r="R591" t="s">
        <v>1</v>
      </c>
      <c r="S591" t="s">
        <v>7</v>
      </c>
    </row>
    <row r="592" spans="15:19" x14ac:dyDescent="0.35">
      <c r="O592">
        <v>6</v>
      </c>
      <c r="P592" t="str">
        <v>Rockhampton</v>
      </c>
      <c r="Q592" t="s">
        <v>22</v>
      </c>
      <c r="R592" t="s">
        <v>1</v>
      </c>
      <c r="S592" t="s">
        <v>7</v>
      </c>
    </row>
    <row r="593" spans="15:19" x14ac:dyDescent="0.35">
      <c r="O593">
        <v>0</v>
      </c>
      <c r="P593" t="str">
        <v>Southport</v>
      </c>
      <c r="Q593" t="s">
        <v>22</v>
      </c>
      <c r="R593" t="s">
        <v>1</v>
      </c>
      <c r="S593" t="s">
        <v>7</v>
      </c>
    </row>
    <row r="594" spans="15:19" x14ac:dyDescent="0.35">
      <c r="O594">
        <v>1</v>
      </c>
      <c r="P594" t="str">
        <v>Toowoomba</v>
      </c>
      <c r="Q594" t="s">
        <v>22</v>
      </c>
      <c r="R594" t="s">
        <v>1</v>
      </c>
      <c r="S594" t="s">
        <v>7</v>
      </c>
    </row>
    <row r="595" spans="15:19" x14ac:dyDescent="0.35">
      <c r="O595">
        <v>4</v>
      </c>
      <c r="P595" t="str">
        <v>Townsville</v>
      </c>
      <c r="Q595" t="s">
        <v>22</v>
      </c>
      <c r="R595" t="s">
        <v>1</v>
      </c>
      <c r="S595" t="s">
        <v>7</v>
      </c>
    </row>
    <row r="596" spans="15:19" x14ac:dyDescent="0.35">
      <c r="O596">
        <v>76</v>
      </c>
      <c r="P596" t="str" cm="1">
        <f t="array" ref="P596:P604">TRANSPOSE(B1:J1)</f>
        <v>Brisbane</v>
      </c>
      <c r="Q596" t="s">
        <v>23</v>
      </c>
      <c r="R596" t="s">
        <v>1</v>
      </c>
      <c r="S596" t="s">
        <v>7</v>
      </c>
    </row>
    <row r="597" spans="15:19" x14ac:dyDescent="0.35">
      <c r="O597">
        <v>0</v>
      </c>
      <c r="P597" t="str">
        <v>Beenleigh</v>
      </c>
      <c r="Q597" t="s">
        <v>23</v>
      </c>
      <c r="R597" t="s">
        <v>1</v>
      </c>
      <c r="S597" t="s">
        <v>7</v>
      </c>
    </row>
    <row r="598" spans="15:19" x14ac:dyDescent="0.35">
      <c r="O598">
        <v>30</v>
      </c>
      <c r="P598" t="str">
        <v>Cairns</v>
      </c>
      <c r="Q598" t="s">
        <v>23</v>
      </c>
      <c r="R598" t="s">
        <v>1</v>
      </c>
      <c r="S598" t="s">
        <v>7</v>
      </c>
    </row>
    <row r="599" spans="15:19" x14ac:dyDescent="0.35">
      <c r="O599">
        <v>0</v>
      </c>
      <c r="P599" t="str">
        <v>Ipswich</v>
      </c>
      <c r="Q599" t="s">
        <v>23</v>
      </c>
      <c r="R599" t="s">
        <v>1</v>
      </c>
      <c r="S599" t="s">
        <v>7</v>
      </c>
    </row>
    <row r="600" spans="15:19" x14ac:dyDescent="0.35">
      <c r="O600">
        <v>0</v>
      </c>
      <c r="P600" t="str">
        <v>Maroochy</v>
      </c>
      <c r="Q600" t="s">
        <v>23</v>
      </c>
      <c r="R600" t="s">
        <v>1</v>
      </c>
      <c r="S600" t="s">
        <v>7</v>
      </c>
    </row>
    <row r="601" spans="15:19" x14ac:dyDescent="0.35">
      <c r="O601">
        <v>7</v>
      </c>
      <c r="P601" t="str">
        <v>Rockhampton</v>
      </c>
      <c r="Q601" t="s">
        <v>23</v>
      </c>
      <c r="R601" t="s">
        <v>1</v>
      </c>
      <c r="S601" t="s">
        <v>7</v>
      </c>
    </row>
    <row r="602" spans="15:19" x14ac:dyDescent="0.35">
      <c r="O602">
        <v>0</v>
      </c>
      <c r="P602" t="str">
        <v>Southport</v>
      </c>
      <c r="Q602" t="s">
        <v>23</v>
      </c>
      <c r="R602" t="s">
        <v>1</v>
      </c>
      <c r="S602" t="s">
        <v>7</v>
      </c>
    </row>
    <row r="603" spans="15:19" x14ac:dyDescent="0.35">
      <c r="O603">
        <v>3</v>
      </c>
      <c r="P603" t="str">
        <v>Toowoomba</v>
      </c>
      <c r="Q603" t="s">
        <v>23</v>
      </c>
      <c r="R603" t="s">
        <v>1</v>
      </c>
      <c r="S603" t="s">
        <v>7</v>
      </c>
    </row>
    <row r="604" spans="15:19" x14ac:dyDescent="0.35">
      <c r="O604">
        <v>2</v>
      </c>
      <c r="P604" t="str">
        <v>Townsville</v>
      </c>
      <c r="Q604" t="s">
        <v>23</v>
      </c>
      <c r="R604" t="s">
        <v>1</v>
      </c>
      <c r="S604" t="s">
        <v>7</v>
      </c>
    </row>
    <row r="605" spans="15:19" x14ac:dyDescent="0.35">
      <c r="O605">
        <v>16</v>
      </c>
      <c r="P605" t="str" cm="1">
        <f t="array" ref="P605:P613">TRANSPOSE(B1:J1)</f>
        <v>Brisbane</v>
      </c>
      <c r="Q605" t="s">
        <v>24</v>
      </c>
      <c r="R605" t="s">
        <v>1</v>
      </c>
      <c r="S605" t="s">
        <v>7</v>
      </c>
    </row>
    <row r="606" spans="15:19" x14ac:dyDescent="0.35">
      <c r="O606">
        <v>0</v>
      </c>
      <c r="P606" t="str">
        <v>Beenleigh</v>
      </c>
      <c r="Q606" t="s">
        <v>24</v>
      </c>
      <c r="R606" t="s">
        <v>1</v>
      </c>
      <c r="S606" t="s">
        <v>7</v>
      </c>
    </row>
    <row r="607" spans="15:19" x14ac:dyDescent="0.35">
      <c r="O607">
        <v>1</v>
      </c>
      <c r="P607" t="str">
        <v>Cairns</v>
      </c>
      <c r="Q607" t="s">
        <v>24</v>
      </c>
      <c r="R607" t="s">
        <v>1</v>
      </c>
      <c r="S607" t="s">
        <v>7</v>
      </c>
    </row>
    <row r="608" spans="15:19" x14ac:dyDescent="0.35">
      <c r="O608">
        <v>1</v>
      </c>
      <c r="P608" t="str">
        <v>Ipswich</v>
      </c>
      <c r="Q608" t="s">
        <v>24</v>
      </c>
      <c r="R608" t="s">
        <v>1</v>
      </c>
      <c r="S608" t="s">
        <v>7</v>
      </c>
    </row>
    <row r="609" spans="15:19" x14ac:dyDescent="0.35">
      <c r="O609">
        <v>0</v>
      </c>
      <c r="P609" t="str">
        <v>Maroochy</v>
      </c>
      <c r="Q609" t="s">
        <v>24</v>
      </c>
      <c r="R609" t="s">
        <v>1</v>
      </c>
      <c r="S609" t="s">
        <v>7</v>
      </c>
    </row>
    <row r="610" spans="15:19" x14ac:dyDescent="0.35">
      <c r="O610">
        <v>1</v>
      </c>
      <c r="P610" t="str">
        <v>Rockhampton</v>
      </c>
      <c r="Q610" t="s">
        <v>24</v>
      </c>
      <c r="R610" t="s">
        <v>1</v>
      </c>
      <c r="S610" t="s">
        <v>7</v>
      </c>
    </row>
    <row r="611" spans="15:19" x14ac:dyDescent="0.35">
      <c r="O611">
        <v>0</v>
      </c>
      <c r="P611" t="str">
        <v>Southport</v>
      </c>
      <c r="Q611" t="s">
        <v>24</v>
      </c>
      <c r="R611" t="s">
        <v>1</v>
      </c>
      <c r="S611" t="s">
        <v>7</v>
      </c>
    </row>
    <row r="612" spans="15:19" x14ac:dyDescent="0.35">
      <c r="O612">
        <v>2</v>
      </c>
      <c r="P612" t="str">
        <v>Toowoomba</v>
      </c>
      <c r="Q612" t="s">
        <v>24</v>
      </c>
      <c r="R612" t="s">
        <v>1</v>
      </c>
      <c r="S612" t="s">
        <v>7</v>
      </c>
    </row>
    <row r="613" spans="15:19" x14ac:dyDescent="0.35">
      <c r="O613">
        <v>2</v>
      </c>
      <c r="P613" t="str">
        <v>Townsville</v>
      </c>
      <c r="Q613" t="s">
        <v>24</v>
      </c>
      <c r="R613" t="s">
        <v>1</v>
      </c>
      <c r="S613" t="s">
        <v>7</v>
      </c>
    </row>
    <row r="614" spans="15:19" x14ac:dyDescent="0.35">
      <c r="O614">
        <v>14</v>
      </c>
      <c r="P614" t="str" cm="1">
        <f t="array" ref="P614:P622">TRANSPOSE(B1:J1)</f>
        <v>Brisbane</v>
      </c>
      <c r="Q614" t="s">
        <v>25</v>
      </c>
      <c r="R614" t="s">
        <v>1</v>
      </c>
      <c r="S614" t="s">
        <v>7</v>
      </c>
    </row>
    <row r="615" spans="15:19" x14ac:dyDescent="0.35">
      <c r="O615">
        <v>2</v>
      </c>
      <c r="P615" t="str">
        <v>Beenleigh</v>
      </c>
      <c r="Q615" t="s">
        <v>25</v>
      </c>
      <c r="R615" t="s">
        <v>1</v>
      </c>
      <c r="S615" t="s">
        <v>7</v>
      </c>
    </row>
    <row r="616" spans="15:19" x14ac:dyDescent="0.35">
      <c r="O616">
        <v>3</v>
      </c>
      <c r="P616" t="str">
        <v>Cairns</v>
      </c>
      <c r="Q616" t="s">
        <v>25</v>
      </c>
      <c r="R616" t="s">
        <v>1</v>
      </c>
      <c r="S616" t="s">
        <v>7</v>
      </c>
    </row>
    <row r="617" spans="15:19" x14ac:dyDescent="0.35">
      <c r="O617">
        <v>3</v>
      </c>
      <c r="P617" t="str">
        <v>Ipswich</v>
      </c>
      <c r="Q617" t="s">
        <v>25</v>
      </c>
      <c r="R617" t="s">
        <v>1</v>
      </c>
      <c r="S617" t="s">
        <v>7</v>
      </c>
    </row>
    <row r="618" spans="15:19" x14ac:dyDescent="0.35">
      <c r="O618">
        <v>9</v>
      </c>
      <c r="P618" t="str">
        <v>Maroochy</v>
      </c>
      <c r="Q618" t="s">
        <v>25</v>
      </c>
      <c r="R618" t="s">
        <v>1</v>
      </c>
      <c r="S618" t="s">
        <v>7</v>
      </c>
    </row>
    <row r="619" spans="15:19" x14ac:dyDescent="0.35">
      <c r="O619">
        <v>6</v>
      </c>
      <c r="P619" t="str">
        <v>Rockhampton</v>
      </c>
      <c r="Q619" t="s">
        <v>25</v>
      </c>
      <c r="R619" t="s">
        <v>1</v>
      </c>
      <c r="S619" t="s">
        <v>7</v>
      </c>
    </row>
    <row r="620" spans="15:19" x14ac:dyDescent="0.35">
      <c r="O620">
        <v>1</v>
      </c>
      <c r="P620" t="str">
        <v>Southport</v>
      </c>
      <c r="Q620" t="s">
        <v>25</v>
      </c>
      <c r="R620" t="s">
        <v>1</v>
      </c>
      <c r="S620" t="s">
        <v>7</v>
      </c>
    </row>
    <row r="621" spans="15:19" x14ac:dyDescent="0.35">
      <c r="O621">
        <v>0</v>
      </c>
      <c r="P621" t="str">
        <v>Toowoomba</v>
      </c>
      <c r="Q621" t="s">
        <v>25</v>
      </c>
      <c r="R621" t="s">
        <v>1</v>
      </c>
      <c r="S621" t="s">
        <v>7</v>
      </c>
    </row>
    <row r="622" spans="15:19" x14ac:dyDescent="0.35">
      <c r="O622">
        <v>3</v>
      </c>
      <c r="P622" t="str">
        <v>Townsville</v>
      </c>
      <c r="Q622" t="s">
        <v>25</v>
      </c>
      <c r="R622" t="s">
        <v>1</v>
      </c>
      <c r="S622" t="s">
        <v>7</v>
      </c>
    </row>
    <row r="623" spans="15:19" x14ac:dyDescent="0.35">
      <c r="O623">
        <v>3</v>
      </c>
      <c r="P623" t="str" cm="1">
        <f t="array" ref="P623:P631">TRANSPOSE(B1:J1)</f>
        <v>Brisbane</v>
      </c>
      <c r="Q623" t="s">
        <v>26</v>
      </c>
      <c r="R623" t="s">
        <v>1</v>
      </c>
      <c r="S623" t="s">
        <v>7</v>
      </c>
    </row>
    <row r="624" spans="15:19" x14ac:dyDescent="0.35">
      <c r="O624">
        <v>0</v>
      </c>
      <c r="P624" t="str">
        <v>Beenleigh</v>
      </c>
      <c r="Q624" t="s">
        <v>26</v>
      </c>
      <c r="R624" t="s">
        <v>1</v>
      </c>
      <c r="S624" t="s">
        <v>7</v>
      </c>
    </row>
    <row r="625" spans="15:19" x14ac:dyDescent="0.35">
      <c r="O625">
        <v>0</v>
      </c>
      <c r="P625" t="str">
        <v>Cairns</v>
      </c>
      <c r="Q625" t="s">
        <v>26</v>
      </c>
      <c r="R625" t="s">
        <v>1</v>
      </c>
      <c r="S625" t="s">
        <v>7</v>
      </c>
    </row>
    <row r="626" spans="15:19" x14ac:dyDescent="0.35">
      <c r="O626">
        <v>0</v>
      </c>
      <c r="P626" t="str">
        <v>Ipswich</v>
      </c>
      <c r="Q626" t="s">
        <v>26</v>
      </c>
      <c r="R626" t="s">
        <v>1</v>
      </c>
      <c r="S626" t="s">
        <v>7</v>
      </c>
    </row>
    <row r="627" spans="15:19" x14ac:dyDescent="0.35">
      <c r="O627">
        <v>0</v>
      </c>
      <c r="P627" t="str">
        <v>Maroochy</v>
      </c>
      <c r="Q627" t="s">
        <v>26</v>
      </c>
      <c r="R627" t="s">
        <v>1</v>
      </c>
      <c r="S627" t="s">
        <v>7</v>
      </c>
    </row>
    <row r="628" spans="15:19" x14ac:dyDescent="0.35">
      <c r="O628">
        <v>0</v>
      </c>
      <c r="P628" t="str">
        <v>Rockhampton</v>
      </c>
      <c r="Q628" t="s">
        <v>26</v>
      </c>
      <c r="R628" t="s">
        <v>1</v>
      </c>
      <c r="S628" t="s">
        <v>7</v>
      </c>
    </row>
    <row r="629" spans="15:19" x14ac:dyDescent="0.35">
      <c r="O629">
        <v>0</v>
      </c>
      <c r="P629" t="str">
        <v>Southport</v>
      </c>
      <c r="Q629" t="s">
        <v>26</v>
      </c>
      <c r="R629" t="s">
        <v>1</v>
      </c>
      <c r="S629" t="s">
        <v>7</v>
      </c>
    </row>
    <row r="630" spans="15:19" x14ac:dyDescent="0.35">
      <c r="O630">
        <v>0</v>
      </c>
      <c r="P630" t="str">
        <v>Toowoomba</v>
      </c>
      <c r="Q630" t="s">
        <v>26</v>
      </c>
      <c r="R630" t="s">
        <v>1</v>
      </c>
      <c r="S630" t="s">
        <v>7</v>
      </c>
    </row>
    <row r="631" spans="15:19" x14ac:dyDescent="0.35">
      <c r="O631">
        <v>2</v>
      </c>
      <c r="P631" t="str">
        <v>Townsville</v>
      </c>
      <c r="Q631" t="s">
        <v>26</v>
      </c>
      <c r="R631" t="s">
        <v>1</v>
      </c>
      <c r="S631" t="s">
        <v>7</v>
      </c>
    </row>
    <row r="632" spans="15:19" x14ac:dyDescent="0.35">
      <c r="O632">
        <v>14</v>
      </c>
      <c r="P632" t="str" cm="1">
        <f t="array" ref="P632:P640">TRANSPOSE(B1:J1)</f>
        <v>Brisbane</v>
      </c>
      <c r="Q632" t="s">
        <v>27</v>
      </c>
      <c r="R632" t="s">
        <v>1</v>
      </c>
      <c r="S632" t="s">
        <v>7</v>
      </c>
    </row>
    <row r="633" spans="15:19" x14ac:dyDescent="0.35">
      <c r="O633">
        <v>1</v>
      </c>
      <c r="P633" t="str">
        <v>Beenleigh</v>
      </c>
      <c r="Q633" t="s">
        <v>27</v>
      </c>
      <c r="R633" t="s">
        <v>1</v>
      </c>
      <c r="S633" t="s">
        <v>7</v>
      </c>
    </row>
    <row r="634" spans="15:19" x14ac:dyDescent="0.35">
      <c r="O634">
        <v>0</v>
      </c>
      <c r="P634" t="str">
        <v>Cairns</v>
      </c>
      <c r="Q634" t="s">
        <v>27</v>
      </c>
      <c r="R634" t="s">
        <v>1</v>
      </c>
      <c r="S634" t="s">
        <v>7</v>
      </c>
    </row>
    <row r="635" spans="15:19" x14ac:dyDescent="0.35">
      <c r="O635">
        <v>0</v>
      </c>
      <c r="P635" t="str">
        <v>Ipswich</v>
      </c>
      <c r="Q635" t="s">
        <v>27</v>
      </c>
      <c r="R635" t="s">
        <v>1</v>
      </c>
      <c r="S635" t="s">
        <v>7</v>
      </c>
    </row>
    <row r="636" spans="15:19" x14ac:dyDescent="0.35">
      <c r="O636">
        <v>0</v>
      </c>
      <c r="P636" t="str">
        <v>Maroochy</v>
      </c>
      <c r="Q636" t="s">
        <v>27</v>
      </c>
      <c r="R636" t="s">
        <v>1</v>
      </c>
      <c r="S636" t="s">
        <v>7</v>
      </c>
    </row>
    <row r="637" spans="15:19" x14ac:dyDescent="0.35">
      <c r="O637">
        <v>0</v>
      </c>
      <c r="P637" t="str">
        <v>Rockhampton</v>
      </c>
      <c r="Q637" t="s">
        <v>27</v>
      </c>
      <c r="R637" t="s">
        <v>1</v>
      </c>
      <c r="S637" t="s">
        <v>7</v>
      </c>
    </row>
    <row r="638" spans="15:19" x14ac:dyDescent="0.35">
      <c r="O638">
        <v>0</v>
      </c>
      <c r="P638" t="str">
        <v>Southport</v>
      </c>
      <c r="Q638" t="s">
        <v>27</v>
      </c>
      <c r="R638" t="s">
        <v>1</v>
      </c>
      <c r="S638" t="s">
        <v>7</v>
      </c>
    </row>
    <row r="639" spans="15:19" x14ac:dyDescent="0.35">
      <c r="O639">
        <v>0</v>
      </c>
      <c r="P639" t="str">
        <v>Toowoomba</v>
      </c>
      <c r="Q639" t="s">
        <v>27</v>
      </c>
      <c r="R639" t="s">
        <v>1</v>
      </c>
      <c r="S639" t="s">
        <v>7</v>
      </c>
    </row>
    <row r="640" spans="15:19" x14ac:dyDescent="0.35">
      <c r="O640">
        <v>0</v>
      </c>
      <c r="P640" t="str">
        <v>Townsville</v>
      </c>
      <c r="Q640" t="s">
        <v>27</v>
      </c>
      <c r="R640" t="s">
        <v>1</v>
      </c>
      <c r="S640" t="s">
        <v>7</v>
      </c>
    </row>
    <row r="641" spans="15:19" x14ac:dyDescent="0.35">
      <c r="O641">
        <v>621</v>
      </c>
      <c r="P641" t="str" cm="1">
        <f t="array" ref="P641:P649">TRANSPOSE(B1:J1)</f>
        <v>Brisbane</v>
      </c>
      <c r="Q641" t="s">
        <v>28</v>
      </c>
      <c r="R641" t="s">
        <v>1</v>
      </c>
      <c r="S641" t="s">
        <v>8</v>
      </c>
    </row>
    <row r="642" spans="15:19" x14ac:dyDescent="0.35">
      <c r="O642">
        <v>107</v>
      </c>
      <c r="P642" t="str">
        <v>Beenleigh</v>
      </c>
      <c r="Q642" t="s">
        <v>28</v>
      </c>
      <c r="R642" t="s">
        <v>1</v>
      </c>
      <c r="S642" t="s">
        <v>8</v>
      </c>
    </row>
    <row r="643" spans="15:19" x14ac:dyDescent="0.35">
      <c r="O643">
        <v>79</v>
      </c>
      <c r="P643" t="str">
        <v>Cairns</v>
      </c>
      <c r="Q643" t="s">
        <v>28</v>
      </c>
      <c r="R643" t="s">
        <v>1</v>
      </c>
      <c r="S643" t="s">
        <v>8</v>
      </c>
    </row>
    <row r="644" spans="15:19" x14ac:dyDescent="0.35">
      <c r="O644">
        <v>132</v>
      </c>
      <c r="P644" t="str">
        <v>Ipswich</v>
      </c>
      <c r="Q644" t="s">
        <v>28</v>
      </c>
      <c r="R644" t="s">
        <v>1</v>
      </c>
      <c r="S644" t="s">
        <v>8</v>
      </c>
    </row>
    <row r="645" spans="15:19" x14ac:dyDescent="0.35">
      <c r="O645">
        <v>145</v>
      </c>
      <c r="P645" t="str">
        <v>Maroochy</v>
      </c>
      <c r="Q645" t="s">
        <v>28</v>
      </c>
      <c r="R645" t="s">
        <v>1</v>
      </c>
      <c r="S645" t="s">
        <v>8</v>
      </c>
    </row>
    <row r="646" spans="15:19" x14ac:dyDescent="0.35">
      <c r="O646">
        <v>81</v>
      </c>
      <c r="P646" t="str">
        <v>Rockhampton</v>
      </c>
      <c r="Q646" t="s">
        <v>28</v>
      </c>
      <c r="R646" t="s">
        <v>1</v>
      </c>
      <c r="S646" t="s">
        <v>8</v>
      </c>
    </row>
    <row r="647" spans="15:19" x14ac:dyDescent="0.35">
      <c r="O647">
        <v>63</v>
      </c>
      <c r="P647" t="str">
        <v>Southport</v>
      </c>
      <c r="Q647" t="s">
        <v>28</v>
      </c>
      <c r="R647" t="s">
        <v>1</v>
      </c>
      <c r="S647" t="s">
        <v>8</v>
      </c>
    </row>
    <row r="648" spans="15:19" x14ac:dyDescent="0.35">
      <c r="O648">
        <v>25</v>
      </c>
      <c r="P648" t="str">
        <v>Toowoomba</v>
      </c>
      <c r="Q648" t="s">
        <v>28</v>
      </c>
      <c r="R648" t="s">
        <v>1</v>
      </c>
      <c r="S648" t="s">
        <v>8</v>
      </c>
    </row>
    <row r="649" spans="15:19" x14ac:dyDescent="0.35">
      <c r="O649">
        <v>176</v>
      </c>
      <c r="P649" t="str">
        <v>Townsville</v>
      </c>
      <c r="Q649" t="s">
        <v>28</v>
      </c>
      <c r="R649" t="s">
        <v>1</v>
      </c>
      <c r="S649" t="s">
        <v>8</v>
      </c>
    </row>
    <row r="650" spans="15:19" x14ac:dyDescent="0.35">
      <c r="O650">
        <v>207</v>
      </c>
      <c r="P650" t="str" cm="1">
        <f t="array" ref="P650:P658">TRANSPOSE(B1:J1)</f>
        <v>Brisbane</v>
      </c>
      <c r="Q650" t="s">
        <v>29</v>
      </c>
      <c r="R650" t="s">
        <v>1</v>
      </c>
      <c r="S650" t="s">
        <v>8</v>
      </c>
    </row>
    <row r="651" spans="15:19" x14ac:dyDescent="0.35">
      <c r="O651">
        <v>40</v>
      </c>
      <c r="P651" t="str">
        <v>Beenleigh</v>
      </c>
      <c r="Q651" t="s">
        <v>29</v>
      </c>
      <c r="R651" t="s">
        <v>1</v>
      </c>
      <c r="S651" t="s">
        <v>8</v>
      </c>
    </row>
    <row r="652" spans="15:19" x14ac:dyDescent="0.35">
      <c r="O652">
        <v>21</v>
      </c>
      <c r="P652" t="str">
        <v>Cairns</v>
      </c>
      <c r="Q652" t="s">
        <v>29</v>
      </c>
      <c r="R652" t="s">
        <v>1</v>
      </c>
      <c r="S652" t="s">
        <v>8</v>
      </c>
    </row>
    <row r="653" spans="15:19" x14ac:dyDescent="0.35">
      <c r="O653">
        <v>36</v>
      </c>
      <c r="P653" t="str">
        <v>Ipswich</v>
      </c>
      <c r="Q653" t="s">
        <v>29</v>
      </c>
      <c r="R653" t="s">
        <v>1</v>
      </c>
      <c r="S653" t="s">
        <v>8</v>
      </c>
    </row>
    <row r="654" spans="15:19" x14ac:dyDescent="0.35">
      <c r="O654">
        <v>28</v>
      </c>
      <c r="P654" t="str">
        <v>Maroochy</v>
      </c>
      <c r="Q654" t="s">
        <v>29</v>
      </c>
      <c r="R654" t="s">
        <v>1</v>
      </c>
      <c r="S654" t="s">
        <v>8</v>
      </c>
    </row>
    <row r="655" spans="15:19" x14ac:dyDescent="0.35">
      <c r="O655">
        <v>25</v>
      </c>
      <c r="P655" t="str">
        <v>Rockhampton</v>
      </c>
      <c r="Q655" t="s">
        <v>29</v>
      </c>
      <c r="R655" t="s">
        <v>1</v>
      </c>
      <c r="S655" t="s">
        <v>8</v>
      </c>
    </row>
    <row r="656" spans="15:19" x14ac:dyDescent="0.35">
      <c r="O656">
        <v>30</v>
      </c>
      <c r="P656" t="str">
        <v>Southport</v>
      </c>
      <c r="Q656" t="s">
        <v>29</v>
      </c>
      <c r="R656" t="s">
        <v>1</v>
      </c>
      <c r="S656" t="s">
        <v>8</v>
      </c>
    </row>
    <row r="657" spans="15:19" x14ac:dyDescent="0.35">
      <c r="O657">
        <v>8</v>
      </c>
      <c r="P657" t="str">
        <v>Toowoomba</v>
      </c>
      <c r="Q657" t="s">
        <v>29</v>
      </c>
      <c r="R657" t="s">
        <v>1</v>
      </c>
      <c r="S657" t="s">
        <v>8</v>
      </c>
    </row>
    <row r="658" spans="15:19" x14ac:dyDescent="0.35">
      <c r="O658">
        <v>28</v>
      </c>
      <c r="P658" t="str">
        <v>Townsville</v>
      </c>
      <c r="Q658" t="s">
        <v>29</v>
      </c>
      <c r="R658" t="s">
        <v>1</v>
      </c>
      <c r="S658" t="s">
        <v>8</v>
      </c>
    </row>
    <row r="659" spans="15:19" x14ac:dyDescent="0.35">
      <c r="O659">
        <v>51</v>
      </c>
      <c r="P659" t="str" cm="1">
        <f t="array" ref="P659:P667">TRANSPOSE(B1:J1)</f>
        <v>Brisbane</v>
      </c>
      <c r="Q659" t="s">
        <v>30</v>
      </c>
      <c r="R659" t="s">
        <v>1</v>
      </c>
      <c r="S659" t="s">
        <v>8</v>
      </c>
    </row>
    <row r="660" spans="15:19" x14ac:dyDescent="0.35">
      <c r="O660">
        <v>20</v>
      </c>
      <c r="P660" t="str">
        <v>Beenleigh</v>
      </c>
      <c r="Q660" t="s">
        <v>30</v>
      </c>
      <c r="R660" t="s">
        <v>1</v>
      </c>
      <c r="S660" t="s">
        <v>8</v>
      </c>
    </row>
    <row r="661" spans="15:19" x14ac:dyDescent="0.35">
      <c r="O661">
        <v>37</v>
      </c>
      <c r="P661" t="str">
        <v>Cairns</v>
      </c>
      <c r="Q661" t="s">
        <v>30</v>
      </c>
      <c r="R661" t="s">
        <v>1</v>
      </c>
      <c r="S661" t="s">
        <v>8</v>
      </c>
    </row>
    <row r="662" spans="15:19" x14ac:dyDescent="0.35">
      <c r="O662">
        <v>36</v>
      </c>
      <c r="P662" t="str">
        <v>Ipswich</v>
      </c>
      <c r="Q662" t="s">
        <v>30</v>
      </c>
      <c r="R662" t="s">
        <v>1</v>
      </c>
      <c r="S662" t="s">
        <v>8</v>
      </c>
    </row>
    <row r="663" spans="15:19" x14ac:dyDescent="0.35">
      <c r="O663">
        <v>12</v>
      </c>
      <c r="P663" t="str">
        <v>Maroochy</v>
      </c>
      <c r="Q663" t="s">
        <v>30</v>
      </c>
      <c r="R663" t="s">
        <v>1</v>
      </c>
      <c r="S663" t="s">
        <v>8</v>
      </c>
    </row>
    <row r="664" spans="15:19" x14ac:dyDescent="0.35">
      <c r="O664">
        <v>50</v>
      </c>
      <c r="P664" t="str">
        <v>Rockhampton</v>
      </c>
      <c r="Q664" t="s">
        <v>30</v>
      </c>
      <c r="R664" t="s">
        <v>1</v>
      </c>
      <c r="S664" t="s">
        <v>8</v>
      </c>
    </row>
    <row r="665" spans="15:19" x14ac:dyDescent="0.35">
      <c r="O665">
        <v>20</v>
      </c>
      <c r="P665" t="str">
        <v>Southport</v>
      </c>
      <c r="Q665" t="s">
        <v>30</v>
      </c>
      <c r="R665" t="s">
        <v>1</v>
      </c>
      <c r="S665" t="s">
        <v>8</v>
      </c>
    </row>
    <row r="666" spans="15:19" x14ac:dyDescent="0.35">
      <c r="O666">
        <v>15</v>
      </c>
      <c r="P666" t="str">
        <v>Toowoomba</v>
      </c>
      <c r="Q666" t="s">
        <v>30</v>
      </c>
      <c r="R666" t="s">
        <v>1</v>
      </c>
      <c r="S666" t="s">
        <v>8</v>
      </c>
    </row>
    <row r="667" spans="15:19" x14ac:dyDescent="0.35">
      <c r="O667">
        <v>24</v>
      </c>
      <c r="P667" t="str">
        <v>Townsville</v>
      </c>
      <c r="Q667" t="s">
        <v>30</v>
      </c>
      <c r="R667" t="s">
        <v>1</v>
      </c>
      <c r="S667" t="s">
        <v>8</v>
      </c>
    </row>
    <row r="668" spans="15:19" x14ac:dyDescent="0.35">
      <c r="O668">
        <v>37</v>
      </c>
      <c r="P668" t="str" cm="1">
        <f t="array" ref="P668:P676">TRANSPOSE(B1:J1)</f>
        <v>Brisbane</v>
      </c>
      <c r="Q668" t="s">
        <v>31</v>
      </c>
      <c r="R668" t="s">
        <v>1</v>
      </c>
      <c r="S668" t="s">
        <v>8</v>
      </c>
    </row>
    <row r="669" spans="15:19" x14ac:dyDescent="0.35">
      <c r="O669">
        <v>1</v>
      </c>
      <c r="P669" t="str">
        <v>Beenleigh</v>
      </c>
      <c r="Q669" t="s">
        <v>31</v>
      </c>
      <c r="R669" t="s">
        <v>1</v>
      </c>
      <c r="S669" t="s">
        <v>8</v>
      </c>
    </row>
    <row r="670" spans="15:19" x14ac:dyDescent="0.35">
      <c r="O670">
        <v>0</v>
      </c>
      <c r="P670" t="str">
        <v>Cairns</v>
      </c>
      <c r="Q670" t="s">
        <v>31</v>
      </c>
      <c r="R670" t="s">
        <v>1</v>
      </c>
      <c r="S670" t="s">
        <v>8</v>
      </c>
    </row>
    <row r="671" spans="15:19" x14ac:dyDescent="0.35">
      <c r="O671">
        <v>0</v>
      </c>
      <c r="P671" t="str">
        <v>Ipswich</v>
      </c>
      <c r="Q671" t="s">
        <v>31</v>
      </c>
      <c r="R671" t="s">
        <v>1</v>
      </c>
      <c r="S671" t="s">
        <v>8</v>
      </c>
    </row>
    <row r="672" spans="15:19" x14ac:dyDescent="0.35">
      <c r="O672">
        <v>0</v>
      </c>
      <c r="P672" t="str">
        <v>Maroochy</v>
      </c>
      <c r="Q672" t="s">
        <v>31</v>
      </c>
      <c r="R672" t="s">
        <v>1</v>
      </c>
      <c r="S672" t="s">
        <v>8</v>
      </c>
    </row>
    <row r="673" spans="15:19" x14ac:dyDescent="0.35">
      <c r="O673">
        <v>1</v>
      </c>
      <c r="P673" t="str">
        <v>Rockhampton</v>
      </c>
      <c r="Q673" t="s">
        <v>31</v>
      </c>
      <c r="R673" t="s">
        <v>1</v>
      </c>
      <c r="S673" t="s">
        <v>8</v>
      </c>
    </row>
    <row r="674" spans="15:19" x14ac:dyDescent="0.35">
      <c r="O674">
        <v>1</v>
      </c>
      <c r="P674" t="str">
        <v>Southport</v>
      </c>
      <c r="Q674" t="s">
        <v>31</v>
      </c>
      <c r="R674" t="s">
        <v>1</v>
      </c>
      <c r="S674" t="s">
        <v>8</v>
      </c>
    </row>
    <row r="675" spans="15:19" x14ac:dyDescent="0.35">
      <c r="O675">
        <v>1</v>
      </c>
      <c r="P675" t="str">
        <v>Toowoomba</v>
      </c>
      <c r="Q675" t="s">
        <v>31</v>
      </c>
      <c r="R675" t="s">
        <v>1</v>
      </c>
      <c r="S675" t="s">
        <v>8</v>
      </c>
    </row>
    <row r="676" spans="15:19" x14ac:dyDescent="0.35">
      <c r="O676">
        <v>21</v>
      </c>
      <c r="P676" t="str">
        <v>Townsville</v>
      </c>
      <c r="Q676" t="s">
        <v>31</v>
      </c>
      <c r="R676" t="s">
        <v>1</v>
      </c>
      <c r="S676" t="s">
        <v>8</v>
      </c>
    </row>
    <row r="677" spans="15:19" x14ac:dyDescent="0.35">
      <c r="O677">
        <v>1272</v>
      </c>
      <c r="P677" t="str" cm="1">
        <f t="array" ref="P677:P685">TRANSPOSE(B1:J1)</f>
        <v>Brisbane</v>
      </c>
      <c r="Q677" t="s">
        <v>32</v>
      </c>
      <c r="R677" t="s">
        <v>1</v>
      </c>
      <c r="S677" t="s">
        <v>8</v>
      </c>
    </row>
    <row r="678" spans="15:19" x14ac:dyDescent="0.35">
      <c r="O678">
        <v>272</v>
      </c>
      <c r="P678" t="str">
        <v>Beenleigh</v>
      </c>
      <c r="Q678" t="s">
        <v>32</v>
      </c>
      <c r="R678" t="s">
        <v>1</v>
      </c>
      <c r="S678" t="s">
        <v>8</v>
      </c>
    </row>
    <row r="679" spans="15:19" x14ac:dyDescent="0.35">
      <c r="O679">
        <v>169</v>
      </c>
      <c r="P679" t="str">
        <v>Cairns</v>
      </c>
      <c r="Q679" t="s">
        <v>32</v>
      </c>
      <c r="R679" t="s">
        <v>1</v>
      </c>
      <c r="S679" t="s">
        <v>8</v>
      </c>
    </row>
    <row r="680" spans="15:19" x14ac:dyDescent="0.35">
      <c r="O680">
        <v>304</v>
      </c>
      <c r="P680" t="str">
        <v>Ipswich</v>
      </c>
      <c r="Q680" t="s">
        <v>32</v>
      </c>
      <c r="R680" t="s">
        <v>1</v>
      </c>
      <c r="S680" t="s">
        <v>8</v>
      </c>
    </row>
    <row r="681" spans="15:19" x14ac:dyDescent="0.35">
      <c r="O681">
        <v>298</v>
      </c>
      <c r="P681" t="str">
        <v>Maroochy</v>
      </c>
      <c r="Q681" t="s">
        <v>32</v>
      </c>
      <c r="R681" t="s">
        <v>1</v>
      </c>
      <c r="S681" t="s">
        <v>8</v>
      </c>
    </row>
    <row r="682" spans="15:19" x14ac:dyDescent="0.35">
      <c r="O682">
        <v>168</v>
      </c>
      <c r="P682" t="str">
        <v>Rockhampton</v>
      </c>
      <c r="Q682" t="s">
        <v>32</v>
      </c>
      <c r="R682" t="s">
        <v>1</v>
      </c>
      <c r="S682" t="s">
        <v>8</v>
      </c>
    </row>
    <row r="683" spans="15:19" x14ac:dyDescent="0.35">
      <c r="O683">
        <v>179</v>
      </c>
      <c r="P683" t="str">
        <v>Southport</v>
      </c>
      <c r="Q683" t="s">
        <v>32</v>
      </c>
      <c r="R683" t="s">
        <v>1</v>
      </c>
      <c r="S683" t="s">
        <v>8</v>
      </c>
    </row>
    <row r="684" spans="15:19" x14ac:dyDescent="0.35">
      <c r="O684">
        <v>74</v>
      </c>
      <c r="P684" t="str">
        <v>Toowoomba</v>
      </c>
      <c r="Q684" t="s">
        <v>32</v>
      </c>
      <c r="R684" t="s">
        <v>1</v>
      </c>
      <c r="S684" t="s">
        <v>8</v>
      </c>
    </row>
    <row r="685" spans="15:19" x14ac:dyDescent="0.35">
      <c r="O685">
        <v>306</v>
      </c>
      <c r="P685" t="str">
        <v>Townsville</v>
      </c>
      <c r="Q685" t="s">
        <v>32</v>
      </c>
      <c r="R685" t="s">
        <v>1</v>
      </c>
      <c r="S685" t="s">
        <v>8</v>
      </c>
    </row>
    <row r="686" spans="15:19" x14ac:dyDescent="0.35">
      <c r="O686">
        <v>444</v>
      </c>
      <c r="P686" t="str" cm="1">
        <f t="array" ref="P686:P694">TRANSPOSE(B1:J1)</f>
        <v>Brisbane</v>
      </c>
      <c r="Q686" t="s">
        <v>33</v>
      </c>
      <c r="R686" t="s">
        <v>1</v>
      </c>
      <c r="S686" t="s">
        <v>8</v>
      </c>
    </row>
    <row r="687" spans="15:19" x14ac:dyDescent="0.35">
      <c r="O687">
        <v>85</v>
      </c>
      <c r="P687" t="str">
        <v>Beenleigh</v>
      </c>
      <c r="Q687" t="s">
        <v>33</v>
      </c>
      <c r="R687" t="s">
        <v>1</v>
      </c>
      <c r="S687" t="s">
        <v>8</v>
      </c>
    </row>
    <row r="688" spans="15:19" x14ac:dyDescent="0.35">
      <c r="O688">
        <v>140</v>
      </c>
      <c r="P688" t="str">
        <v>Cairns</v>
      </c>
      <c r="Q688" t="s">
        <v>33</v>
      </c>
      <c r="R688" t="s">
        <v>1</v>
      </c>
      <c r="S688" t="s">
        <v>8</v>
      </c>
    </row>
    <row r="689" spans="15:19" x14ac:dyDescent="0.35">
      <c r="O689">
        <v>118</v>
      </c>
      <c r="P689" t="str">
        <v>Ipswich</v>
      </c>
      <c r="Q689" t="s">
        <v>33</v>
      </c>
      <c r="R689" t="s">
        <v>1</v>
      </c>
      <c r="S689" t="s">
        <v>8</v>
      </c>
    </row>
    <row r="690" spans="15:19" x14ac:dyDescent="0.35">
      <c r="O690">
        <v>200</v>
      </c>
      <c r="P690" t="str">
        <v>Maroochy</v>
      </c>
      <c r="Q690" t="s">
        <v>33</v>
      </c>
      <c r="R690" t="s">
        <v>1</v>
      </c>
      <c r="S690" t="s">
        <v>8</v>
      </c>
    </row>
    <row r="691" spans="15:19" x14ac:dyDescent="0.35">
      <c r="O691">
        <v>80</v>
      </c>
      <c r="P691" t="str">
        <v>Rockhampton</v>
      </c>
      <c r="Q691" t="s">
        <v>33</v>
      </c>
      <c r="R691" t="s">
        <v>1</v>
      </c>
      <c r="S691" t="s">
        <v>8</v>
      </c>
    </row>
    <row r="692" spans="15:19" x14ac:dyDescent="0.35">
      <c r="O692">
        <v>126</v>
      </c>
      <c r="P692" t="str">
        <v>Southport</v>
      </c>
      <c r="Q692" t="s">
        <v>33</v>
      </c>
      <c r="R692" t="s">
        <v>1</v>
      </c>
      <c r="S692" t="s">
        <v>8</v>
      </c>
    </row>
    <row r="693" spans="15:19" x14ac:dyDescent="0.35">
      <c r="O693">
        <v>135</v>
      </c>
      <c r="P693" t="str">
        <v>Toowoomba</v>
      </c>
      <c r="Q693" t="s">
        <v>33</v>
      </c>
      <c r="R693" t="s">
        <v>1</v>
      </c>
      <c r="S693" t="s">
        <v>8</v>
      </c>
    </row>
    <row r="694" spans="15:19" x14ac:dyDescent="0.35">
      <c r="O694">
        <v>93</v>
      </c>
      <c r="P694" t="str">
        <v>Townsville</v>
      </c>
      <c r="Q694" t="s">
        <v>33</v>
      </c>
      <c r="R694" t="s">
        <v>1</v>
      </c>
      <c r="S694" t="s">
        <v>8</v>
      </c>
    </row>
    <row r="695" spans="15:19" x14ac:dyDescent="0.35">
      <c r="O695">
        <v>182</v>
      </c>
      <c r="P695" t="str" cm="1">
        <f t="array" ref="P695:P703">TRANSPOSE(B1:J1)</f>
        <v>Brisbane</v>
      </c>
      <c r="Q695" t="s">
        <v>34</v>
      </c>
      <c r="R695" t="s">
        <v>1</v>
      </c>
      <c r="S695" t="s">
        <v>8</v>
      </c>
    </row>
    <row r="696" spans="15:19" x14ac:dyDescent="0.35">
      <c r="O696">
        <v>24</v>
      </c>
      <c r="P696" t="str">
        <v>Beenleigh</v>
      </c>
      <c r="Q696" t="s">
        <v>34</v>
      </c>
      <c r="R696" t="s">
        <v>1</v>
      </c>
      <c r="S696" t="s">
        <v>8</v>
      </c>
    </row>
    <row r="697" spans="15:19" x14ac:dyDescent="0.35">
      <c r="O697">
        <v>27</v>
      </c>
      <c r="P697" t="str">
        <v>Cairns</v>
      </c>
      <c r="Q697" t="s">
        <v>34</v>
      </c>
      <c r="R697" t="s">
        <v>1</v>
      </c>
      <c r="S697" t="s">
        <v>8</v>
      </c>
    </row>
    <row r="698" spans="15:19" x14ac:dyDescent="0.35">
      <c r="O698">
        <v>54</v>
      </c>
      <c r="P698" t="str">
        <v>Ipswich</v>
      </c>
      <c r="Q698" t="s">
        <v>34</v>
      </c>
      <c r="R698" t="s">
        <v>1</v>
      </c>
      <c r="S698" t="s">
        <v>8</v>
      </c>
    </row>
    <row r="699" spans="15:19" x14ac:dyDescent="0.35">
      <c r="O699">
        <v>26</v>
      </c>
      <c r="P699" t="str">
        <v>Maroochy</v>
      </c>
      <c r="Q699" t="s">
        <v>34</v>
      </c>
      <c r="R699" t="s">
        <v>1</v>
      </c>
      <c r="S699" t="s">
        <v>8</v>
      </c>
    </row>
    <row r="700" spans="15:19" x14ac:dyDescent="0.35">
      <c r="O700">
        <v>23</v>
      </c>
      <c r="P700" t="str">
        <v>Rockhampton</v>
      </c>
      <c r="Q700" t="s">
        <v>34</v>
      </c>
      <c r="R700" t="s">
        <v>1</v>
      </c>
      <c r="S700" t="s">
        <v>8</v>
      </c>
    </row>
    <row r="701" spans="15:19" x14ac:dyDescent="0.35">
      <c r="O701">
        <v>35</v>
      </c>
      <c r="P701" t="str">
        <v>Southport</v>
      </c>
      <c r="Q701" t="s">
        <v>34</v>
      </c>
      <c r="R701" t="s">
        <v>1</v>
      </c>
      <c r="S701" t="s">
        <v>8</v>
      </c>
    </row>
    <row r="702" spans="15:19" x14ac:dyDescent="0.35">
      <c r="O702">
        <v>18</v>
      </c>
      <c r="P702" t="str">
        <v>Toowoomba</v>
      </c>
      <c r="Q702" t="s">
        <v>34</v>
      </c>
      <c r="R702" t="s">
        <v>1</v>
      </c>
      <c r="S702" t="s">
        <v>8</v>
      </c>
    </row>
    <row r="703" spans="15:19" x14ac:dyDescent="0.35">
      <c r="O703">
        <v>13</v>
      </c>
      <c r="P703" t="str">
        <v>Townsville</v>
      </c>
      <c r="Q703" t="s">
        <v>34</v>
      </c>
      <c r="R703" t="s">
        <v>1</v>
      </c>
      <c r="S703" t="s">
        <v>8</v>
      </c>
    </row>
    <row r="704" spans="15:19" x14ac:dyDescent="0.35">
      <c r="O704">
        <v>79</v>
      </c>
      <c r="P704" t="str" cm="1">
        <f t="array" ref="P704:P712">TRANSPOSE(B1:J1)</f>
        <v>Brisbane</v>
      </c>
      <c r="Q704" t="s">
        <v>22</v>
      </c>
      <c r="R704" t="s">
        <v>0</v>
      </c>
      <c r="S704" t="s">
        <v>7</v>
      </c>
    </row>
    <row r="705" spans="15:19" x14ac:dyDescent="0.35">
      <c r="O705">
        <v>0</v>
      </c>
      <c r="P705" t="str">
        <v>Beenleigh</v>
      </c>
      <c r="Q705" t="s">
        <v>22</v>
      </c>
      <c r="R705" t="s">
        <v>0</v>
      </c>
      <c r="S705" t="s">
        <v>7</v>
      </c>
    </row>
    <row r="706" spans="15:19" x14ac:dyDescent="0.35">
      <c r="O706">
        <v>3</v>
      </c>
      <c r="P706" t="str">
        <v>Cairns</v>
      </c>
      <c r="Q706" t="s">
        <v>22</v>
      </c>
      <c r="R706" t="s">
        <v>0</v>
      </c>
      <c r="S706" t="s">
        <v>7</v>
      </c>
    </row>
    <row r="707" spans="15:19" x14ac:dyDescent="0.35">
      <c r="O707">
        <v>1</v>
      </c>
      <c r="P707" t="str">
        <v>Ipswich</v>
      </c>
      <c r="Q707" t="s">
        <v>22</v>
      </c>
      <c r="R707" t="s">
        <v>0</v>
      </c>
      <c r="S707" t="s">
        <v>7</v>
      </c>
    </row>
    <row r="708" spans="15:19" x14ac:dyDescent="0.35">
      <c r="O708">
        <v>2</v>
      </c>
      <c r="P708" t="str">
        <v>Maroochy</v>
      </c>
      <c r="Q708" t="s">
        <v>22</v>
      </c>
      <c r="R708" t="s">
        <v>0</v>
      </c>
      <c r="S708" t="s">
        <v>7</v>
      </c>
    </row>
    <row r="709" spans="15:19" x14ac:dyDescent="0.35">
      <c r="O709">
        <v>5</v>
      </c>
      <c r="P709" t="str">
        <v>Rockhampton</v>
      </c>
      <c r="Q709" t="s">
        <v>22</v>
      </c>
      <c r="R709" t="s">
        <v>0</v>
      </c>
      <c r="S709" t="s">
        <v>7</v>
      </c>
    </row>
    <row r="710" spans="15:19" x14ac:dyDescent="0.35">
      <c r="O710">
        <v>0</v>
      </c>
      <c r="P710" t="str">
        <v>Southport</v>
      </c>
      <c r="Q710" t="s">
        <v>22</v>
      </c>
      <c r="R710" t="s">
        <v>0</v>
      </c>
      <c r="S710" t="s">
        <v>7</v>
      </c>
    </row>
    <row r="711" spans="15:19" x14ac:dyDescent="0.35">
      <c r="O711">
        <v>1</v>
      </c>
      <c r="P711" t="str">
        <v>Toowoomba</v>
      </c>
      <c r="Q711" t="s">
        <v>22</v>
      </c>
      <c r="R711" t="s">
        <v>0</v>
      </c>
      <c r="S711" t="s">
        <v>7</v>
      </c>
    </row>
    <row r="712" spans="15:19" x14ac:dyDescent="0.35">
      <c r="O712">
        <v>7</v>
      </c>
      <c r="P712" t="str">
        <v>Townsville</v>
      </c>
      <c r="Q712" t="s">
        <v>22</v>
      </c>
      <c r="R712" t="s">
        <v>0</v>
      </c>
      <c r="S712" t="s">
        <v>7</v>
      </c>
    </row>
    <row r="713" spans="15:19" x14ac:dyDescent="0.35">
      <c r="O713">
        <v>77</v>
      </c>
      <c r="P713" t="str" cm="1">
        <f t="array" ref="P713:P721">TRANSPOSE(B1:J1)</f>
        <v>Brisbane</v>
      </c>
      <c r="Q713" t="s">
        <v>23</v>
      </c>
      <c r="R713" t="s">
        <v>0</v>
      </c>
      <c r="S713" t="s">
        <v>7</v>
      </c>
    </row>
    <row r="714" spans="15:19" x14ac:dyDescent="0.35">
      <c r="O714">
        <v>0</v>
      </c>
      <c r="P714" t="str">
        <v>Beenleigh</v>
      </c>
      <c r="Q714" t="s">
        <v>23</v>
      </c>
      <c r="R714" t="s">
        <v>0</v>
      </c>
      <c r="S714" t="s">
        <v>7</v>
      </c>
    </row>
    <row r="715" spans="15:19" x14ac:dyDescent="0.35">
      <c r="O715">
        <v>1</v>
      </c>
      <c r="P715" t="str">
        <v>Cairns</v>
      </c>
      <c r="Q715" t="s">
        <v>23</v>
      </c>
      <c r="R715" t="s">
        <v>0</v>
      </c>
      <c r="S715" t="s">
        <v>7</v>
      </c>
    </row>
    <row r="716" spans="15:19" x14ac:dyDescent="0.35">
      <c r="O716">
        <v>3</v>
      </c>
      <c r="P716" t="str">
        <v>Ipswich</v>
      </c>
      <c r="Q716" t="s">
        <v>23</v>
      </c>
      <c r="R716" t="s">
        <v>0</v>
      </c>
      <c r="S716" t="s">
        <v>7</v>
      </c>
    </row>
    <row r="717" spans="15:19" x14ac:dyDescent="0.35">
      <c r="O717">
        <v>0</v>
      </c>
      <c r="P717" t="str">
        <v>Maroochy</v>
      </c>
      <c r="Q717" t="s">
        <v>23</v>
      </c>
      <c r="R717" t="s">
        <v>0</v>
      </c>
      <c r="S717" t="s">
        <v>7</v>
      </c>
    </row>
    <row r="718" spans="15:19" x14ac:dyDescent="0.35">
      <c r="O718">
        <v>1</v>
      </c>
      <c r="P718" t="str">
        <v>Rockhampton</v>
      </c>
      <c r="Q718" t="s">
        <v>23</v>
      </c>
      <c r="R718" t="s">
        <v>0</v>
      </c>
      <c r="S718" t="s">
        <v>7</v>
      </c>
    </row>
    <row r="719" spans="15:19" x14ac:dyDescent="0.35">
      <c r="O719">
        <v>0</v>
      </c>
      <c r="P719" t="str">
        <v>Southport</v>
      </c>
      <c r="Q719" t="s">
        <v>23</v>
      </c>
      <c r="R719" t="s">
        <v>0</v>
      </c>
      <c r="S719" t="s">
        <v>7</v>
      </c>
    </row>
    <row r="720" spans="15:19" x14ac:dyDescent="0.35">
      <c r="O720">
        <v>1</v>
      </c>
      <c r="P720" t="str">
        <v>Toowoomba</v>
      </c>
      <c r="Q720" t="s">
        <v>23</v>
      </c>
      <c r="R720" t="s">
        <v>0</v>
      </c>
      <c r="S720" t="s">
        <v>7</v>
      </c>
    </row>
    <row r="721" spans="15:19" x14ac:dyDescent="0.35">
      <c r="O721">
        <v>0</v>
      </c>
      <c r="P721" t="str">
        <v>Townsville</v>
      </c>
      <c r="Q721" t="s">
        <v>23</v>
      </c>
      <c r="R721" t="s">
        <v>0</v>
      </c>
      <c r="S721" t="s">
        <v>7</v>
      </c>
    </row>
    <row r="722" spans="15:19" x14ac:dyDescent="0.35">
      <c r="O722">
        <v>26</v>
      </c>
      <c r="P722" t="str" cm="1">
        <f t="array" ref="P722:P730">TRANSPOSE(B1:J1)</f>
        <v>Brisbane</v>
      </c>
      <c r="Q722" t="s">
        <v>24</v>
      </c>
      <c r="R722" t="s">
        <v>0</v>
      </c>
      <c r="S722" t="s">
        <v>7</v>
      </c>
    </row>
    <row r="723" spans="15:19" x14ac:dyDescent="0.35">
      <c r="O723">
        <v>0</v>
      </c>
      <c r="P723" t="str">
        <v>Beenleigh</v>
      </c>
      <c r="Q723" t="s">
        <v>24</v>
      </c>
      <c r="R723" t="s">
        <v>0</v>
      </c>
      <c r="S723" t="s">
        <v>7</v>
      </c>
    </row>
    <row r="724" spans="15:19" x14ac:dyDescent="0.35">
      <c r="O724">
        <v>1</v>
      </c>
      <c r="P724" t="str">
        <v>Cairns</v>
      </c>
      <c r="Q724" t="s">
        <v>24</v>
      </c>
      <c r="R724" t="s">
        <v>0</v>
      </c>
      <c r="S724" t="s">
        <v>7</v>
      </c>
    </row>
    <row r="725" spans="15:19" x14ac:dyDescent="0.35">
      <c r="O725">
        <v>2</v>
      </c>
      <c r="P725" t="str">
        <v>Ipswich</v>
      </c>
      <c r="Q725" t="s">
        <v>24</v>
      </c>
      <c r="R725" t="s">
        <v>0</v>
      </c>
      <c r="S725" t="s">
        <v>7</v>
      </c>
    </row>
    <row r="726" spans="15:19" x14ac:dyDescent="0.35">
      <c r="O726">
        <v>0</v>
      </c>
      <c r="P726" t="str">
        <v>Maroochy</v>
      </c>
      <c r="Q726" t="s">
        <v>24</v>
      </c>
      <c r="R726" t="s">
        <v>0</v>
      </c>
      <c r="S726" t="s">
        <v>7</v>
      </c>
    </row>
    <row r="727" spans="15:19" x14ac:dyDescent="0.35">
      <c r="O727">
        <v>2</v>
      </c>
      <c r="P727" t="str">
        <v>Rockhampton</v>
      </c>
      <c r="Q727" t="s">
        <v>24</v>
      </c>
      <c r="R727" t="s">
        <v>0</v>
      </c>
      <c r="S727" t="s">
        <v>7</v>
      </c>
    </row>
    <row r="728" spans="15:19" x14ac:dyDescent="0.35">
      <c r="O728">
        <v>0</v>
      </c>
      <c r="P728" t="str">
        <v>Southport</v>
      </c>
      <c r="Q728" t="s">
        <v>24</v>
      </c>
      <c r="R728" t="s">
        <v>0</v>
      </c>
      <c r="S728" t="s">
        <v>7</v>
      </c>
    </row>
    <row r="729" spans="15:19" x14ac:dyDescent="0.35">
      <c r="O729">
        <v>1</v>
      </c>
      <c r="P729" t="str">
        <v>Toowoomba</v>
      </c>
      <c r="Q729" t="s">
        <v>24</v>
      </c>
      <c r="R729" t="s">
        <v>0</v>
      </c>
      <c r="S729" t="s">
        <v>7</v>
      </c>
    </row>
    <row r="730" spans="15:19" x14ac:dyDescent="0.35">
      <c r="O730">
        <v>0</v>
      </c>
      <c r="P730" t="str">
        <v>Townsville</v>
      </c>
      <c r="Q730" t="s">
        <v>24</v>
      </c>
      <c r="R730" t="s">
        <v>0</v>
      </c>
      <c r="S730" t="s">
        <v>7</v>
      </c>
    </row>
    <row r="731" spans="15:19" x14ac:dyDescent="0.35">
      <c r="O731">
        <v>15</v>
      </c>
      <c r="P731" t="str" cm="1">
        <f t="array" ref="P731:P739">TRANSPOSE(B1:J1)</f>
        <v>Brisbane</v>
      </c>
      <c r="Q731" t="s">
        <v>25</v>
      </c>
      <c r="R731" t="s">
        <v>0</v>
      </c>
      <c r="S731" t="s">
        <v>7</v>
      </c>
    </row>
    <row r="732" spans="15:19" x14ac:dyDescent="0.35">
      <c r="O732">
        <v>4</v>
      </c>
      <c r="P732" t="str">
        <v>Beenleigh</v>
      </c>
      <c r="Q732" t="s">
        <v>25</v>
      </c>
      <c r="R732" t="s">
        <v>0</v>
      </c>
      <c r="S732" t="s">
        <v>7</v>
      </c>
    </row>
    <row r="733" spans="15:19" x14ac:dyDescent="0.35">
      <c r="O733">
        <v>3</v>
      </c>
      <c r="P733" t="str">
        <v>Cairns</v>
      </c>
      <c r="Q733" t="s">
        <v>25</v>
      </c>
      <c r="R733" t="s">
        <v>0</v>
      </c>
      <c r="S733" t="s">
        <v>7</v>
      </c>
    </row>
    <row r="734" spans="15:19" x14ac:dyDescent="0.35">
      <c r="O734">
        <v>5</v>
      </c>
      <c r="P734" t="str">
        <v>Ipswich</v>
      </c>
      <c r="Q734" t="s">
        <v>25</v>
      </c>
      <c r="R734" t="s">
        <v>0</v>
      </c>
      <c r="S734" t="s">
        <v>7</v>
      </c>
    </row>
    <row r="735" spans="15:19" x14ac:dyDescent="0.35">
      <c r="O735">
        <v>9</v>
      </c>
      <c r="P735" t="str">
        <v>Maroochy</v>
      </c>
      <c r="Q735" t="s">
        <v>25</v>
      </c>
      <c r="R735" t="s">
        <v>0</v>
      </c>
      <c r="S735" t="s">
        <v>7</v>
      </c>
    </row>
    <row r="736" spans="15:19" x14ac:dyDescent="0.35">
      <c r="O736">
        <v>9</v>
      </c>
      <c r="P736" t="str">
        <v>Rockhampton</v>
      </c>
      <c r="Q736" t="s">
        <v>25</v>
      </c>
      <c r="R736" t="s">
        <v>0</v>
      </c>
      <c r="S736" t="s">
        <v>7</v>
      </c>
    </row>
    <row r="737" spans="15:19" x14ac:dyDescent="0.35">
      <c r="O737">
        <v>0</v>
      </c>
      <c r="P737" t="str">
        <v>Southport</v>
      </c>
      <c r="Q737" t="s">
        <v>25</v>
      </c>
      <c r="R737" t="s">
        <v>0</v>
      </c>
      <c r="S737" t="s">
        <v>7</v>
      </c>
    </row>
    <row r="738" spans="15:19" x14ac:dyDescent="0.35">
      <c r="O738">
        <v>1</v>
      </c>
      <c r="P738" t="str">
        <v>Toowoomba</v>
      </c>
      <c r="Q738" t="s">
        <v>25</v>
      </c>
      <c r="R738" t="s">
        <v>0</v>
      </c>
      <c r="S738" t="s">
        <v>7</v>
      </c>
    </row>
    <row r="739" spans="15:19" x14ac:dyDescent="0.35">
      <c r="O739">
        <v>5</v>
      </c>
      <c r="P739" t="str">
        <v>Townsville</v>
      </c>
      <c r="Q739" t="s">
        <v>25</v>
      </c>
      <c r="R739" t="s">
        <v>0</v>
      </c>
      <c r="S739" t="s">
        <v>7</v>
      </c>
    </row>
    <row r="740" spans="15:19" x14ac:dyDescent="0.35">
      <c r="O740">
        <v>4</v>
      </c>
      <c r="P740" t="str" cm="1">
        <f t="array" ref="P740:P748">TRANSPOSE(B1:J1)</f>
        <v>Brisbane</v>
      </c>
      <c r="Q740" t="s">
        <v>26</v>
      </c>
      <c r="R740" t="s">
        <v>0</v>
      </c>
      <c r="S740" t="s">
        <v>7</v>
      </c>
    </row>
    <row r="741" spans="15:19" x14ac:dyDescent="0.35">
      <c r="O741">
        <v>0</v>
      </c>
      <c r="P741" t="str">
        <v>Beenleigh</v>
      </c>
      <c r="Q741" t="s">
        <v>26</v>
      </c>
      <c r="R741" t="s">
        <v>0</v>
      </c>
      <c r="S741" t="s">
        <v>7</v>
      </c>
    </row>
    <row r="742" spans="15:19" x14ac:dyDescent="0.35">
      <c r="O742">
        <v>1</v>
      </c>
      <c r="P742" t="str">
        <v>Cairns</v>
      </c>
      <c r="Q742" t="s">
        <v>26</v>
      </c>
      <c r="R742" t="s">
        <v>0</v>
      </c>
      <c r="S742" t="s">
        <v>7</v>
      </c>
    </row>
    <row r="743" spans="15:19" x14ac:dyDescent="0.35">
      <c r="O743">
        <v>1</v>
      </c>
      <c r="P743" t="str">
        <v>Ipswich</v>
      </c>
      <c r="Q743" t="s">
        <v>26</v>
      </c>
      <c r="R743" t="s">
        <v>0</v>
      </c>
      <c r="S743" t="s">
        <v>7</v>
      </c>
    </row>
    <row r="744" spans="15:19" x14ac:dyDescent="0.35">
      <c r="O744">
        <v>0</v>
      </c>
      <c r="P744" t="str">
        <v>Maroochy</v>
      </c>
      <c r="Q744" t="s">
        <v>26</v>
      </c>
      <c r="R744" t="s">
        <v>0</v>
      </c>
      <c r="S744" t="s">
        <v>7</v>
      </c>
    </row>
    <row r="745" spans="15:19" x14ac:dyDescent="0.35">
      <c r="O745">
        <v>0</v>
      </c>
      <c r="P745" t="str">
        <v>Rockhampton</v>
      </c>
      <c r="Q745" t="s">
        <v>26</v>
      </c>
      <c r="R745" t="s">
        <v>0</v>
      </c>
      <c r="S745" t="s">
        <v>7</v>
      </c>
    </row>
    <row r="746" spans="15:19" x14ac:dyDescent="0.35">
      <c r="O746">
        <v>0</v>
      </c>
      <c r="P746" t="str">
        <v>Southport</v>
      </c>
      <c r="Q746" t="s">
        <v>26</v>
      </c>
      <c r="R746" t="s">
        <v>0</v>
      </c>
      <c r="S746" t="s">
        <v>7</v>
      </c>
    </row>
    <row r="747" spans="15:19" x14ac:dyDescent="0.35">
      <c r="O747">
        <v>0</v>
      </c>
      <c r="P747" t="str">
        <v>Toowoomba</v>
      </c>
      <c r="Q747" t="s">
        <v>26</v>
      </c>
      <c r="R747" t="s">
        <v>0</v>
      </c>
      <c r="S747" t="s">
        <v>7</v>
      </c>
    </row>
    <row r="748" spans="15:19" x14ac:dyDescent="0.35">
      <c r="O748">
        <v>0</v>
      </c>
      <c r="P748" t="str">
        <v>Townsville</v>
      </c>
      <c r="Q748" t="s">
        <v>26</v>
      </c>
      <c r="R748" t="s">
        <v>0</v>
      </c>
      <c r="S748" t="s">
        <v>7</v>
      </c>
    </row>
    <row r="749" spans="15:19" x14ac:dyDescent="0.35">
      <c r="O749">
        <v>12</v>
      </c>
      <c r="P749" t="str" cm="1">
        <f t="array" ref="P749:P757">TRANSPOSE(B1:J1)</f>
        <v>Brisbane</v>
      </c>
      <c r="Q749" t="s">
        <v>27</v>
      </c>
      <c r="R749" t="s">
        <v>0</v>
      </c>
      <c r="S749" t="s">
        <v>7</v>
      </c>
    </row>
    <row r="750" spans="15:19" x14ac:dyDescent="0.35">
      <c r="O750">
        <v>0</v>
      </c>
      <c r="P750" t="str">
        <v>Beenleigh</v>
      </c>
      <c r="Q750" t="s">
        <v>27</v>
      </c>
      <c r="R750" t="s">
        <v>0</v>
      </c>
      <c r="S750" t="s">
        <v>7</v>
      </c>
    </row>
    <row r="751" spans="15:19" x14ac:dyDescent="0.35">
      <c r="O751">
        <v>2</v>
      </c>
      <c r="P751" t="str">
        <v>Cairns</v>
      </c>
      <c r="Q751" t="s">
        <v>27</v>
      </c>
      <c r="R751" t="s">
        <v>0</v>
      </c>
      <c r="S751" t="s">
        <v>7</v>
      </c>
    </row>
    <row r="752" spans="15:19" x14ac:dyDescent="0.35">
      <c r="O752">
        <v>0</v>
      </c>
      <c r="P752" t="str">
        <v>Ipswich</v>
      </c>
      <c r="Q752" t="s">
        <v>27</v>
      </c>
      <c r="R752" t="s">
        <v>0</v>
      </c>
      <c r="S752" t="s">
        <v>7</v>
      </c>
    </row>
    <row r="753" spans="15:19" x14ac:dyDescent="0.35">
      <c r="O753">
        <v>0</v>
      </c>
      <c r="P753" t="str">
        <v>Maroochy</v>
      </c>
      <c r="Q753" t="s">
        <v>27</v>
      </c>
      <c r="R753" t="s">
        <v>0</v>
      </c>
      <c r="S753" t="s">
        <v>7</v>
      </c>
    </row>
    <row r="754" spans="15:19" x14ac:dyDescent="0.35">
      <c r="O754">
        <v>0</v>
      </c>
      <c r="P754" t="str">
        <v>Rockhampton</v>
      </c>
      <c r="Q754" t="s">
        <v>27</v>
      </c>
      <c r="R754" t="s">
        <v>0</v>
      </c>
      <c r="S754" t="s">
        <v>7</v>
      </c>
    </row>
    <row r="755" spans="15:19" x14ac:dyDescent="0.35">
      <c r="O755">
        <v>0</v>
      </c>
      <c r="P755" t="str">
        <v>Southport</v>
      </c>
      <c r="Q755" t="s">
        <v>27</v>
      </c>
      <c r="R755" t="s">
        <v>0</v>
      </c>
      <c r="S755" t="s">
        <v>7</v>
      </c>
    </row>
    <row r="756" spans="15:19" x14ac:dyDescent="0.35">
      <c r="O756">
        <v>0</v>
      </c>
      <c r="P756" t="str">
        <v>Toowoomba</v>
      </c>
      <c r="Q756" t="s">
        <v>27</v>
      </c>
      <c r="R756" t="s">
        <v>0</v>
      </c>
      <c r="S756" t="s">
        <v>7</v>
      </c>
    </row>
    <row r="757" spans="15:19" x14ac:dyDescent="0.35">
      <c r="O757">
        <v>0</v>
      </c>
      <c r="P757" t="str">
        <v>Townsville</v>
      </c>
      <c r="Q757" t="s">
        <v>27</v>
      </c>
      <c r="R757" t="s">
        <v>0</v>
      </c>
      <c r="S757" t="s">
        <v>7</v>
      </c>
    </row>
    <row r="758" spans="15:19" x14ac:dyDescent="0.35">
      <c r="O758">
        <v>532</v>
      </c>
      <c r="P758" t="str" cm="1">
        <f t="array" ref="P758:P766">TRANSPOSE(B1:J1)</f>
        <v>Brisbane</v>
      </c>
      <c r="Q758" t="s">
        <v>28</v>
      </c>
      <c r="R758" t="s">
        <v>0</v>
      </c>
      <c r="S758" t="s">
        <v>8</v>
      </c>
    </row>
    <row r="759" spans="15:19" x14ac:dyDescent="0.35">
      <c r="O759">
        <v>123</v>
      </c>
      <c r="P759" t="str">
        <v>Beenleigh</v>
      </c>
      <c r="Q759" t="s">
        <v>28</v>
      </c>
      <c r="R759" t="s">
        <v>0</v>
      </c>
      <c r="S759" t="s">
        <v>8</v>
      </c>
    </row>
    <row r="760" spans="15:19" x14ac:dyDescent="0.35">
      <c r="O760">
        <v>64</v>
      </c>
      <c r="P760" t="str">
        <v>Cairns</v>
      </c>
      <c r="Q760" t="s">
        <v>28</v>
      </c>
      <c r="R760" t="s">
        <v>0</v>
      </c>
      <c r="S760" t="s">
        <v>8</v>
      </c>
    </row>
    <row r="761" spans="15:19" x14ac:dyDescent="0.35">
      <c r="O761">
        <v>110</v>
      </c>
      <c r="P761" t="str">
        <v>Ipswich</v>
      </c>
      <c r="Q761" t="s">
        <v>28</v>
      </c>
      <c r="R761" t="s">
        <v>0</v>
      </c>
      <c r="S761" t="s">
        <v>8</v>
      </c>
    </row>
    <row r="762" spans="15:19" x14ac:dyDescent="0.35">
      <c r="O762">
        <v>59</v>
      </c>
      <c r="P762" t="str">
        <v>Maroochy</v>
      </c>
      <c r="Q762" t="s">
        <v>28</v>
      </c>
      <c r="R762" t="s">
        <v>0</v>
      </c>
      <c r="S762" t="s">
        <v>8</v>
      </c>
    </row>
    <row r="763" spans="15:19" x14ac:dyDescent="0.35">
      <c r="O763">
        <v>62</v>
      </c>
      <c r="P763" t="str">
        <v>Rockhampton</v>
      </c>
      <c r="Q763" t="s">
        <v>28</v>
      </c>
      <c r="R763" t="s">
        <v>0</v>
      </c>
      <c r="S763" t="s">
        <v>8</v>
      </c>
    </row>
    <row r="764" spans="15:19" x14ac:dyDescent="0.35">
      <c r="O764">
        <v>51</v>
      </c>
      <c r="P764" t="str">
        <v>Southport</v>
      </c>
      <c r="Q764" t="s">
        <v>28</v>
      </c>
      <c r="R764" t="s">
        <v>0</v>
      </c>
      <c r="S764" t="s">
        <v>8</v>
      </c>
    </row>
    <row r="765" spans="15:19" x14ac:dyDescent="0.35">
      <c r="O765">
        <v>26</v>
      </c>
      <c r="P765" t="str">
        <v>Toowoomba</v>
      </c>
      <c r="Q765" t="s">
        <v>28</v>
      </c>
      <c r="R765" t="s">
        <v>0</v>
      </c>
      <c r="S765" t="s">
        <v>8</v>
      </c>
    </row>
    <row r="766" spans="15:19" x14ac:dyDescent="0.35">
      <c r="O766">
        <v>143</v>
      </c>
      <c r="P766" t="str">
        <v>Townsville</v>
      </c>
      <c r="Q766" t="s">
        <v>28</v>
      </c>
      <c r="R766" t="s">
        <v>0</v>
      </c>
      <c r="S766" t="s">
        <v>8</v>
      </c>
    </row>
    <row r="767" spans="15:19" x14ac:dyDescent="0.35">
      <c r="O767">
        <v>202</v>
      </c>
      <c r="P767" t="str" cm="1">
        <f t="array" ref="P767:P775">TRANSPOSE(B1:J1)</f>
        <v>Brisbane</v>
      </c>
      <c r="Q767" t="s">
        <v>29</v>
      </c>
      <c r="R767" t="s">
        <v>0</v>
      </c>
      <c r="S767" t="s">
        <v>8</v>
      </c>
    </row>
    <row r="768" spans="15:19" x14ac:dyDescent="0.35">
      <c r="O768">
        <v>16</v>
      </c>
      <c r="P768" t="str">
        <v>Beenleigh</v>
      </c>
      <c r="Q768" t="s">
        <v>29</v>
      </c>
      <c r="R768" t="s">
        <v>0</v>
      </c>
      <c r="S768" t="s">
        <v>8</v>
      </c>
    </row>
    <row r="769" spans="15:19" x14ac:dyDescent="0.35">
      <c r="O769">
        <v>32</v>
      </c>
      <c r="P769" t="str">
        <v>Cairns</v>
      </c>
      <c r="Q769" t="s">
        <v>29</v>
      </c>
      <c r="R769" t="s">
        <v>0</v>
      </c>
      <c r="S769" t="s">
        <v>8</v>
      </c>
    </row>
    <row r="770" spans="15:19" x14ac:dyDescent="0.35">
      <c r="O770">
        <v>23</v>
      </c>
      <c r="P770" t="str">
        <v>Ipswich</v>
      </c>
      <c r="Q770" t="s">
        <v>29</v>
      </c>
      <c r="R770" t="s">
        <v>0</v>
      </c>
      <c r="S770" t="s">
        <v>8</v>
      </c>
    </row>
    <row r="771" spans="15:19" x14ac:dyDescent="0.35">
      <c r="O771">
        <v>19</v>
      </c>
      <c r="P771" t="str">
        <v>Maroochy</v>
      </c>
      <c r="Q771" t="s">
        <v>29</v>
      </c>
      <c r="R771" t="s">
        <v>0</v>
      </c>
      <c r="S771" t="s">
        <v>8</v>
      </c>
    </row>
    <row r="772" spans="15:19" x14ac:dyDescent="0.35">
      <c r="O772">
        <v>26</v>
      </c>
      <c r="P772" t="str">
        <v>Rockhampton</v>
      </c>
      <c r="Q772" t="s">
        <v>29</v>
      </c>
      <c r="R772" t="s">
        <v>0</v>
      </c>
      <c r="S772" t="s">
        <v>8</v>
      </c>
    </row>
    <row r="773" spans="15:19" x14ac:dyDescent="0.35">
      <c r="O773">
        <v>20</v>
      </c>
      <c r="P773" t="str">
        <v>Southport</v>
      </c>
      <c r="Q773" t="s">
        <v>29</v>
      </c>
      <c r="R773" t="s">
        <v>0</v>
      </c>
      <c r="S773" t="s">
        <v>8</v>
      </c>
    </row>
    <row r="774" spans="15:19" x14ac:dyDescent="0.35">
      <c r="O774">
        <v>7</v>
      </c>
      <c r="P774" t="str">
        <v>Toowoomba</v>
      </c>
      <c r="Q774" t="s">
        <v>29</v>
      </c>
      <c r="R774" t="s">
        <v>0</v>
      </c>
      <c r="S774" t="s">
        <v>8</v>
      </c>
    </row>
    <row r="775" spans="15:19" x14ac:dyDescent="0.35">
      <c r="O775">
        <v>35</v>
      </c>
      <c r="P775" t="str">
        <v>Townsville</v>
      </c>
      <c r="Q775" t="s">
        <v>29</v>
      </c>
      <c r="R775" t="s">
        <v>0</v>
      </c>
      <c r="S775" t="s">
        <v>8</v>
      </c>
    </row>
    <row r="776" spans="15:19" x14ac:dyDescent="0.35">
      <c r="O776">
        <v>117</v>
      </c>
      <c r="P776" t="str" cm="1">
        <f t="array" ref="P776:P784">TRANSPOSE(B1:J1)</f>
        <v>Brisbane</v>
      </c>
      <c r="Q776" t="s">
        <v>30</v>
      </c>
      <c r="R776" t="s">
        <v>0</v>
      </c>
      <c r="S776" t="s">
        <v>8</v>
      </c>
    </row>
    <row r="777" spans="15:19" x14ac:dyDescent="0.35">
      <c r="O777">
        <v>13</v>
      </c>
      <c r="P777" t="str">
        <v>Beenleigh</v>
      </c>
      <c r="Q777" t="s">
        <v>30</v>
      </c>
      <c r="R777" t="s">
        <v>0</v>
      </c>
      <c r="S777" t="s">
        <v>8</v>
      </c>
    </row>
    <row r="778" spans="15:19" x14ac:dyDescent="0.35">
      <c r="O778">
        <v>14</v>
      </c>
      <c r="P778" t="str">
        <v>Cairns</v>
      </c>
      <c r="Q778" t="s">
        <v>30</v>
      </c>
      <c r="R778" t="s">
        <v>0</v>
      </c>
      <c r="S778" t="s">
        <v>8</v>
      </c>
    </row>
    <row r="779" spans="15:19" x14ac:dyDescent="0.35">
      <c r="O779">
        <v>14</v>
      </c>
      <c r="P779" t="str">
        <v>Ipswich</v>
      </c>
      <c r="Q779" t="s">
        <v>30</v>
      </c>
      <c r="R779" t="s">
        <v>0</v>
      </c>
      <c r="S779" t="s">
        <v>8</v>
      </c>
    </row>
    <row r="780" spans="15:19" x14ac:dyDescent="0.35">
      <c r="O780">
        <v>24</v>
      </c>
      <c r="P780" t="str">
        <v>Maroochy</v>
      </c>
      <c r="Q780" t="s">
        <v>30</v>
      </c>
      <c r="R780" t="s">
        <v>0</v>
      </c>
      <c r="S780" t="s">
        <v>8</v>
      </c>
    </row>
    <row r="781" spans="15:19" x14ac:dyDescent="0.35">
      <c r="O781">
        <v>20</v>
      </c>
      <c r="P781" t="str">
        <v>Rockhampton</v>
      </c>
      <c r="Q781" t="s">
        <v>30</v>
      </c>
      <c r="R781" t="s">
        <v>0</v>
      </c>
      <c r="S781" t="s">
        <v>8</v>
      </c>
    </row>
    <row r="782" spans="15:19" x14ac:dyDescent="0.35">
      <c r="O782">
        <v>5</v>
      </c>
      <c r="P782" t="str">
        <v>Southport</v>
      </c>
      <c r="Q782" t="s">
        <v>30</v>
      </c>
      <c r="R782" t="s">
        <v>0</v>
      </c>
      <c r="S782" t="s">
        <v>8</v>
      </c>
    </row>
    <row r="783" spans="15:19" x14ac:dyDescent="0.35">
      <c r="O783">
        <v>97</v>
      </c>
      <c r="P783" t="str">
        <v>Toowoomba</v>
      </c>
      <c r="Q783" t="s">
        <v>30</v>
      </c>
      <c r="R783" t="s">
        <v>0</v>
      </c>
      <c r="S783" t="s">
        <v>8</v>
      </c>
    </row>
    <row r="784" spans="15:19" x14ac:dyDescent="0.35">
      <c r="O784">
        <v>12</v>
      </c>
      <c r="P784" t="str">
        <v>Townsville</v>
      </c>
      <c r="Q784" t="s">
        <v>30</v>
      </c>
      <c r="R784" t="s">
        <v>0</v>
      </c>
      <c r="S784" t="s">
        <v>8</v>
      </c>
    </row>
    <row r="785" spans="15:19" x14ac:dyDescent="0.35">
      <c r="O785">
        <v>49</v>
      </c>
      <c r="P785" t="str" cm="1">
        <f t="array" ref="P785:P793">TRANSPOSE(B1:J1)</f>
        <v>Brisbane</v>
      </c>
      <c r="Q785" t="s">
        <v>31</v>
      </c>
      <c r="R785" t="s">
        <v>0</v>
      </c>
      <c r="S785" t="s">
        <v>8</v>
      </c>
    </row>
    <row r="786" spans="15:19" x14ac:dyDescent="0.35">
      <c r="O786">
        <v>5</v>
      </c>
      <c r="P786" t="str">
        <v>Beenleigh</v>
      </c>
      <c r="Q786" t="s">
        <v>31</v>
      </c>
      <c r="R786" t="s">
        <v>0</v>
      </c>
      <c r="S786" t="s">
        <v>8</v>
      </c>
    </row>
    <row r="787" spans="15:19" x14ac:dyDescent="0.35">
      <c r="O787">
        <v>8</v>
      </c>
      <c r="P787" t="str">
        <v>Cairns</v>
      </c>
      <c r="Q787" t="s">
        <v>31</v>
      </c>
      <c r="R787" t="s">
        <v>0</v>
      </c>
      <c r="S787" t="s">
        <v>8</v>
      </c>
    </row>
    <row r="788" spans="15:19" x14ac:dyDescent="0.35">
      <c r="O788">
        <v>6</v>
      </c>
      <c r="P788" t="str">
        <v>Ipswich</v>
      </c>
      <c r="Q788" t="s">
        <v>31</v>
      </c>
      <c r="R788" t="s">
        <v>0</v>
      </c>
      <c r="S788" t="s">
        <v>8</v>
      </c>
    </row>
    <row r="789" spans="15:19" x14ac:dyDescent="0.35">
      <c r="O789">
        <v>5</v>
      </c>
      <c r="P789" t="str">
        <v>Maroochy</v>
      </c>
      <c r="Q789" t="s">
        <v>31</v>
      </c>
      <c r="R789" t="s">
        <v>0</v>
      </c>
      <c r="S789" t="s">
        <v>8</v>
      </c>
    </row>
    <row r="790" spans="15:19" x14ac:dyDescent="0.35">
      <c r="O790">
        <v>0</v>
      </c>
      <c r="P790" t="str">
        <v>Rockhampton</v>
      </c>
      <c r="Q790" t="s">
        <v>31</v>
      </c>
      <c r="R790" t="s">
        <v>0</v>
      </c>
      <c r="S790" t="s">
        <v>8</v>
      </c>
    </row>
    <row r="791" spans="15:19" x14ac:dyDescent="0.35">
      <c r="O791">
        <v>1</v>
      </c>
      <c r="P791" t="str">
        <v>Southport</v>
      </c>
      <c r="Q791" t="s">
        <v>31</v>
      </c>
      <c r="R791" t="s">
        <v>0</v>
      </c>
      <c r="S791" t="s">
        <v>8</v>
      </c>
    </row>
    <row r="792" spans="15:19" x14ac:dyDescent="0.35">
      <c r="O792">
        <v>0</v>
      </c>
      <c r="P792" t="str">
        <v>Toowoomba</v>
      </c>
      <c r="Q792" t="s">
        <v>31</v>
      </c>
      <c r="R792" t="s">
        <v>0</v>
      </c>
      <c r="S792" t="s">
        <v>8</v>
      </c>
    </row>
    <row r="793" spans="15:19" x14ac:dyDescent="0.35">
      <c r="O793">
        <v>6</v>
      </c>
      <c r="P793" t="str">
        <v>Townsville</v>
      </c>
      <c r="Q793" t="s">
        <v>31</v>
      </c>
      <c r="R793" t="s">
        <v>0</v>
      </c>
      <c r="S793" t="s">
        <v>8</v>
      </c>
    </row>
    <row r="794" spans="15:19" x14ac:dyDescent="0.35">
      <c r="O794">
        <v>1626</v>
      </c>
      <c r="P794" t="str" cm="1">
        <f t="array" ref="P794:P802">TRANSPOSE(B1:J1)</f>
        <v>Brisbane</v>
      </c>
      <c r="Q794" t="s">
        <v>32</v>
      </c>
      <c r="R794" t="s">
        <v>0</v>
      </c>
      <c r="S794" t="s">
        <v>8</v>
      </c>
    </row>
    <row r="795" spans="15:19" x14ac:dyDescent="0.35">
      <c r="O795">
        <v>186</v>
      </c>
      <c r="P795" t="str">
        <v>Beenleigh</v>
      </c>
      <c r="Q795" t="s">
        <v>32</v>
      </c>
      <c r="R795" t="s">
        <v>0</v>
      </c>
      <c r="S795" t="s">
        <v>8</v>
      </c>
    </row>
    <row r="796" spans="15:19" x14ac:dyDescent="0.35">
      <c r="O796">
        <v>167</v>
      </c>
      <c r="P796" t="str">
        <v>Cairns</v>
      </c>
      <c r="Q796" t="s">
        <v>32</v>
      </c>
      <c r="R796" t="s">
        <v>0</v>
      </c>
      <c r="S796" t="s">
        <v>8</v>
      </c>
    </row>
    <row r="797" spans="15:19" x14ac:dyDescent="0.35">
      <c r="O797">
        <v>246</v>
      </c>
      <c r="P797" t="str">
        <v>Ipswich</v>
      </c>
      <c r="Q797" t="s">
        <v>32</v>
      </c>
      <c r="R797" t="s">
        <v>0</v>
      </c>
      <c r="S797" t="s">
        <v>8</v>
      </c>
    </row>
    <row r="798" spans="15:19" x14ac:dyDescent="0.35">
      <c r="O798">
        <v>266</v>
      </c>
      <c r="P798" t="str">
        <v>Maroochy</v>
      </c>
      <c r="Q798" t="s">
        <v>32</v>
      </c>
      <c r="R798" t="s">
        <v>0</v>
      </c>
      <c r="S798" t="s">
        <v>8</v>
      </c>
    </row>
    <row r="799" spans="15:19" x14ac:dyDescent="0.35">
      <c r="O799">
        <v>118</v>
      </c>
      <c r="P799" t="str">
        <v>Rockhampton</v>
      </c>
      <c r="Q799" t="s">
        <v>32</v>
      </c>
      <c r="R799" t="s">
        <v>0</v>
      </c>
      <c r="S799" t="s">
        <v>8</v>
      </c>
    </row>
    <row r="800" spans="15:19" x14ac:dyDescent="0.35">
      <c r="O800">
        <v>89</v>
      </c>
      <c r="P800" t="str">
        <v>Southport</v>
      </c>
      <c r="Q800" t="s">
        <v>32</v>
      </c>
      <c r="R800" t="s">
        <v>0</v>
      </c>
      <c r="S800" t="s">
        <v>8</v>
      </c>
    </row>
    <row r="801" spans="15:19" x14ac:dyDescent="0.35">
      <c r="O801">
        <v>63</v>
      </c>
      <c r="P801" t="str">
        <v>Toowoomba</v>
      </c>
      <c r="Q801" t="s">
        <v>32</v>
      </c>
      <c r="R801" t="s">
        <v>0</v>
      </c>
      <c r="S801" t="s">
        <v>8</v>
      </c>
    </row>
    <row r="802" spans="15:19" x14ac:dyDescent="0.35">
      <c r="O802">
        <v>243</v>
      </c>
      <c r="P802" t="str">
        <v>Townsville</v>
      </c>
      <c r="Q802" t="s">
        <v>32</v>
      </c>
      <c r="R802" t="s">
        <v>0</v>
      </c>
      <c r="S802" t="s">
        <v>8</v>
      </c>
    </row>
    <row r="803" spans="15:19" x14ac:dyDescent="0.35">
      <c r="O803">
        <v>955</v>
      </c>
      <c r="P803" t="str" cm="1">
        <f t="array" ref="P803:P811">TRANSPOSE(B1:J1)</f>
        <v>Brisbane</v>
      </c>
      <c r="Q803" t="s">
        <v>33</v>
      </c>
      <c r="R803" t="s">
        <v>0</v>
      </c>
      <c r="S803" t="s">
        <v>8</v>
      </c>
    </row>
    <row r="804" spans="15:19" x14ac:dyDescent="0.35">
      <c r="O804">
        <v>56</v>
      </c>
      <c r="P804" t="str">
        <v>Beenleigh</v>
      </c>
      <c r="Q804" t="s">
        <v>33</v>
      </c>
      <c r="R804" t="s">
        <v>0</v>
      </c>
      <c r="S804" t="s">
        <v>8</v>
      </c>
    </row>
    <row r="805" spans="15:19" x14ac:dyDescent="0.35">
      <c r="O805">
        <v>109</v>
      </c>
      <c r="P805" t="str">
        <v>Cairns</v>
      </c>
      <c r="Q805" t="s">
        <v>33</v>
      </c>
      <c r="R805" t="s">
        <v>0</v>
      </c>
      <c r="S805" t="s">
        <v>8</v>
      </c>
    </row>
    <row r="806" spans="15:19" x14ac:dyDescent="0.35">
      <c r="O806">
        <v>154</v>
      </c>
      <c r="P806" t="str">
        <v>Ipswich</v>
      </c>
      <c r="Q806" t="s">
        <v>33</v>
      </c>
      <c r="R806" t="s">
        <v>0</v>
      </c>
      <c r="S806" t="s">
        <v>8</v>
      </c>
    </row>
    <row r="807" spans="15:19" x14ac:dyDescent="0.35">
      <c r="O807">
        <v>45</v>
      </c>
      <c r="P807" t="str">
        <v>Maroochy</v>
      </c>
      <c r="Q807" t="s">
        <v>33</v>
      </c>
      <c r="R807" t="s">
        <v>0</v>
      </c>
      <c r="S807" t="s">
        <v>8</v>
      </c>
    </row>
    <row r="808" spans="15:19" x14ac:dyDescent="0.35">
      <c r="O808">
        <v>65</v>
      </c>
      <c r="P808" t="str">
        <v>Rockhampton</v>
      </c>
      <c r="Q808" t="s">
        <v>33</v>
      </c>
      <c r="R808" t="s">
        <v>0</v>
      </c>
      <c r="S808" t="s">
        <v>8</v>
      </c>
    </row>
    <row r="809" spans="15:19" x14ac:dyDescent="0.35">
      <c r="O809">
        <v>129</v>
      </c>
      <c r="P809" t="str">
        <v>Southport</v>
      </c>
      <c r="Q809" t="s">
        <v>33</v>
      </c>
      <c r="R809" t="s">
        <v>0</v>
      </c>
      <c r="S809" t="s">
        <v>8</v>
      </c>
    </row>
    <row r="810" spans="15:19" x14ac:dyDescent="0.35">
      <c r="O810">
        <v>62</v>
      </c>
      <c r="P810" t="str">
        <v>Toowoomba</v>
      </c>
      <c r="Q810" t="s">
        <v>33</v>
      </c>
      <c r="R810" t="s">
        <v>0</v>
      </c>
      <c r="S810" t="s">
        <v>8</v>
      </c>
    </row>
    <row r="811" spans="15:19" x14ac:dyDescent="0.35">
      <c r="O811">
        <v>309</v>
      </c>
      <c r="P811" t="str">
        <v>Townsville</v>
      </c>
      <c r="Q811" t="s">
        <v>33</v>
      </c>
      <c r="R811" t="s">
        <v>0</v>
      </c>
      <c r="S811" t="s">
        <v>8</v>
      </c>
    </row>
    <row r="812" spans="15:19" x14ac:dyDescent="0.35">
      <c r="O812">
        <v>255</v>
      </c>
      <c r="P812" t="str" cm="1">
        <f t="array" ref="P812:P820">TRANSPOSE(B1:J1)</f>
        <v>Brisbane</v>
      </c>
      <c r="Q812" t="s">
        <v>34</v>
      </c>
      <c r="R812" t="s">
        <v>0</v>
      </c>
      <c r="S812" t="s">
        <v>8</v>
      </c>
    </row>
    <row r="813" spans="15:19" x14ac:dyDescent="0.35">
      <c r="O813">
        <v>27</v>
      </c>
      <c r="P813" t="str">
        <v>Beenleigh</v>
      </c>
      <c r="Q813" t="s">
        <v>34</v>
      </c>
      <c r="R813" t="s">
        <v>0</v>
      </c>
      <c r="S813" t="s">
        <v>8</v>
      </c>
    </row>
    <row r="814" spans="15:19" x14ac:dyDescent="0.35">
      <c r="O814">
        <v>143</v>
      </c>
      <c r="P814" t="str">
        <v>Cairns</v>
      </c>
      <c r="Q814" t="s">
        <v>34</v>
      </c>
      <c r="R814" t="s">
        <v>0</v>
      </c>
      <c r="S814" t="s">
        <v>8</v>
      </c>
    </row>
    <row r="815" spans="15:19" x14ac:dyDescent="0.35">
      <c r="O815">
        <v>24</v>
      </c>
      <c r="P815" t="str">
        <v>Ipswich</v>
      </c>
      <c r="Q815" t="s">
        <v>34</v>
      </c>
      <c r="R815" t="s">
        <v>0</v>
      </c>
      <c r="S815" t="s">
        <v>8</v>
      </c>
    </row>
    <row r="816" spans="15:19" x14ac:dyDescent="0.35">
      <c r="O816">
        <v>16</v>
      </c>
      <c r="P816" t="str">
        <v>Maroochy</v>
      </c>
      <c r="Q816" t="s">
        <v>34</v>
      </c>
      <c r="R816" t="s">
        <v>0</v>
      </c>
      <c r="S816" t="s">
        <v>8</v>
      </c>
    </row>
    <row r="817" spans="15:19" x14ac:dyDescent="0.35">
      <c r="O817">
        <v>24</v>
      </c>
      <c r="P817" t="str">
        <v>Rockhampton</v>
      </c>
      <c r="Q817" t="s">
        <v>34</v>
      </c>
      <c r="R817" t="s">
        <v>0</v>
      </c>
      <c r="S817" t="s">
        <v>8</v>
      </c>
    </row>
    <row r="818" spans="15:19" x14ac:dyDescent="0.35">
      <c r="O818">
        <v>11</v>
      </c>
      <c r="P818" t="str">
        <v>Southport</v>
      </c>
      <c r="Q818" t="s">
        <v>34</v>
      </c>
      <c r="R818" t="s">
        <v>0</v>
      </c>
      <c r="S818" t="s">
        <v>8</v>
      </c>
    </row>
    <row r="819" spans="15:19" x14ac:dyDescent="0.35">
      <c r="O819">
        <v>49</v>
      </c>
      <c r="P819" t="str">
        <v>Toowoomba</v>
      </c>
      <c r="Q819" t="s">
        <v>34</v>
      </c>
      <c r="R819" t="s">
        <v>0</v>
      </c>
      <c r="S819" t="s">
        <v>8</v>
      </c>
    </row>
    <row r="820" spans="15:19" x14ac:dyDescent="0.35">
      <c r="O820">
        <v>42</v>
      </c>
      <c r="P820" t="str">
        <v>Townsville</v>
      </c>
      <c r="Q820" t="s">
        <v>34</v>
      </c>
      <c r="R820" t="s">
        <v>0</v>
      </c>
      <c r="S820" t="s">
        <v>8</v>
      </c>
    </row>
  </sheetData>
  <phoneticPr fontId="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30543-7542-4222-8DC1-26BABD41E8E3}">
  <sheetPr codeName="Sheet3"/>
  <dimension ref="A1:I11"/>
  <sheetViews>
    <sheetView workbookViewId="0">
      <selection activeCell="L41" sqref="L41"/>
    </sheetView>
  </sheetViews>
  <sheetFormatPr defaultRowHeight="14.5" x14ac:dyDescent="0.35"/>
  <cols>
    <col min="1" max="1" width="12.36328125" bestFit="1" customWidth="1"/>
    <col min="2" max="2" width="15.90625" bestFit="1" customWidth="1"/>
    <col min="3" max="3" width="15.26953125" bestFit="1" customWidth="1"/>
    <col min="4" max="4" width="17.81640625" bestFit="1" customWidth="1"/>
    <col min="5" max="5" width="15.7265625" bestFit="1" customWidth="1"/>
    <col min="6" max="6" width="13.453125" bestFit="1" customWidth="1"/>
    <col min="7" max="7" width="12.26953125" bestFit="1" customWidth="1"/>
    <col min="8" max="8" width="19" bestFit="1" customWidth="1"/>
    <col min="9" max="10" width="15.6328125" bestFit="1" customWidth="1"/>
  </cols>
  <sheetData>
    <row r="1" spans="1:9" x14ac:dyDescent="0.35">
      <c r="A1" s="2" t="s">
        <v>44</v>
      </c>
      <c r="B1" t="s">
        <v>47</v>
      </c>
    </row>
    <row r="3" spans="1:9" x14ac:dyDescent="0.35">
      <c r="A3" s="2" t="s">
        <v>46</v>
      </c>
      <c r="B3" t="s">
        <v>56</v>
      </c>
      <c r="C3" t="s">
        <v>49</v>
      </c>
      <c r="D3" t="s">
        <v>55</v>
      </c>
      <c r="E3" t="s">
        <v>54</v>
      </c>
      <c r="F3" t="s">
        <v>51</v>
      </c>
      <c r="G3" t="s">
        <v>50</v>
      </c>
      <c r="H3" t="s">
        <v>53</v>
      </c>
      <c r="I3" t="s">
        <v>52</v>
      </c>
    </row>
    <row r="4" spans="1:9" x14ac:dyDescent="0.35">
      <c r="A4" s="3" t="s">
        <v>0</v>
      </c>
      <c r="B4">
        <v>802</v>
      </c>
      <c r="C4">
        <v>430</v>
      </c>
      <c r="D4">
        <v>308</v>
      </c>
      <c r="E4">
        <v>306</v>
      </c>
      <c r="F4">
        <v>589</v>
      </c>
      <c r="G4">
        <v>548</v>
      </c>
      <c r="H4">
        <v>332</v>
      </c>
      <c r="I4">
        <v>445</v>
      </c>
    </row>
    <row r="5" spans="1:9" x14ac:dyDescent="0.35">
      <c r="A5" s="3" t="s">
        <v>1</v>
      </c>
      <c r="B5">
        <v>674</v>
      </c>
      <c r="C5">
        <v>552</v>
      </c>
      <c r="D5">
        <v>282</v>
      </c>
      <c r="E5">
        <v>455</v>
      </c>
      <c r="F5">
        <v>684</v>
      </c>
      <c r="G5">
        <v>515</v>
      </c>
      <c r="H5">
        <v>448</v>
      </c>
      <c r="I5">
        <v>718</v>
      </c>
    </row>
    <row r="6" spans="1:9" x14ac:dyDescent="0.35">
      <c r="A6" s="3" t="s">
        <v>2</v>
      </c>
      <c r="B6">
        <v>391</v>
      </c>
      <c r="C6">
        <v>443</v>
      </c>
      <c r="D6">
        <v>218</v>
      </c>
      <c r="E6">
        <v>294</v>
      </c>
      <c r="F6">
        <v>522</v>
      </c>
      <c r="G6">
        <v>514</v>
      </c>
      <c r="H6">
        <v>788</v>
      </c>
      <c r="I6">
        <v>351</v>
      </c>
    </row>
    <row r="7" spans="1:9" x14ac:dyDescent="0.35">
      <c r="A7" s="3" t="s">
        <v>3</v>
      </c>
      <c r="B7">
        <v>822</v>
      </c>
      <c r="C7">
        <v>406</v>
      </c>
      <c r="D7">
        <v>192</v>
      </c>
      <c r="E7">
        <v>475</v>
      </c>
      <c r="F7">
        <v>626</v>
      </c>
      <c r="G7">
        <v>423</v>
      </c>
      <c r="H7">
        <v>704</v>
      </c>
      <c r="I7">
        <v>415</v>
      </c>
    </row>
    <row r="8" spans="1:9" x14ac:dyDescent="0.35">
      <c r="A8" s="3" t="s">
        <v>4</v>
      </c>
      <c r="B8">
        <v>761</v>
      </c>
      <c r="C8">
        <v>637</v>
      </c>
      <c r="D8">
        <v>109</v>
      </c>
      <c r="E8">
        <v>452</v>
      </c>
      <c r="F8">
        <v>823</v>
      </c>
      <c r="G8">
        <v>468</v>
      </c>
      <c r="H8">
        <v>547</v>
      </c>
      <c r="I8">
        <v>508</v>
      </c>
    </row>
    <row r="9" spans="1:9" x14ac:dyDescent="0.35">
      <c r="A9" s="3" t="s">
        <v>5</v>
      </c>
      <c r="B9">
        <v>777</v>
      </c>
      <c r="C9">
        <v>628</v>
      </c>
      <c r="D9">
        <v>427</v>
      </c>
      <c r="E9">
        <v>565</v>
      </c>
      <c r="F9">
        <v>595</v>
      </c>
      <c r="G9">
        <v>532</v>
      </c>
      <c r="H9">
        <v>501</v>
      </c>
      <c r="I9">
        <v>546</v>
      </c>
    </row>
    <row r="10" spans="1:9" x14ac:dyDescent="0.35">
      <c r="A10" s="3" t="s">
        <v>6</v>
      </c>
      <c r="B10">
        <v>571</v>
      </c>
      <c r="C10">
        <v>545</v>
      </c>
      <c r="D10">
        <v>603</v>
      </c>
      <c r="E10">
        <v>576</v>
      </c>
      <c r="F10">
        <v>598</v>
      </c>
      <c r="G10">
        <v>579</v>
      </c>
      <c r="H10">
        <v>480</v>
      </c>
      <c r="I10">
        <v>493</v>
      </c>
    </row>
    <row r="11" spans="1:9" x14ac:dyDescent="0.35">
      <c r="A11" s="3" t="s">
        <v>21</v>
      </c>
      <c r="B11">
        <v>4798</v>
      </c>
      <c r="C11">
        <v>3641</v>
      </c>
      <c r="D11">
        <v>2139</v>
      </c>
      <c r="E11">
        <v>3123</v>
      </c>
      <c r="F11">
        <v>4437</v>
      </c>
      <c r="G11">
        <v>3579</v>
      </c>
      <c r="H11">
        <v>3800</v>
      </c>
      <c r="I11">
        <v>3476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3F223-346E-4285-B122-F74CDED84F8A}">
  <sheetPr codeName="Sheet4"/>
  <dimension ref="A1:AS92"/>
  <sheetViews>
    <sheetView workbookViewId="0">
      <selection activeCell="S5" sqref="S5:AA14"/>
    </sheetView>
  </sheetViews>
  <sheetFormatPr defaultRowHeight="14.5" x14ac:dyDescent="0.35"/>
  <cols>
    <col min="2" max="2" width="14.08984375" bestFit="1" customWidth="1"/>
    <col min="3" max="3" width="27.1796875" bestFit="1" customWidth="1"/>
    <col min="4" max="4" width="8.1796875" bestFit="1" customWidth="1"/>
    <col min="5" max="5" width="9" bestFit="1" customWidth="1"/>
    <col min="6" max="6" width="6.36328125" bestFit="1" customWidth="1"/>
    <col min="7" max="7" width="7.1796875" bestFit="1" customWidth="1"/>
    <col min="8" max="8" width="9.36328125" bestFit="1" customWidth="1"/>
    <col min="9" max="9" width="12.6328125" bestFit="1" customWidth="1"/>
    <col min="10" max="10" width="9.453125" bestFit="1" customWidth="1"/>
    <col min="11" max="11" width="11.453125" bestFit="1" customWidth="1"/>
    <col min="12" max="12" width="9.6328125" bestFit="1" customWidth="1"/>
    <col min="13" max="13" width="10.90625" bestFit="1" customWidth="1"/>
    <col min="14" max="14" width="11.90625" customWidth="1"/>
    <col min="15" max="15" width="16.90625" customWidth="1"/>
    <col min="19" max="19" width="27.1796875" bestFit="1" customWidth="1"/>
    <col min="20" max="23" width="11.81640625" bestFit="1" customWidth="1"/>
    <col min="24" max="24" width="12.453125" bestFit="1" customWidth="1"/>
    <col min="25" max="26" width="11.81640625" bestFit="1" customWidth="1"/>
    <col min="27" max="27" width="7.81640625" bestFit="1" customWidth="1"/>
    <col min="42" max="42" width="14.90625" customWidth="1"/>
    <col min="43" max="43" width="12" customWidth="1"/>
  </cols>
  <sheetData>
    <row r="1" spans="1:43" ht="42.5" customHeight="1" thickBot="1" x14ac:dyDescent="0.4">
      <c r="C1" s="1" t="s">
        <v>9</v>
      </c>
      <c r="D1" s="1" t="s">
        <v>10</v>
      </c>
      <c r="E1" s="1" t="s">
        <v>11</v>
      </c>
      <c r="F1" s="1" t="s">
        <v>12</v>
      </c>
      <c r="G1" s="1" t="s">
        <v>13</v>
      </c>
      <c r="H1" s="1" t="s">
        <v>14</v>
      </c>
      <c r="I1" s="1" t="s">
        <v>15</v>
      </c>
      <c r="J1" s="1" t="s">
        <v>16</v>
      </c>
      <c r="K1" s="1" t="s">
        <v>17</v>
      </c>
      <c r="L1" s="1" t="s">
        <v>18</v>
      </c>
      <c r="M1" s="1" t="s">
        <v>62</v>
      </c>
      <c r="N1" s="1" t="s">
        <v>45</v>
      </c>
      <c r="O1" s="1" t="s">
        <v>44</v>
      </c>
    </row>
    <row r="2" spans="1:43" ht="15" thickBot="1" x14ac:dyDescent="0.4">
      <c r="A2" s="181" t="s">
        <v>6</v>
      </c>
      <c r="B2" s="164" t="s">
        <v>7</v>
      </c>
      <c r="C2" s="7" t="s">
        <v>22</v>
      </c>
      <c r="D2" s="81">
        <f>'Raw Data Totals'!D2/S$31</f>
        <v>4.3897431261403552</v>
      </c>
      <c r="E2" s="81">
        <f>'Raw Data Totals'!E2/T$31</f>
        <v>11.3314447592068</v>
      </c>
      <c r="F2" s="81">
        <f>'Raw Data Totals'!F2/U$31</f>
        <v>1.507352109916116</v>
      </c>
      <c r="G2" s="81">
        <f>'Raw Data Totals'!G2/V$31</f>
        <v>2.2651595804924458</v>
      </c>
      <c r="H2" s="81">
        <f>'Raw Data Totals'!H2/W$31</f>
        <v>1.4976785981728322</v>
      </c>
      <c r="I2" s="81">
        <f>'Raw Data Totals'!I2/X$31</f>
        <v>0.79099530939781526</v>
      </c>
      <c r="J2" s="81">
        <f>'Raw Data Totals'!J2/Y$31</f>
        <v>0</v>
      </c>
      <c r="K2" s="81">
        <f>'Raw Data Totals'!K2/Z$31</f>
        <v>2.34203007166612</v>
      </c>
      <c r="L2" s="81">
        <f>'Raw Data Totals'!L2/AA$31</f>
        <v>2.4610538232471142</v>
      </c>
      <c r="M2" s="81">
        <f t="shared" ref="M2:M7" si="0">AVERAGE(D2:L2)</f>
        <v>2.953939708693289</v>
      </c>
      <c r="N2" s="161" t="s">
        <v>6</v>
      </c>
      <c r="O2" s="109" t="s">
        <v>7</v>
      </c>
      <c r="P2">
        <f t="shared" ref="P2:P7" si="1">AVERAGE(D2:L2)</f>
        <v>2.953939708693289</v>
      </c>
      <c r="AC2" s="1"/>
      <c r="AD2" s="1"/>
      <c r="AE2" s="1"/>
      <c r="AF2" s="1"/>
      <c r="AG2" s="1"/>
      <c r="AH2" s="1"/>
      <c r="AI2" s="1"/>
      <c r="AJ2" s="1"/>
      <c r="AK2" s="1"/>
    </row>
    <row r="3" spans="1:43" ht="15.5" customHeight="1" x14ac:dyDescent="0.35">
      <c r="A3" s="181"/>
      <c r="B3" s="165"/>
      <c r="C3" s="10" t="s">
        <v>23</v>
      </c>
      <c r="D3" s="82">
        <f>'Raw Data Totals'!D3/S$31</f>
        <v>4.3462803229112428</v>
      </c>
      <c r="E3" s="82">
        <f>'Raw Data Totals'!E3/T$31</f>
        <v>0</v>
      </c>
      <c r="F3" s="82">
        <f>'Raw Data Totals'!F3/U$31</f>
        <v>0</v>
      </c>
      <c r="G3" s="82">
        <f>'Raw Data Totals'!G3/V$31</f>
        <v>2.5168439783249394</v>
      </c>
      <c r="H3" s="82">
        <f>'Raw Data Totals'!H3/W$31</f>
        <v>1.4976785981728322</v>
      </c>
      <c r="I3" s="82">
        <f>'Raw Data Totals'!I3/X$31</f>
        <v>3.9549765469890765</v>
      </c>
      <c r="J3" s="82">
        <f>'Raw Data Totals'!J3/Y$31</f>
        <v>0</v>
      </c>
      <c r="K3" s="82">
        <f>'Raw Data Totals'!K3/Z$31</f>
        <v>0.58550751791653</v>
      </c>
      <c r="L3" s="82">
        <f>'Raw Data Totals'!L3/AA$31</f>
        <v>0.82035127441570477</v>
      </c>
      <c r="M3" s="82">
        <f t="shared" si="0"/>
        <v>1.5246264709700363</v>
      </c>
      <c r="N3" s="11" t="s">
        <v>6</v>
      </c>
      <c r="O3" s="110" t="s">
        <v>7</v>
      </c>
      <c r="P3">
        <f t="shared" si="1"/>
        <v>1.5246264709700363</v>
      </c>
      <c r="S3" s="183" t="s">
        <v>60</v>
      </c>
      <c r="T3" s="184"/>
      <c r="U3" s="184"/>
      <c r="V3" s="184"/>
      <c r="W3" s="184"/>
      <c r="X3" s="184"/>
      <c r="Y3" s="184"/>
      <c r="Z3" s="184"/>
      <c r="AA3" s="185"/>
      <c r="AC3" s="183" t="s">
        <v>87</v>
      </c>
      <c r="AD3" s="184"/>
      <c r="AE3" s="184"/>
      <c r="AF3" s="184"/>
      <c r="AG3" s="184"/>
      <c r="AH3" s="184"/>
      <c r="AI3" s="184"/>
      <c r="AJ3" s="184"/>
      <c r="AK3" s="185"/>
      <c r="AO3" s="194" t="s">
        <v>127</v>
      </c>
      <c r="AP3" s="194"/>
      <c r="AQ3" s="194"/>
    </row>
    <row r="4" spans="1:43" ht="15" thickBot="1" x14ac:dyDescent="0.4">
      <c r="A4" s="181"/>
      <c r="B4" s="165"/>
      <c r="C4" s="10" t="s">
        <v>24</v>
      </c>
      <c r="D4" s="82">
        <f>'Raw Data Totals'!D4/S$31</f>
        <v>0.73886765489491135</v>
      </c>
      <c r="E4" s="82">
        <f>'Raw Data Totals'!E4/T$31</f>
        <v>0</v>
      </c>
      <c r="F4" s="82">
        <f>'Raw Data Totals'!F4/U$31</f>
        <v>0.376838027479029</v>
      </c>
      <c r="G4" s="82">
        <f>'Raw Data Totals'!G4/V$31</f>
        <v>0</v>
      </c>
      <c r="H4" s="82">
        <f>'Raw Data Totals'!H4/W$31</f>
        <v>0</v>
      </c>
      <c r="I4" s="82">
        <f>'Raw Data Totals'!I4/X$31</f>
        <v>0.79099530939781526</v>
      </c>
      <c r="J4" s="82">
        <f>'Raw Data Totals'!J4/Y$31</f>
        <v>1.4759929742734426</v>
      </c>
      <c r="K4" s="82">
        <f>'Raw Data Totals'!K4/Z$31</f>
        <v>0</v>
      </c>
      <c r="L4" s="82">
        <f>'Raw Data Totals'!L4/AA$31</f>
        <v>1.6407025488314095</v>
      </c>
      <c r="M4" s="82">
        <f t="shared" si="0"/>
        <v>0.55815516831962309</v>
      </c>
      <c r="N4" s="11" t="s">
        <v>6</v>
      </c>
      <c r="O4" s="110" t="s">
        <v>7</v>
      </c>
      <c r="P4">
        <f t="shared" si="1"/>
        <v>0.55815516831962309</v>
      </c>
      <c r="S4" s="186"/>
      <c r="T4" s="187"/>
      <c r="U4" s="187"/>
      <c r="V4" s="187"/>
      <c r="W4" s="187"/>
      <c r="X4" s="187"/>
      <c r="Y4" s="187"/>
      <c r="Z4" s="187"/>
      <c r="AA4" s="188"/>
      <c r="AC4" s="186"/>
      <c r="AD4" s="187"/>
      <c r="AE4" s="187"/>
      <c r="AF4" s="187"/>
      <c r="AG4" s="187"/>
      <c r="AH4" s="187"/>
      <c r="AI4" s="187"/>
      <c r="AJ4" s="187"/>
      <c r="AK4" s="188"/>
      <c r="AO4" s="194"/>
      <c r="AP4" s="194"/>
      <c r="AQ4" s="194"/>
    </row>
    <row r="5" spans="1:43" ht="15.5" x14ac:dyDescent="0.35">
      <c r="A5" s="181"/>
      <c r="B5" s="165"/>
      <c r="C5" s="10" t="s">
        <v>25</v>
      </c>
      <c r="D5" s="82">
        <f>'Raw Data Totals'!D5/S$31</f>
        <v>0.65194204843668646</v>
      </c>
      <c r="E5" s="82">
        <f>'Raw Data Totals'!E5/T$31</f>
        <v>33.994334277620396</v>
      </c>
      <c r="F5" s="82">
        <f>'Raw Data Totals'!F5/U$31</f>
        <v>1.130514082437087</v>
      </c>
      <c r="G5" s="82">
        <f>'Raw Data Totals'!G5/V$31</f>
        <v>0.7550531934974819</v>
      </c>
      <c r="H5" s="82">
        <f>'Raw Data Totals'!H5/W$31</f>
        <v>10.483750187209825</v>
      </c>
      <c r="I5" s="82">
        <f>'Raw Data Totals'!I5/X$31</f>
        <v>7.1189577845803376</v>
      </c>
      <c r="J5" s="82">
        <f>'Raw Data Totals'!J5/Y$31</f>
        <v>1.4759929742734426</v>
      </c>
      <c r="K5" s="82">
        <f>'Raw Data Totals'!K5/Z$31</f>
        <v>1.17101503583306</v>
      </c>
      <c r="L5" s="82">
        <f>'Raw Data Totals'!L5/AA$31</f>
        <v>1.2305269116235571</v>
      </c>
      <c r="M5" s="82">
        <f t="shared" si="0"/>
        <v>6.4457873883902082</v>
      </c>
      <c r="N5" s="11" t="s">
        <v>6</v>
      </c>
      <c r="O5" s="110" t="s">
        <v>7</v>
      </c>
      <c r="P5">
        <f t="shared" si="1"/>
        <v>6.4457873883902082</v>
      </c>
      <c r="S5" s="4" t="s">
        <v>58</v>
      </c>
      <c r="T5" s="4">
        <v>2016</v>
      </c>
      <c r="U5" s="4">
        <v>2017</v>
      </c>
      <c r="V5" s="4">
        <v>2018</v>
      </c>
      <c r="W5" s="4">
        <v>2019</v>
      </c>
      <c r="X5" s="4">
        <v>2020</v>
      </c>
      <c r="Y5" s="4">
        <v>2021</v>
      </c>
      <c r="Z5" s="4">
        <v>2022</v>
      </c>
      <c r="AA5" s="4">
        <v>2023</v>
      </c>
      <c r="AC5" s="4" t="s">
        <v>58</v>
      </c>
      <c r="AD5" s="4">
        <v>2016</v>
      </c>
      <c r="AE5" s="4">
        <v>2017</v>
      </c>
      <c r="AF5" s="4">
        <v>2018</v>
      </c>
      <c r="AG5" s="4">
        <v>2019</v>
      </c>
      <c r="AH5" s="4">
        <v>2020</v>
      </c>
      <c r="AI5" s="4">
        <v>2021</v>
      </c>
      <c r="AJ5" s="4">
        <v>2022</v>
      </c>
      <c r="AK5" s="4">
        <v>2023</v>
      </c>
      <c r="AO5" t="s">
        <v>128</v>
      </c>
      <c r="AP5" t="s">
        <v>129</v>
      </c>
      <c r="AQ5" t="s">
        <v>57</v>
      </c>
    </row>
    <row r="6" spans="1:43" x14ac:dyDescent="0.35">
      <c r="A6" s="181"/>
      <c r="B6" s="165"/>
      <c r="C6" s="10" t="s">
        <v>26</v>
      </c>
      <c r="D6" s="82">
        <f>'Raw Data Totals'!D6/S$31</f>
        <v>0.13038840968733728</v>
      </c>
      <c r="E6" s="82">
        <f>'Raw Data Totals'!E6/T$31</f>
        <v>0</v>
      </c>
      <c r="F6" s="82">
        <f>'Raw Data Totals'!F6/U$31</f>
        <v>0</v>
      </c>
      <c r="G6" s="82">
        <f>'Raw Data Totals'!G6/V$31</f>
        <v>0</v>
      </c>
      <c r="H6" s="82">
        <f>'Raw Data Totals'!H6/W$31</f>
        <v>0</v>
      </c>
      <c r="I6" s="82">
        <f>'Raw Data Totals'!I6/X$31</f>
        <v>0</v>
      </c>
      <c r="J6" s="82">
        <f>'Raw Data Totals'!J6/Y$31</f>
        <v>0</v>
      </c>
      <c r="K6" s="82">
        <f>'Raw Data Totals'!K6/Z$31</f>
        <v>0</v>
      </c>
      <c r="L6" s="82">
        <f>'Raw Data Totals'!L6/AA$31</f>
        <v>0</v>
      </c>
      <c r="M6" s="82">
        <f t="shared" si="0"/>
        <v>1.4487601076370808E-2</v>
      </c>
      <c r="N6" s="11" t="s">
        <v>6</v>
      </c>
      <c r="O6" s="110" t="s">
        <v>7</v>
      </c>
      <c r="P6">
        <f t="shared" si="1"/>
        <v>1.4487601076370808E-2</v>
      </c>
      <c r="S6" s="1" t="s">
        <v>10</v>
      </c>
      <c r="T6">
        <v>20.20458</v>
      </c>
      <c r="U6">
        <v>20.59891</v>
      </c>
      <c r="V6">
        <v>20.971990000000002</v>
      </c>
      <c r="W6">
        <v>21.360810000000001</v>
      </c>
      <c r="X6">
        <v>21.707129999999999</v>
      </c>
      <c r="Y6">
        <v>21.855309999999999</v>
      </c>
      <c r="Z6">
        <v>22.321960000000001</v>
      </c>
      <c r="AA6">
        <v>23.008179999999999</v>
      </c>
      <c r="AC6" s="1" t="s">
        <v>10</v>
      </c>
      <c r="AD6" s="5" t="e">
        <f>AVERAGE(#REF!)</f>
        <v>#REF!</v>
      </c>
      <c r="AE6" s="5" t="e">
        <f>AVERAGE(#REF!)</f>
        <v>#REF!</v>
      </c>
      <c r="AF6" s="5" t="e">
        <f>AVERAGE(#REF!)</f>
        <v>#REF!</v>
      </c>
      <c r="AG6" s="5" t="e">
        <f>AVERAGE(#REF!)</f>
        <v>#REF!</v>
      </c>
      <c r="AH6" s="5" t="e">
        <f t="shared" ref="AH6:AJ6" si="2">AVERAGE(A2:A7)</f>
        <v>#DIV/0!</v>
      </c>
      <c r="AI6" s="5" t="e">
        <f t="shared" si="2"/>
        <v>#DIV/0!</v>
      </c>
      <c r="AJ6" s="5" t="e">
        <f>AVERAGE(C2:C7)</f>
        <v>#DIV/0!</v>
      </c>
      <c r="AK6" s="5">
        <f>AVERAGE(D2:D7)</f>
        <v>1.79646253346998</v>
      </c>
      <c r="AO6" t="s">
        <v>10</v>
      </c>
      <c r="AP6">
        <v>1.8</v>
      </c>
      <c r="AQ6">
        <v>2300818</v>
      </c>
    </row>
    <row r="7" spans="1:43" ht="15" thickBot="1" x14ac:dyDescent="0.4">
      <c r="A7" s="181"/>
      <c r="B7" s="192"/>
      <c r="C7" s="13" t="s">
        <v>27</v>
      </c>
      <c r="D7" s="96">
        <f>'Raw Data Totals'!D7/S$31</f>
        <v>0.52155363874934912</v>
      </c>
      <c r="E7" s="96">
        <f>'Raw Data Totals'!E7/T$31</f>
        <v>33.994334277620396</v>
      </c>
      <c r="F7" s="96">
        <f>'Raw Data Totals'!F7/U$31</f>
        <v>0.376838027479029</v>
      </c>
      <c r="G7" s="96">
        <f>'Raw Data Totals'!G7/V$31</f>
        <v>0.50336879566498793</v>
      </c>
      <c r="H7" s="96">
        <f>'Raw Data Totals'!H7/W$31</f>
        <v>0</v>
      </c>
      <c r="I7" s="96">
        <f>'Raw Data Totals'!I7/X$31</f>
        <v>0</v>
      </c>
      <c r="J7" s="96">
        <f>'Raw Data Totals'!J7/Y$31</f>
        <v>0</v>
      </c>
      <c r="K7" s="96">
        <f>'Raw Data Totals'!K7/Z$31</f>
        <v>1.17101503583306</v>
      </c>
      <c r="L7" s="96">
        <f>'Raw Data Totals'!L7/AA$31</f>
        <v>0.41017563720785238</v>
      </c>
      <c r="M7" s="96">
        <f t="shared" si="0"/>
        <v>4.1085872680616298</v>
      </c>
      <c r="N7" s="14" t="s">
        <v>6</v>
      </c>
      <c r="O7" s="111" t="s">
        <v>7</v>
      </c>
      <c r="P7">
        <f t="shared" si="1"/>
        <v>4.1085872680616298</v>
      </c>
      <c r="S7" s="1" t="s">
        <v>11</v>
      </c>
      <c r="T7">
        <v>8.5120000000000001E-2</v>
      </c>
      <c r="U7">
        <v>8.5190000000000002E-2</v>
      </c>
      <c r="V7">
        <v>8.5269999999999999E-2</v>
      </c>
      <c r="W7">
        <v>8.5569999999999993E-2</v>
      </c>
      <c r="X7">
        <v>8.5589999999999999E-2</v>
      </c>
      <c r="Y7">
        <v>8.5540000000000005E-2</v>
      </c>
      <c r="Z7">
        <v>8.6169999999999997E-2</v>
      </c>
      <c r="AA7">
        <v>8.8249999999999995E-2</v>
      </c>
      <c r="AC7" s="1" t="s">
        <v>11</v>
      </c>
      <c r="AD7" s="5" t="e">
        <f>AVERAGE(#REF!)</f>
        <v>#REF!</v>
      </c>
      <c r="AE7" s="5" t="e">
        <f>AVERAGE(#REF!)</f>
        <v>#REF!</v>
      </c>
      <c r="AF7" s="5" t="e">
        <f>AVERAGE(#REF!)</f>
        <v>#REF!</v>
      </c>
      <c r="AG7" s="5" t="e">
        <f t="shared" ref="AG7:AJ7" si="3">AVERAGE(A2:A7)</f>
        <v>#DIV/0!</v>
      </c>
      <c r="AH7" s="5" t="e">
        <f t="shared" si="3"/>
        <v>#DIV/0!</v>
      </c>
      <c r="AI7" s="5" t="e">
        <f t="shared" si="3"/>
        <v>#DIV/0!</v>
      </c>
      <c r="AJ7" s="5">
        <f t="shared" si="3"/>
        <v>1.79646253346998</v>
      </c>
      <c r="AK7" s="5">
        <f>AVERAGE(E2:E7)</f>
        <v>13.220018885741267</v>
      </c>
      <c r="AO7" t="s">
        <v>11</v>
      </c>
      <c r="AP7">
        <v>13.22</v>
      </c>
      <c r="AQ7">
        <v>8825</v>
      </c>
    </row>
    <row r="8" spans="1:43" x14ac:dyDescent="0.35">
      <c r="A8" s="181"/>
      <c r="B8" s="164" t="s">
        <v>8</v>
      </c>
      <c r="C8" s="7" t="s">
        <v>28</v>
      </c>
      <c r="D8" s="81">
        <f>'Raw Data Totals'!D8/S$31</f>
        <v>72.322104573243081</v>
      </c>
      <c r="E8" s="81">
        <f>'Raw Data Totals'!E8/T$31</f>
        <v>1405.0991501416431</v>
      </c>
      <c r="F8" s="81">
        <f>'Raw Data Totals'!F8/U$31</f>
        <v>35.422774583028726</v>
      </c>
      <c r="G8" s="81">
        <f>'Raw Data Totals'!G8/V$31</f>
        <v>44.799822814183926</v>
      </c>
      <c r="H8" s="81">
        <f>'Raw Data Totals'!H8/W$31</f>
        <v>179.72143178073986</v>
      </c>
      <c r="I8" s="81">
        <f>'Raw Data Totals'!I8/X$31</f>
        <v>81.472516867974974</v>
      </c>
      <c r="J8" s="81">
        <f>'Raw Data Totals'!J8/Y$31</f>
        <v>225.82692506383671</v>
      </c>
      <c r="K8" s="81">
        <f>'Raw Data Totals'!K8/Z$31</f>
        <v>134.08122160288536</v>
      </c>
      <c r="L8" s="81">
        <f>'Raw Data Totals'!L8/AA$31</f>
        <v>51.682130288189398</v>
      </c>
      <c r="M8" s="81">
        <f t="shared" ref="M8:M62" si="4">AVERAGE(D8:L8)</f>
        <v>247.82534196841391</v>
      </c>
      <c r="N8" s="8" t="s">
        <v>6</v>
      </c>
      <c r="O8" s="109" t="s">
        <v>8</v>
      </c>
      <c r="S8" s="1" t="s">
        <v>12</v>
      </c>
      <c r="T8">
        <v>2.4668399999999999</v>
      </c>
      <c r="U8">
        <v>2.49681</v>
      </c>
      <c r="V8">
        <v>2.5220899999999999</v>
      </c>
      <c r="W8">
        <v>2.5413899999999998</v>
      </c>
      <c r="X8">
        <v>2.5626199999999999</v>
      </c>
      <c r="Y8">
        <v>2.5706500000000001</v>
      </c>
      <c r="Z8">
        <v>2.6066400000000001</v>
      </c>
      <c r="AA8">
        <v>2.6536599999999999</v>
      </c>
      <c r="AC8" s="1" t="s">
        <v>12</v>
      </c>
      <c r="AD8" s="5" t="e">
        <f>AVERAGE(#REF!)</f>
        <v>#REF!</v>
      </c>
      <c r="AE8" s="5" t="e">
        <f>AVERAGE(#REF!)</f>
        <v>#REF!</v>
      </c>
      <c r="AF8" s="5" t="e">
        <f t="shared" ref="AF8:AJ8" si="5">AVERAGE(A2:A7)</f>
        <v>#DIV/0!</v>
      </c>
      <c r="AG8" s="5" t="e">
        <f t="shared" si="5"/>
        <v>#DIV/0!</v>
      </c>
      <c r="AH8" s="5" t="e">
        <f t="shared" si="5"/>
        <v>#DIV/0!</v>
      </c>
      <c r="AI8" s="5">
        <f t="shared" si="5"/>
        <v>1.79646253346998</v>
      </c>
      <c r="AJ8" s="5">
        <f t="shared" si="5"/>
        <v>13.220018885741267</v>
      </c>
      <c r="AK8" s="5">
        <f>AVERAGE(F2:F7)</f>
        <v>0.56525704121854348</v>
      </c>
      <c r="AO8" t="s">
        <v>12</v>
      </c>
      <c r="AP8">
        <v>0.56999999999999995</v>
      </c>
      <c r="AQ8">
        <v>265366</v>
      </c>
    </row>
    <row r="9" spans="1:43" x14ac:dyDescent="0.35">
      <c r="A9" s="181"/>
      <c r="B9" s="165"/>
      <c r="C9" s="10" t="s">
        <v>29</v>
      </c>
      <c r="D9" s="82">
        <f>'Raw Data Totals'!D9/S$31</f>
        <v>16.255088407688049</v>
      </c>
      <c r="E9" s="82">
        <f>'Raw Data Totals'!E9/T$31</f>
        <v>600.56657223796037</v>
      </c>
      <c r="F9" s="82">
        <f>'Raw Data Totals'!F9/U$31</f>
        <v>27.886014033448145</v>
      </c>
      <c r="G9" s="82">
        <f>'Raw Data Totals'!G9/V$31</f>
        <v>9.3123227198022764</v>
      </c>
      <c r="H9" s="82">
        <f>'Raw Data Totals'!H9/W$31</f>
        <v>25.460536168938148</v>
      </c>
      <c r="I9" s="82">
        <f>'Raw Data Totals'!I9/X$31</f>
        <v>19.774882734945383</v>
      </c>
      <c r="J9" s="82">
        <f>'Raw Data Totals'!J9/Y$31</f>
        <v>78.227627636492457</v>
      </c>
      <c r="K9" s="82">
        <f>'Raw Data Totals'!K9/Z$31</f>
        <v>14.63768794791325</v>
      </c>
      <c r="L9" s="82">
        <f>'Raw Data Totals'!L9/AA$31</f>
        <v>13.945971665066981</v>
      </c>
      <c r="M9" s="82">
        <f t="shared" si="4"/>
        <v>89.56296706136169</v>
      </c>
      <c r="N9" s="11" t="s">
        <v>6</v>
      </c>
      <c r="O9" s="110" t="s">
        <v>8</v>
      </c>
      <c r="S9" s="1" t="s">
        <v>13</v>
      </c>
      <c r="T9">
        <v>3.3370199999999999</v>
      </c>
      <c r="U9">
        <v>3.4105599999999998</v>
      </c>
      <c r="V9">
        <v>3.4918100000000001</v>
      </c>
      <c r="W9">
        <v>3.5844</v>
      </c>
      <c r="X9">
        <v>3.66107</v>
      </c>
      <c r="Y9">
        <v>3.7362899999999999</v>
      </c>
      <c r="Z9">
        <v>3.8493300000000001</v>
      </c>
      <c r="AA9">
        <v>3.97323</v>
      </c>
      <c r="AC9" s="1" t="s">
        <v>13</v>
      </c>
      <c r="AD9" s="5" t="e">
        <f>AVERAGE(#REF!)</f>
        <v>#REF!</v>
      </c>
      <c r="AE9" s="5" t="e">
        <f t="shared" ref="AE9:AJ9" si="6">AVERAGE(A2:A7)</f>
        <v>#DIV/0!</v>
      </c>
      <c r="AF9" s="5" t="e">
        <f t="shared" si="6"/>
        <v>#DIV/0!</v>
      </c>
      <c r="AG9" s="5" t="e">
        <f t="shared" si="6"/>
        <v>#DIV/0!</v>
      </c>
      <c r="AH9" s="5">
        <f t="shared" si="6"/>
        <v>1.79646253346998</v>
      </c>
      <c r="AI9" s="5">
        <f t="shared" si="6"/>
        <v>13.220018885741267</v>
      </c>
      <c r="AJ9" s="5">
        <f t="shared" si="6"/>
        <v>0.56525704121854348</v>
      </c>
      <c r="AK9" s="5">
        <f>AVERAGE(G2:G7)</f>
        <v>1.0067375913299759</v>
      </c>
      <c r="AO9" t="s">
        <v>13</v>
      </c>
      <c r="AP9">
        <v>1.01</v>
      </c>
      <c r="AQ9">
        <v>397323</v>
      </c>
    </row>
    <row r="10" spans="1:43" x14ac:dyDescent="0.35">
      <c r="A10" s="181"/>
      <c r="B10" s="165"/>
      <c r="C10" s="10" t="s">
        <v>30</v>
      </c>
      <c r="D10" s="82">
        <f>'Raw Data Totals'!D10/S$31</f>
        <v>3.8247266841618939</v>
      </c>
      <c r="E10" s="82">
        <f>'Raw Data Totals'!E10/T$31</f>
        <v>67.988668555240793</v>
      </c>
      <c r="F10" s="82">
        <f>'Raw Data Totals'!F10/U$31</f>
        <v>1.507352109916116</v>
      </c>
      <c r="G10" s="82">
        <f>'Raw Data Totals'!G10/V$31</f>
        <v>3.0202127739899276</v>
      </c>
      <c r="H10" s="82">
        <f>'Raw Data Totals'!H10/W$31</f>
        <v>22.465178972592483</v>
      </c>
      <c r="I10" s="82">
        <f>'Raw Data Totals'!I10/X$31</f>
        <v>7.1189577845803376</v>
      </c>
      <c r="J10" s="82">
        <f>'Raw Data Totals'!J10/Y$31</f>
        <v>33.947838408289179</v>
      </c>
      <c r="K10" s="82">
        <f>'Raw Data Totals'!K10/Z$31</f>
        <v>3.5130451074991802</v>
      </c>
      <c r="L10" s="82">
        <f>'Raw Data Totals'!L10/AA$31</f>
        <v>6.5628101953256381</v>
      </c>
      <c r="M10" s="82">
        <f t="shared" si="4"/>
        <v>16.660976732399504</v>
      </c>
      <c r="N10" s="11" t="s">
        <v>6</v>
      </c>
      <c r="O10" s="110" t="s">
        <v>8</v>
      </c>
      <c r="S10" s="1" t="s">
        <v>14</v>
      </c>
      <c r="T10">
        <v>0.58460999999999996</v>
      </c>
      <c r="U10">
        <v>0.59865999999999997</v>
      </c>
      <c r="V10">
        <v>0.61226000000000003</v>
      </c>
      <c r="W10">
        <v>0.62536999999999998</v>
      </c>
      <c r="X10">
        <v>0.63590000000000002</v>
      </c>
      <c r="Y10">
        <v>0.64537</v>
      </c>
      <c r="Z10">
        <v>0.65417999999999998</v>
      </c>
      <c r="AA10">
        <v>0.66769999999999996</v>
      </c>
      <c r="AC10" s="1" t="s">
        <v>14</v>
      </c>
      <c r="AD10" s="5" t="e">
        <f t="shared" ref="AD10:AJ10" si="7">AVERAGE(A2:A7)</f>
        <v>#DIV/0!</v>
      </c>
      <c r="AE10" s="5" t="e">
        <f t="shared" si="7"/>
        <v>#DIV/0!</v>
      </c>
      <c r="AF10" s="5" t="e">
        <f t="shared" si="7"/>
        <v>#DIV/0!</v>
      </c>
      <c r="AG10" s="5">
        <f t="shared" si="7"/>
        <v>1.79646253346998</v>
      </c>
      <c r="AH10" s="5">
        <f t="shared" si="7"/>
        <v>13.220018885741267</v>
      </c>
      <c r="AI10" s="5">
        <f t="shared" si="7"/>
        <v>0.56525704121854348</v>
      </c>
      <c r="AJ10" s="5">
        <f t="shared" si="7"/>
        <v>1.0067375913299759</v>
      </c>
      <c r="AK10" s="5">
        <f>AVERAGE(H2:H7)</f>
        <v>2.2465178972592486</v>
      </c>
      <c r="AO10" t="s">
        <v>14</v>
      </c>
      <c r="AP10">
        <v>2.25</v>
      </c>
      <c r="AQ10">
        <v>66770</v>
      </c>
    </row>
    <row r="11" spans="1:43" x14ac:dyDescent="0.35">
      <c r="A11" s="181"/>
      <c r="B11" s="165"/>
      <c r="C11" s="10" t="s">
        <v>31</v>
      </c>
      <c r="D11" s="82">
        <f>'Raw Data Totals'!D11/S$31</f>
        <v>0.21731401614556214</v>
      </c>
      <c r="E11" s="82">
        <f>'Raw Data Totals'!E11/T$31</f>
        <v>101.98300283286119</v>
      </c>
      <c r="F11" s="82">
        <f>'Raw Data Totals'!F11/U$31</f>
        <v>0</v>
      </c>
      <c r="G11" s="82">
        <f>'Raw Data Totals'!G11/V$31</f>
        <v>0</v>
      </c>
      <c r="H11" s="82">
        <f>'Raw Data Totals'!H11/W$31</f>
        <v>1.4976785981728322</v>
      </c>
      <c r="I11" s="82">
        <f>'Raw Data Totals'!I11/X$31</f>
        <v>0</v>
      </c>
      <c r="J11" s="82">
        <f>'Raw Data Totals'!J11/Y$31</f>
        <v>4.4279789228203281</v>
      </c>
      <c r="K11" s="82">
        <f>'Raw Data Totals'!K11/Z$31</f>
        <v>0</v>
      </c>
      <c r="L11" s="82">
        <f>'Raw Data Totals'!L11/AA$31</f>
        <v>0.41017563720785238</v>
      </c>
      <c r="M11" s="82">
        <f t="shared" si="4"/>
        <v>12.059572223023086</v>
      </c>
      <c r="N11" s="11" t="s">
        <v>6</v>
      </c>
      <c r="O11" s="110" t="s">
        <v>8</v>
      </c>
      <c r="S11" s="1" t="s">
        <v>15</v>
      </c>
      <c r="T11">
        <v>1.18272</v>
      </c>
      <c r="U11">
        <v>1.18774</v>
      </c>
      <c r="V11">
        <v>1.19356</v>
      </c>
      <c r="W11">
        <v>1.2039</v>
      </c>
      <c r="X11">
        <v>1.2155800000000001</v>
      </c>
      <c r="Y11">
        <v>1.22759</v>
      </c>
      <c r="Z11">
        <v>1.2449699999999999</v>
      </c>
      <c r="AA11">
        <v>1.26423</v>
      </c>
      <c r="AC11" s="1" t="s">
        <v>15</v>
      </c>
      <c r="AD11" s="5" t="e">
        <f t="shared" ref="AD11:AJ11" si="8">AVERAGE(B2:B7)</f>
        <v>#DIV/0!</v>
      </c>
      <c r="AE11" s="5" t="e">
        <f t="shared" si="8"/>
        <v>#DIV/0!</v>
      </c>
      <c r="AF11" s="5">
        <f t="shared" si="8"/>
        <v>1.79646253346998</v>
      </c>
      <c r="AG11" s="5">
        <f t="shared" si="8"/>
        <v>13.220018885741267</v>
      </c>
      <c r="AH11" s="5">
        <f t="shared" si="8"/>
        <v>0.56525704121854348</v>
      </c>
      <c r="AI11" s="5">
        <f t="shared" si="8"/>
        <v>1.0067375913299759</v>
      </c>
      <c r="AJ11" s="5">
        <f t="shared" si="8"/>
        <v>2.2465178972592486</v>
      </c>
      <c r="AK11" s="5">
        <f>AVERAGE(I2:I7)</f>
        <v>2.1093208250608408</v>
      </c>
      <c r="AO11" t="s">
        <v>15</v>
      </c>
      <c r="AP11">
        <v>2.11</v>
      </c>
      <c r="AQ11">
        <v>126423</v>
      </c>
    </row>
    <row r="12" spans="1:43" x14ac:dyDescent="0.35">
      <c r="A12" s="181"/>
      <c r="B12" s="165"/>
      <c r="C12" s="10" t="s">
        <v>32</v>
      </c>
      <c r="D12" s="82">
        <f>'Raw Data Totals'!D12/S$31</f>
        <v>79.667318318963083</v>
      </c>
      <c r="E12" s="82">
        <f>'Raw Data Totals'!E12/T$31</f>
        <v>3263.456090651558</v>
      </c>
      <c r="F12" s="82">
        <f>'Raw Data Totals'!F12/U$31</f>
        <v>77.251795633200942</v>
      </c>
      <c r="G12" s="82">
        <f>'Raw Data Totals'!G12/V$31</f>
        <v>64.934574640783438</v>
      </c>
      <c r="H12" s="82">
        <f>'Raw Data Totals'!H12/W$31</f>
        <v>386.4010783285907</v>
      </c>
      <c r="I12" s="82">
        <f>'Raw Data Totals'!I12/X$31</f>
        <v>147.91612285739146</v>
      </c>
      <c r="J12" s="82">
        <f>'Raw Data Totals'!J12/Y$31</f>
        <v>380.8061873625482</v>
      </c>
      <c r="K12" s="82">
        <f>'Raw Data Totals'!K12/Z$31</f>
        <v>119.44353365497213</v>
      </c>
      <c r="L12" s="82">
        <f>'Raw Data Totals'!L12/AA$31</f>
        <v>100.90320675313168</v>
      </c>
      <c r="M12" s="82">
        <f t="shared" si="4"/>
        <v>513.41998980012659</v>
      </c>
      <c r="N12" s="11" t="s">
        <v>6</v>
      </c>
      <c r="O12" s="110" t="s">
        <v>8</v>
      </c>
      <c r="S12" s="1" t="s">
        <v>16</v>
      </c>
      <c r="T12">
        <v>0.60936999999999997</v>
      </c>
      <c r="U12">
        <v>0.62505999999999995</v>
      </c>
      <c r="V12">
        <v>0.63509000000000004</v>
      </c>
      <c r="W12">
        <v>0.64232</v>
      </c>
      <c r="X12">
        <v>0.65193999999999996</v>
      </c>
      <c r="Y12">
        <v>0.65390999999999999</v>
      </c>
      <c r="Z12">
        <v>0.66171000000000002</v>
      </c>
      <c r="AA12">
        <v>0.67750999999999995</v>
      </c>
      <c r="AC12" s="1" t="s">
        <v>16</v>
      </c>
      <c r="AD12" s="5" t="e">
        <f t="shared" ref="AD12:AJ12" si="9">AVERAGE(C2:C7)</f>
        <v>#DIV/0!</v>
      </c>
      <c r="AE12" s="5">
        <f t="shared" si="9"/>
        <v>1.79646253346998</v>
      </c>
      <c r="AF12" s="5">
        <f t="shared" si="9"/>
        <v>13.220018885741267</v>
      </c>
      <c r="AG12" s="5">
        <f t="shared" si="9"/>
        <v>0.56525704121854348</v>
      </c>
      <c r="AH12" s="5">
        <f t="shared" si="9"/>
        <v>1.0067375913299759</v>
      </c>
      <c r="AI12" s="5">
        <f t="shared" si="9"/>
        <v>2.2465178972592486</v>
      </c>
      <c r="AJ12" s="5">
        <f t="shared" si="9"/>
        <v>2.1093208250608408</v>
      </c>
      <c r="AK12" s="5">
        <f>AVERAGE(J2:J7)</f>
        <v>0.49199765809114754</v>
      </c>
      <c r="AO12" t="s">
        <v>16</v>
      </c>
      <c r="AP12">
        <v>0.49</v>
      </c>
      <c r="AQ12">
        <v>67751</v>
      </c>
    </row>
    <row r="13" spans="1:43" x14ac:dyDescent="0.35">
      <c r="A13" s="181"/>
      <c r="B13" s="165"/>
      <c r="C13" s="10" t="s">
        <v>33</v>
      </c>
      <c r="D13" s="82">
        <f>'Raw Data Totals'!D13/S$31</f>
        <v>20.079815091849941</v>
      </c>
      <c r="E13" s="82">
        <f>'Raw Data Totals'!E13/T$31</f>
        <v>226.62889518413598</v>
      </c>
      <c r="F13" s="82">
        <f>'Raw Data Totals'!F13/U$31</f>
        <v>52.380485819585026</v>
      </c>
      <c r="G13" s="82">
        <f>'Raw Data Totals'!G13/V$31</f>
        <v>11.074113504629734</v>
      </c>
      <c r="H13" s="82">
        <f>'Raw Data Totals'!H13/W$31</f>
        <v>97.349108881234088</v>
      </c>
      <c r="I13" s="82">
        <f>'Raw Data Totals'!I13/X$31</f>
        <v>49.041709182664547</v>
      </c>
      <c r="J13" s="82">
        <f>'Raw Data Totals'!J13/Y$31</f>
        <v>81.179613585039348</v>
      </c>
      <c r="K13" s="82">
        <f>'Raw Data Totals'!K13/Z$31</f>
        <v>11.710150358330599</v>
      </c>
      <c r="L13" s="82">
        <f>'Raw Data Totals'!L13/AA$31</f>
        <v>45.119320092863767</v>
      </c>
      <c r="M13" s="82">
        <f t="shared" si="4"/>
        <v>66.062579077814775</v>
      </c>
      <c r="N13" s="11" t="s">
        <v>6</v>
      </c>
      <c r="O13" s="110" t="s">
        <v>8</v>
      </c>
      <c r="S13" s="1" t="s">
        <v>17</v>
      </c>
      <c r="T13">
        <v>1.5286200000000001</v>
      </c>
      <c r="U13">
        <v>1.5547500000000001</v>
      </c>
      <c r="V13">
        <v>1.57996</v>
      </c>
      <c r="W13">
        <v>1.6032999999999999</v>
      </c>
      <c r="X13">
        <v>1.6235999999999999</v>
      </c>
      <c r="Y13">
        <v>1.6408199999999999</v>
      </c>
      <c r="Z13">
        <v>1.6719900000000001</v>
      </c>
      <c r="AA13">
        <v>1.7079200000000001</v>
      </c>
      <c r="AC13" s="1" t="s">
        <v>17</v>
      </c>
      <c r="AD13" s="5">
        <f t="shared" ref="AD13:AJ13" si="10">AVERAGE(D2:D7)</f>
        <v>1.79646253346998</v>
      </c>
      <c r="AE13" s="5">
        <f t="shared" si="10"/>
        <v>13.220018885741267</v>
      </c>
      <c r="AF13" s="5">
        <f t="shared" si="10"/>
        <v>0.56525704121854348</v>
      </c>
      <c r="AG13" s="5">
        <f t="shared" si="10"/>
        <v>1.0067375913299759</v>
      </c>
      <c r="AH13" s="5">
        <f t="shared" si="10"/>
        <v>2.2465178972592486</v>
      </c>
      <c r="AI13" s="5">
        <f t="shared" si="10"/>
        <v>2.1093208250608408</v>
      </c>
      <c r="AJ13" s="5">
        <f t="shared" si="10"/>
        <v>0.49199765809114754</v>
      </c>
      <c r="AK13" s="5">
        <f>AVERAGE(K2:K7)</f>
        <v>0.87826127687479494</v>
      </c>
      <c r="AO13" t="s">
        <v>17</v>
      </c>
      <c r="AP13">
        <v>0.88</v>
      </c>
      <c r="AQ13">
        <v>170792</v>
      </c>
    </row>
    <row r="14" spans="1:43" ht="15" thickBot="1" x14ac:dyDescent="0.4">
      <c r="A14" s="181"/>
      <c r="B14" s="192"/>
      <c r="C14" s="13" t="s">
        <v>34</v>
      </c>
      <c r="D14" s="96">
        <f>'Raw Data Totals'!D14/S$31</f>
        <v>17.472046898103198</v>
      </c>
      <c r="E14" s="96">
        <f>'Raw Data Totals'!E14/T$31</f>
        <v>430.59490084985839</v>
      </c>
      <c r="F14" s="96">
        <f>'Raw Data Totals'!F14/U$31</f>
        <v>20.349253483867564</v>
      </c>
      <c r="G14" s="96">
        <f>'Raw Data Totals'!G14/V$31</f>
        <v>11.325797902462229</v>
      </c>
      <c r="H14" s="96">
        <f>'Raw Data Totals'!H14/W$31</f>
        <v>11.981428785382658</v>
      </c>
      <c r="I14" s="96">
        <f>'Raw Data Totals'!I14/X$31</f>
        <v>61.697634133029595</v>
      </c>
      <c r="J14" s="96">
        <f>'Raw Data Totals'!J14/Y$31</f>
        <v>42.803796253929832</v>
      </c>
      <c r="K14" s="96">
        <f>'Raw Data Totals'!K14/Z$31</f>
        <v>64.405826970818296</v>
      </c>
      <c r="L14" s="96">
        <f>'Raw Data Totals'!L14/AA$31</f>
        <v>9.0238640185727519</v>
      </c>
      <c r="M14" s="96">
        <f t="shared" si="4"/>
        <v>74.406061032891614</v>
      </c>
      <c r="N14" s="14" t="s">
        <v>6</v>
      </c>
      <c r="O14" s="111" t="s">
        <v>8</v>
      </c>
      <c r="Q14" s="5"/>
      <c r="S14" s="1" t="s">
        <v>18</v>
      </c>
      <c r="T14">
        <v>2.3431000000000002</v>
      </c>
      <c r="U14">
        <v>2.3513500000000001</v>
      </c>
      <c r="V14">
        <v>2.3545799999999999</v>
      </c>
      <c r="W14">
        <v>2.35745</v>
      </c>
      <c r="X14">
        <v>2.36652</v>
      </c>
      <c r="Y14">
        <v>2.3738299999999999</v>
      </c>
      <c r="Z14">
        <v>2.4026100000000001</v>
      </c>
      <c r="AA14">
        <v>2.43798</v>
      </c>
      <c r="AC14" s="1" t="s">
        <v>18</v>
      </c>
      <c r="AD14" s="5">
        <f t="shared" ref="AD14:AJ14" si="11">AVERAGE(E2:E7)</f>
        <v>13.220018885741267</v>
      </c>
      <c r="AE14" s="5">
        <f t="shared" si="11"/>
        <v>0.56525704121854348</v>
      </c>
      <c r="AF14" s="5">
        <f t="shared" si="11"/>
        <v>1.0067375913299759</v>
      </c>
      <c r="AG14" s="5">
        <f t="shared" si="11"/>
        <v>2.2465178972592486</v>
      </c>
      <c r="AH14" s="5">
        <f t="shared" si="11"/>
        <v>2.1093208250608408</v>
      </c>
      <c r="AI14" s="5">
        <f t="shared" si="11"/>
        <v>0.49199765809114754</v>
      </c>
      <c r="AJ14" s="5">
        <f t="shared" si="11"/>
        <v>0.87826127687479494</v>
      </c>
      <c r="AK14" s="5">
        <f>AVERAGE(L2:L7)</f>
        <v>1.0938016992209396</v>
      </c>
      <c r="AO14" t="s">
        <v>18</v>
      </c>
      <c r="AP14">
        <v>1.0900000000000001</v>
      </c>
      <c r="AQ14">
        <v>243798</v>
      </c>
    </row>
    <row r="15" spans="1:43" x14ac:dyDescent="0.35">
      <c r="A15" s="182" t="s">
        <v>5</v>
      </c>
      <c r="B15" s="162" t="s">
        <v>7</v>
      </c>
      <c r="C15" s="15" t="s">
        <v>22</v>
      </c>
      <c r="D15" s="98">
        <f>'Raw Data Totals'!D15/S$31</f>
        <v>3.7812638809327814</v>
      </c>
      <c r="E15" s="98">
        <f>'Raw Data Totals'!E15/T$31</f>
        <v>22.6628895184136</v>
      </c>
      <c r="F15" s="98">
        <f>'Raw Data Totals'!F15/U$31</f>
        <v>1.130514082437087</v>
      </c>
      <c r="G15" s="98">
        <f>'Raw Data Totals'!G15/V$31</f>
        <v>1.7617907848274577</v>
      </c>
      <c r="H15" s="98">
        <f>'Raw Data Totals'!H15/W$31</f>
        <v>5.9907143926913289</v>
      </c>
      <c r="I15" s="98">
        <f>'Raw Data Totals'!I15/X$31</f>
        <v>3.9549765469890765</v>
      </c>
      <c r="J15" s="98">
        <f>'Raw Data Totals'!J15/Y$31</f>
        <v>7.3799648713672132</v>
      </c>
      <c r="K15" s="98">
        <f>'Raw Data Totals'!K15/Z$31</f>
        <v>0.58550751791653</v>
      </c>
      <c r="L15" s="98">
        <f>'Raw Data Totals'!L15/AA$31</f>
        <v>1.2305269116235571</v>
      </c>
      <c r="M15" s="98">
        <f t="shared" si="4"/>
        <v>5.3864609452442931</v>
      </c>
      <c r="N15" s="16" t="s">
        <v>5</v>
      </c>
      <c r="O15" s="112" t="s">
        <v>7</v>
      </c>
    </row>
    <row r="16" spans="1:43" ht="15" thickBot="1" x14ac:dyDescent="0.4">
      <c r="A16" s="182"/>
      <c r="B16" s="163"/>
      <c r="C16" s="17" t="s">
        <v>23</v>
      </c>
      <c r="D16" s="84">
        <f>'Raw Data Totals'!D16/S$31</f>
        <v>2.4339169808302961</v>
      </c>
      <c r="E16" s="84">
        <f>'Raw Data Totals'!E16/T$31</f>
        <v>0</v>
      </c>
      <c r="F16" s="84">
        <f>'Raw Data Totals'!F16/U$31</f>
        <v>0</v>
      </c>
      <c r="G16" s="84">
        <f>'Raw Data Totals'!G16/V$31</f>
        <v>1.0067375913299759</v>
      </c>
      <c r="H16" s="84">
        <f>'Raw Data Totals'!H16/W$31</f>
        <v>0</v>
      </c>
      <c r="I16" s="84">
        <f>'Raw Data Totals'!I16/X$31</f>
        <v>3.163981237591261</v>
      </c>
      <c r="J16" s="84">
        <f>'Raw Data Totals'!J16/Y$31</f>
        <v>0</v>
      </c>
      <c r="K16" s="84">
        <f>'Raw Data Totals'!K16/Z$31</f>
        <v>0</v>
      </c>
      <c r="L16" s="84">
        <f>'Raw Data Totals'!L16/AA$31</f>
        <v>0</v>
      </c>
      <c r="M16" s="84">
        <f t="shared" si="4"/>
        <v>0.73384842330572597</v>
      </c>
      <c r="N16" s="18" t="s">
        <v>5</v>
      </c>
      <c r="O16" s="113" t="s">
        <v>7</v>
      </c>
    </row>
    <row r="17" spans="1:37" x14ac:dyDescent="0.35">
      <c r="A17" s="182"/>
      <c r="B17" s="163"/>
      <c r="C17" s="17" t="s">
        <v>24</v>
      </c>
      <c r="D17" s="84">
        <f>'Raw Data Totals'!D17/S$31</f>
        <v>0.91271886781136102</v>
      </c>
      <c r="E17" s="84">
        <f>'Raw Data Totals'!E17/T$31</f>
        <v>0</v>
      </c>
      <c r="F17" s="84">
        <f>'Raw Data Totals'!F17/U$31</f>
        <v>1.130514082437087</v>
      </c>
      <c r="G17" s="84">
        <f>'Raw Data Totals'!G17/V$31</f>
        <v>0.25168439783249397</v>
      </c>
      <c r="H17" s="84">
        <f>'Raw Data Totals'!H17/W$31</f>
        <v>0</v>
      </c>
      <c r="I17" s="84">
        <f>'Raw Data Totals'!I17/X$31</f>
        <v>0</v>
      </c>
      <c r="J17" s="84">
        <f>'Raw Data Totals'!J17/Y$31</f>
        <v>1.4759929742734426</v>
      </c>
      <c r="K17" s="84">
        <f>'Raw Data Totals'!K17/Z$31</f>
        <v>0</v>
      </c>
      <c r="L17" s="84">
        <f>'Raw Data Totals'!L17/AA$31</f>
        <v>0.82035127441570477</v>
      </c>
      <c r="M17" s="84">
        <f t="shared" si="4"/>
        <v>0.51014017741889883</v>
      </c>
      <c r="N17" s="18" t="s">
        <v>5</v>
      </c>
      <c r="O17" s="113" t="s">
        <v>7</v>
      </c>
      <c r="S17" s="183" t="s">
        <v>66</v>
      </c>
      <c r="T17" s="184"/>
      <c r="U17" s="184"/>
      <c r="V17" s="184"/>
      <c r="W17" s="184"/>
      <c r="X17" s="184"/>
      <c r="Y17" s="184"/>
      <c r="Z17" s="185"/>
      <c r="AC17" s="183" t="s">
        <v>60</v>
      </c>
      <c r="AD17" s="184"/>
      <c r="AE17" s="184"/>
      <c r="AF17" s="184"/>
      <c r="AG17" s="184"/>
      <c r="AH17" s="184"/>
      <c r="AI17" s="184"/>
      <c r="AJ17" s="184"/>
      <c r="AK17" s="185"/>
    </row>
    <row r="18" spans="1:37" ht="15" thickBot="1" x14ac:dyDescent="0.4">
      <c r="A18" s="182"/>
      <c r="B18" s="163"/>
      <c r="C18" s="17" t="s">
        <v>25</v>
      </c>
      <c r="D18" s="84">
        <f>'Raw Data Totals'!D18/S$31</f>
        <v>0.69540485166579891</v>
      </c>
      <c r="E18" s="84">
        <f>'Raw Data Totals'!E18/T$31</f>
        <v>56.657223796033996</v>
      </c>
      <c r="F18" s="84">
        <f>'Raw Data Totals'!F18/U$31</f>
        <v>1.130514082437087</v>
      </c>
      <c r="G18" s="84">
        <f>'Raw Data Totals'!G18/V$31</f>
        <v>0.7550531934974819</v>
      </c>
      <c r="H18" s="84">
        <f>'Raw Data Totals'!H18/W$31</f>
        <v>2.9953571963456644</v>
      </c>
      <c r="I18" s="84">
        <f>'Raw Data Totals'!I18/X$31</f>
        <v>8.7009484033759676</v>
      </c>
      <c r="J18" s="84">
        <f>'Raw Data Totals'!J18/Y$31</f>
        <v>1.4759929742734426</v>
      </c>
      <c r="K18" s="84">
        <f>'Raw Data Totals'!K18/Z$31</f>
        <v>1.7565225537495901</v>
      </c>
      <c r="L18" s="84">
        <f>'Raw Data Totals'!L18/AA$31</f>
        <v>2.4610538232471142</v>
      </c>
      <c r="M18" s="84">
        <f t="shared" si="4"/>
        <v>8.5142300971806826</v>
      </c>
      <c r="N18" s="18" t="s">
        <v>5</v>
      </c>
      <c r="O18" s="113" t="s">
        <v>7</v>
      </c>
      <c r="S18" s="186"/>
      <c r="T18" s="187"/>
      <c r="U18" s="187"/>
      <c r="V18" s="187"/>
      <c r="W18" s="187"/>
      <c r="X18" s="187"/>
      <c r="Y18" s="187"/>
      <c r="Z18" s="188"/>
      <c r="AC18" s="186"/>
      <c r="AD18" s="187"/>
      <c r="AE18" s="187"/>
      <c r="AF18" s="187"/>
      <c r="AG18" s="187"/>
      <c r="AH18" s="187"/>
      <c r="AI18" s="187"/>
      <c r="AJ18" s="187"/>
      <c r="AK18" s="188"/>
    </row>
    <row r="19" spans="1:37" ht="15.5" x14ac:dyDescent="0.35">
      <c r="A19" s="182"/>
      <c r="B19" s="163"/>
      <c r="C19" s="17" t="s">
        <v>26</v>
      </c>
      <c r="D19" s="84">
        <f>'Raw Data Totals'!D19/S$31</f>
        <v>0.17385121291644973</v>
      </c>
      <c r="E19" s="84">
        <f>'Raw Data Totals'!E19/T$31</f>
        <v>0</v>
      </c>
      <c r="F19" s="84">
        <f>'Raw Data Totals'!F19/U$31</f>
        <v>0</v>
      </c>
      <c r="G19" s="84">
        <f>'Raw Data Totals'!G19/V$31</f>
        <v>0</v>
      </c>
      <c r="H19" s="84">
        <f>'Raw Data Totals'!H19/W$31</f>
        <v>0</v>
      </c>
      <c r="I19" s="84">
        <f>'Raw Data Totals'!I19/X$31</f>
        <v>0</v>
      </c>
      <c r="J19" s="84">
        <f>'Raw Data Totals'!J19/Y$31</f>
        <v>0</v>
      </c>
      <c r="K19" s="84">
        <f>'Raw Data Totals'!K19/Z$31</f>
        <v>0</v>
      </c>
      <c r="L19" s="84">
        <f>'Raw Data Totals'!L19/AA$31</f>
        <v>0</v>
      </c>
      <c r="M19" s="84">
        <f t="shared" si="4"/>
        <v>1.9316801435161082E-2</v>
      </c>
      <c r="N19" s="18" t="s">
        <v>5</v>
      </c>
      <c r="O19" s="113" t="s">
        <v>7</v>
      </c>
      <c r="S19" s="4" t="s">
        <v>58</v>
      </c>
      <c r="T19" s="4" t="s">
        <v>0</v>
      </c>
      <c r="U19" s="4" t="s">
        <v>1</v>
      </c>
      <c r="V19" s="4" t="s">
        <v>2</v>
      </c>
      <c r="W19" s="4" t="s">
        <v>3</v>
      </c>
      <c r="X19" s="4" t="s">
        <v>4</v>
      </c>
      <c r="Y19" s="4" t="s">
        <v>5</v>
      </c>
      <c r="Z19" s="4" t="s">
        <v>6</v>
      </c>
      <c r="AC19" s="4" t="s">
        <v>58</v>
      </c>
      <c r="AD19" s="4">
        <v>2016</v>
      </c>
      <c r="AE19" s="4">
        <v>2017</v>
      </c>
      <c r="AF19" s="4">
        <v>2018</v>
      </c>
      <c r="AG19" s="4">
        <v>2019</v>
      </c>
      <c r="AH19" s="4">
        <v>2020</v>
      </c>
      <c r="AI19" s="4">
        <v>2021</v>
      </c>
      <c r="AJ19" s="4">
        <v>2022</v>
      </c>
      <c r="AK19" s="4">
        <v>2023</v>
      </c>
    </row>
    <row r="20" spans="1:37" ht="15" thickBot="1" x14ac:dyDescent="0.4">
      <c r="A20" s="182"/>
      <c r="B20" s="193"/>
      <c r="C20" s="19" t="s">
        <v>27</v>
      </c>
      <c r="D20" s="97">
        <f>'Raw Data Totals'!D20/S$31</f>
        <v>0.78233045812402369</v>
      </c>
      <c r="E20" s="97">
        <f>'Raw Data Totals'!E20/T$31</f>
        <v>11.3314447592068</v>
      </c>
      <c r="F20" s="97">
        <f>'Raw Data Totals'!F20/U$31</f>
        <v>0</v>
      </c>
      <c r="G20" s="97">
        <f>'Raw Data Totals'!G20/V$31</f>
        <v>0</v>
      </c>
      <c r="H20" s="97">
        <f>'Raw Data Totals'!H20/W$31</f>
        <v>1.4976785981728322</v>
      </c>
      <c r="I20" s="97">
        <f>'Raw Data Totals'!I20/X$31</f>
        <v>0</v>
      </c>
      <c r="J20" s="97">
        <f>'Raw Data Totals'!J20/Y$31</f>
        <v>0</v>
      </c>
      <c r="K20" s="97">
        <f>'Raw Data Totals'!K20/Z$31</f>
        <v>0</v>
      </c>
      <c r="L20" s="97">
        <f>'Raw Data Totals'!L20/AA$31</f>
        <v>0</v>
      </c>
      <c r="M20" s="97">
        <f t="shared" si="4"/>
        <v>1.512383757278184</v>
      </c>
      <c r="N20" s="20" t="s">
        <v>5</v>
      </c>
      <c r="O20" s="114" t="s">
        <v>7</v>
      </c>
      <c r="S20" s="1" t="s">
        <v>10</v>
      </c>
      <c r="T20" s="5">
        <f t="shared" ref="T20:Z28" si="12">(U6-T6)/T6*100</f>
        <v>1.9516862018413652</v>
      </c>
      <c r="U20" s="5">
        <f t="shared" si="12"/>
        <v>1.811163794589139</v>
      </c>
      <c r="V20" s="5">
        <f t="shared" si="12"/>
        <v>1.8539966879633214</v>
      </c>
      <c r="W20" s="5">
        <f t="shared" si="12"/>
        <v>1.6212868332240147</v>
      </c>
      <c r="X20" s="5">
        <f t="shared" si="12"/>
        <v>0.6826328492066891</v>
      </c>
      <c r="Y20" s="5">
        <f t="shared" si="12"/>
        <v>2.1351790480208304</v>
      </c>
      <c r="Z20" s="5">
        <f t="shared" si="12"/>
        <v>3.0741924096271056</v>
      </c>
      <c r="AC20" s="1" t="s">
        <v>10</v>
      </c>
      <c r="AD20">
        <v>2020458</v>
      </c>
      <c r="AE20">
        <v>2059891</v>
      </c>
      <c r="AF20">
        <v>2097199</v>
      </c>
      <c r="AG20">
        <v>2136081</v>
      </c>
      <c r="AH20">
        <v>2170713</v>
      </c>
      <c r="AI20">
        <v>2185531</v>
      </c>
      <c r="AJ20">
        <v>2232196</v>
      </c>
      <c r="AK20">
        <v>2300818</v>
      </c>
    </row>
    <row r="21" spans="1:37" x14ac:dyDescent="0.35">
      <c r="A21" s="182"/>
      <c r="B21" s="162" t="s">
        <v>8</v>
      </c>
      <c r="C21" s="15" t="s">
        <v>28</v>
      </c>
      <c r="D21" s="98">
        <f>'Raw Data Totals'!D21/S$31</f>
        <v>41.246200264427699</v>
      </c>
      <c r="E21" s="98">
        <f>'Raw Data Totals'!E21/T$31</f>
        <v>1552.4079320113315</v>
      </c>
      <c r="F21" s="98">
        <f>'Raw Data Totals'!F21/U$31</f>
        <v>50.119457654710857</v>
      </c>
      <c r="G21" s="98">
        <f>'Raw Data Totals'!G21/V$31</f>
        <v>43.541400825021455</v>
      </c>
      <c r="H21" s="98">
        <f>'Raw Data Totals'!H21/W$31</f>
        <v>137.78643103190055</v>
      </c>
      <c r="I21" s="98">
        <f>'Raw Data Totals'!I21/X$31</f>
        <v>86.218488724361862</v>
      </c>
      <c r="J21" s="98">
        <f>'Raw Data Totals'!J21/Y$31</f>
        <v>175.64316393853966</v>
      </c>
      <c r="K21" s="98">
        <f>'Raw Data Totals'!K21/Z$31</f>
        <v>41.571033772073633</v>
      </c>
      <c r="L21" s="98">
        <f>'Raw Data Totals'!L21/AA$31</f>
        <v>59.885643032346451</v>
      </c>
      <c r="M21" s="98">
        <f t="shared" si="4"/>
        <v>243.15775013941254</v>
      </c>
      <c r="N21" s="16" t="s">
        <v>5</v>
      </c>
      <c r="O21" s="112" t="s">
        <v>8</v>
      </c>
      <c r="S21" s="1" t="s">
        <v>11</v>
      </c>
      <c r="T21" s="5">
        <f t="shared" si="12"/>
        <v>8.2236842105263885E-2</v>
      </c>
      <c r="U21" s="5">
        <f t="shared" si="12"/>
        <v>9.3907735649720311E-2</v>
      </c>
      <c r="V21" s="5">
        <f t="shared" si="12"/>
        <v>0.35182361909228888</v>
      </c>
      <c r="W21" s="5">
        <f t="shared" si="12"/>
        <v>2.3372677340196477E-2</v>
      </c>
      <c r="X21" s="5">
        <f t="shared" si="12"/>
        <v>-5.8418039490588262E-2</v>
      </c>
      <c r="Y21" s="5">
        <f t="shared" si="12"/>
        <v>0.73649754500817355</v>
      </c>
      <c r="Z21" s="5">
        <f t="shared" si="12"/>
        <v>2.4138331205756045</v>
      </c>
      <c r="AC21" s="1" t="s">
        <v>13</v>
      </c>
      <c r="AD21">
        <v>333702</v>
      </c>
      <c r="AE21">
        <v>341056</v>
      </c>
      <c r="AF21">
        <v>349181</v>
      </c>
      <c r="AG21">
        <v>358440</v>
      </c>
      <c r="AH21">
        <v>366107</v>
      </c>
      <c r="AI21">
        <v>373629</v>
      </c>
      <c r="AJ21">
        <v>384933</v>
      </c>
      <c r="AK21">
        <v>397323</v>
      </c>
    </row>
    <row r="22" spans="1:37" x14ac:dyDescent="0.35">
      <c r="A22" s="182"/>
      <c r="B22" s="163"/>
      <c r="C22" s="17" t="s">
        <v>29</v>
      </c>
      <c r="D22" s="84">
        <f>'Raw Data Totals'!D22/S$31</f>
        <v>15.298906736647575</v>
      </c>
      <c r="E22" s="84">
        <f>'Raw Data Totals'!E22/T$31</f>
        <v>385.26912181303118</v>
      </c>
      <c r="F22" s="84">
        <f>'Raw Data Totals'!F22/U$31</f>
        <v>12.812492934286984</v>
      </c>
      <c r="G22" s="84">
        <f>'Raw Data Totals'!G22/V$31</f>
        <v>12.08085109595971</v>
      </c>
      <c r="H22" s="84">
        <f>'Raw Data Totals'!H22/W$31</f>
        <v>28.455893365283814</v>
      </c>
      <c r="I22" s="84">
        <f>'Raw Data Totals'!I22/X$31</f>
        <v>25.311849900730088</v>
      </c>
      <c r="J22" s="84">
        <f>'Raw Data Totals'!J22/Y$31</f>
        <v>94.463550353500324</v>
      </c>
      <c r="K22" s="84">
        <f>'Raw Data Totals'!K22/Z$31</f>
        <v>12.881165394163661</v>
      </c>
      <c r="L22" s="84">
        <f>'Raw Data Totals'!L22/AA$31</f>
        <v>18.457903674353357</v>
      </c>
      <c r="M22" s="84">
        <f t="shared" si="4"/>
        <v>67.225748363106291</v>
      </c>
      <c r="N22" s="18" t="s">
        <v>5</v>
      </c>
      <c r="O22" s="113" t="s">
        <v>8</v>
      </c>
      <c r="S22" s="1" t="s">
        <v>12</v>
      </c>
      <c r="T22" s="5">
        <f t="shared" si="12"/>
        <v>1.2149146276207641</v>
      </c>
      <c r="U22" s="5">
        <f t="shared" si="12"/>
        <v>1.0124919397150753</v>
      </c>
      <c r="V22" s="5">
        <f t="shared" si="12"/>
        <v>0.76523835390489126</v>
      </c>
      <c r="W22" s="5">
        <f t="shared" si="12"/>
        <v>0.83536962056197928</v>
      </c>
      <c r="X22" s="5">
        <f t="shared" si="12"/>
        <v>0.31335117965208281</v>
      </c>
      <c r="Y22" s="5">
        <f t="shared" si="12"/>
        <v>1.4000350106004305</v>
      </c>
      <c r="Z22" s="5">
        <f t="shared" si="12"/>
        <v>1.8038547708927908</v>
      </c>
      <c r="AC22" s="1" t="s">
        <v>12</v>
      </c>
      <c r="AD22">
        <v>246684</v>
      </c>
      <c r="AE22">
        <v>249681</v>
      </c>
      <c r="AF22">
        <v>252209</v>
      </c>
      <c r="AG22">
        <v>254138.99999999997</v>
      </c>
      <c r="AH22">
        <v>256262</v>
      </c>
      <c r="AI22">
        <v>257065</v>
      </c>
      <c r="AJ22">
        <v>260664</v>
      </c>
      <c r="AK22">
        <v>265366</v>
      </c>
    </row>
    <row r="23" spans="1:37" x14ac:dyDescent="0.35">
      <c r="A23" s="182"/>
      <c r="B23" s="163"/>
      <c r="C23" s="17" t="s">
        <v>30</v>
      </c>
      <c r="D23" s="84">
        <f>'Raw Data Totals'!D23/S$31</f>
        <v>2.2166029646847338</v>
      </c>
      <c r="E23" s="84">
        <f>'Raw Data Totals'!E23/T$31</f>
        <v>237.9603399433428</v>
      </c>
      <c r="F23" s="84">
        <f>'Raw Data Totals'!F23/U$31</f>
        <v>3.7683802747902897</v>
      </c>
      <c r="G23" s="84">
        <f>'Raw Data Totals'!G23/V$31</f>
        <v>1.7617907848274577</v>
      </c>
      <c r="H23" s="84">
        <f>'Raw Data Totals'!H23/W$31</f>
        <v>13.47910738355549</v>
      </c>
      <c r="I23" s="84">
        <f>'Raw Data Totals'!I23/X$31</f>
        <v>14.237915569160675</v>
      </c>
      <c r="J23" s="84">
        <f>'Raw Data Totals'!J23/Y$31</f>
        <v>16.235922717007867</v>
      </c>
      <c r="K23" s="84">
        <f>'Raw Data Totals'!K23/Z$31</f>
        <v>7.6115977329148903</v>
      </c>
      <c r="L23" s="84">
        <f>'Raw Data Totals'!L23/AA$31</f>
        <v>6.9729858325334906</v>
      </c>
      <c r="M23" s="84">
        <f t="shared" si="4"/>
        <v>33.804960355868644</v>
      </c>
      <c r="N23" s="18" t="s">
        <v>5</v>
      </c>
      <c r="O23" s="113" t="s">
        <v>8</v>
      </c>
      <c r="S23" s="1" t="s">
        <v>13</v>
      </c>
      <c r="T23" s="5">
        <f t="shared" si="12"/>
        <v>2.203762638521793</v>
      </c>
      <c r="U23" s="5">
        <f t="shared" si="12"/>
        <v>2.382306717958349</v>
      </c>
      <c r="V23" s="5">
        <f t="shared" si="12"/>
        <v>2.6516333935695227</v>
      </c>
      <c r="W23" s="5">
        <f t="shared" si="12"/>
        <v>2.1389911840196412</v>
      </c>
      <c r="X23" s="5">
        <f t="shared" si="12"/>
        <v>2.0545905978306847</v>
      </c>
      <c r="Y23" s="5">
        <f t="shared" si="12"/>
        <v>3.0254610857294337</v>
      </c>
      <c r="Z23" s="5">
        <f t="shared" si="12"/>
        <v>3.2187419628870453</v>
      </c>
      <c r="AC23" s="1" t="s">
        <v>18</v>
      </c>
      <c r="AD23">
        <v>234310.00000000003</v>
      </c>
      <c r="AE23">
        <v>235135</v>
      </c>
      <c r="AF23">
        <v>235458</v>
      </c>
      <c r="AG23">
        <v>235745</v>
      </c>
      <c r="AH23">
        <v>236652</v>
      </c>
      <c r="AI23">
        <v>237383</v>
      </c>
      <c r="AJ23">
        <v>240261</v>
      </c>
      <c r="AK23">
        <v>243798</v>
      </c>
    </row>
    <row r="24" spans="1:37" x14ac:dyDescent="0.35">
      <c r="A24" s="182"/>
      <c r="B24" s="163"/>
      <c r="C24" s="17" t="s">
        <v>31</v>
      </c>
      <c r="D24" s="84">
        <f>'Raw Data Totals'!D24/S$31</f>
        <v>0.65194204843668646</v>
      </c>
      <c r="E24" s="84">
        <f>'Raw Data Totals'!E24/T$31</f>
        <v>56.657223796033996</v>
      </c>
      <c r="F24" s="84">
        <f>'Raw Data Totals'!F24/U$31</f>
        <v>2.637866192353203</v>
      </c>
      <c r="G24" s="84">
        <f>'Raw Data Totals'!G24/V$31</f>
        <v>0</v>
      </c>
      <c r="H24" s="84">
        <f>'Raw Data Totals'!H24/W$31</f>
        <v>0</v>
      </c>
      <c r="I24" s="84">
        <f>'Raw Data Totals'!I24/X$31</f>
        <v>0</v>
      </c>
      <c r="J24" s="84">
        <f>'Raw Data Totals'!J24/Y$31</f>
        <v>0</v>
      </c>
      <c r="K24" s="84">
        <f>'Raw Data Totals'!K24/Z$31</f>
        <v>0.58550751791653</v>
      </c>
      <c r="L24" s="84">
        <f>'Raw Data Totals'!L24/AA$31</f>
        <v>0</v>
      </c>
      <c r="M24" s="84">
        <f t="shared" si="4"/>
        <v>6.7258377283044908</v>
      </c>
      <c r="N24" s="18" t="s">
        <v>5</v>
      </c>
      <c r="O24" s="113" t="s">
        <v>8</v>
      </c>
      <c r="S24" s="1" t="s">
        <v>14</v>
      </c>
      <c r="T24" s="5">
        <f t="shared" si="12"/>
        <v>2.4033116094490357</v>
      </c>
      <c r="U24" s="5">
        <f t="shared" si="12"/>
        <v>2.2717402198242835</v>
      </c>
      <c r="V24" s="5">
        <f t="shared" si="12"/>
        <v>2.1412471825694892</v>
      </c>
      <c r="W24" s="5">
        <f t="shared" si="12"/>
        <v>1.6838031885124072</v>
      </c>
      <c r="X24" s="5">
        <f t="shared" si="12"/>
        <v>1.489227866016666</v>
      </c>
      <c r="Y24" s="5">
        <f t="shared" si="12"/>
        <v>1.3651083874366619</v>
      </c>
      <c r="Z24" s="5">
        <f t="shared" si="12"/>
        <v>2.0667094683420428</v>
      </c>
      <c r="AC24" s="1" t="s">
        <v>17</v>
      </c>
      <c r="AD24">
        <v>152862</v>
      </c>
      <c r="AE24">
        <v>155475</v>
      </c>
      <c r="AF24">
        <v>157996</v>
      </c>
      <c r="AG24">
        <v>160330</v>
      </c>
      <c r="AH24">
        <v>162360</v>
      </c>
      <c r="AI24">
        <v>164082</v>
      </c>
      <c r="AJ24">
        <v>167199</v>
      </c>
      <c r="AK24">
        <v>170792</v>
      </c>
    </row>
    <row r="25" spans="1:37" x14ac:dyDescent="0.35">
      <c r="A25" s="182"/>
      <c r="B25" s="163"/>
      <c r="C25" s="17" t="s">
        <v>32</v>
      </c>
      <c r="D25" s="84">
        <f>'Raw Data Totals'!D25/S$31</f>
        <v>56.197404575242373</v>
      </c>
      <c r="E25" s="84">
        <f>'Raw Data Totals'!E25/T$31</f>
        <v>3807.3654390934848</v>
      </c>
      <c r="F25" s="84">
        <f>'Raw Data Totals'!F25/U$31</f>
        <v>77.251795633200942</v>
      </c>
      <c r="G25" s="84">
        <f>'Raw Data Totals'!G25/V$31</f>
        <v>66.696365425610907</v>
      </c>
      <c r="H25" s="84">
        <f>'Raw Data Totals'!H25/W$31</f>
        <v>357.94518496330687</v>
      </c>
      <c r="I25" s="84">
        <f>'Raw Data Totals'!I25/X$31</f>
        <v>157.40806657016523</v>
      </c>
      <c r="J25" s="84">
        <f>'Raw Data Totals'!J25/Y$31</f>
        <v>345.38235597998556</v>
      </c>
      <c r="K25" s="84">
        <f>'Raw Data Totals'!K25/Z$31</f>
        <v>70.846409667900133</v>
      </c>
      <c r="L25" s="84">
        <f>'Raw Data Totals'!L25/AA$31</f>
        <v>141.92077047391692</v>
      </c>
      <c r="M25" s="84">
        <f t="shared" si="4"/>
        <v>564.5570880425347</v>
      </c>
      <c r="N25" s="18" t="s">
        <v>5</v>
      </c>
      <c r="O25" s="113" t="s">
        <v>8</v>
      </c>
      <c r="S25" s="1" t="s">
        <v>15</v>
      </c>
      <c r="T25" s="5">
        <f t="shared" si="12"/>
        <v>0.42444534632034836</v>
      </c>
      <c r="U25" s="5">
        <f t="shared" si="12"/>
        <v>0.49000623031976154</v>
      </c>
      <c r="V25" s="5">
        <f t="shared" si="12"/>
        <v>0.86631589530480391</v>
      </c>
      <c r="W25" s="5">
        <f t="shared" si="12"/>
        <v>0.97018024752887566</v>
      </c>
      <c r="X25" s="5">
        <f t="shared" si="12"/>
        <v>0.98800572566181188</v>
      </c>
      <c r="Y25" s="5">
        <f t="shared" si="12"/>
        <v>1.4157821422461858</v>
      </c>
      <c r="Z25" s="5">
        <f t="shared" si="12"/>
        <v>1.5470252295236075</v>
      </c>
      <c r="AC25" s="1" t="s">
        <v>15</v>
      </c>
      <c r="AD25">
        <v>118272</v>
      </c>
      <c r="AE25">
        <v>118774</v>
      </c>
      <c r="AF25">
        <v>119356</v>
      </c>
      <c r="AG25">
        <v>120390</v>
      </c>
      <c r="AH25">
        <v>121558.00000000001</v>
      </c>
      <c r="AI25">
        <v>122759</v>
      </c>
      <c r="AJ25">
        <v>124496.99999999999</v>
      </c>
      <c r="AK25">
        <v>126423</v>
      </c>
    </row>
    <row r="26" spans="1:37" ht="14.5" customHeight="1" x14ac:dyDescent="0.35">
      <c r="A26" s="182"/>
      <c r="B26" s="163"/>
      <c r="C26" s="17" t="s">
        <v>33</v>
      </c>
      <c r="D26" s="84">
        <f>'Raw Data Totals'!D26/S$31</f>
        <v>23.426450940491598</v>
      </c>
      <c r="E26" s="84">
        <f>'Raw Data Totals'!E26/T$31</f>
        <v>815.86402266288951</v>
      </c>
      <c r="F26" s="84">
        <f>'Raw Data Totals'!F26/U$31</f>
        <v>30.523880225801346</v>
      </c>
      <c r="G26" s="84">
        <f>'Raw Data Totals'!G26/V$31</f>
        <v>10.067375913299758</v>
      </c>
      <c r="H26" s="84">
        <f>'Raw Data Totals'!H26/W$31</f>
        <v>146.77250262093756</v>
      </c>
      <c r="I26" s="84">
        <f>'Raw Data Totals'!I26/X$31</f>
        <v>71.980573155201185</v>
      </c>
      <c r="J26" s="84">
        <f>'Raw Data Totals'!J26/Y$31</f>
        <v>82.655606559312787</v>
      </c>
      <c r="K26" s="84">
        <f>'Raw Data Totals'!K26/Z$31</f>
        <v>109.48990585039111</v>
      </c>
      <c r="L26" s="84">
        <f>'Raw Data Totals'!L26/AA$31</f>
        <v>60.705994306762157</v>
      </c>
      <c r="M26" s="84">
        <f t="shared" si="4"/>
        <v>150.16514580389858</v>
      </c>
      <c r="N26" s="18" t="s">
        <v>5</v>
      </c>
      <c r="O26" s="113" t="s">
        <v>8</v>
      </c>
      <c r="S26" s="1" t="s">
        <v>16</v>
      </c>
      <c r="T26" s="5">
        <f t="shared" si="12"/>
        <v>2.5747903572542108</v>
      </c>
      <c r="U26" s="5">
        <f t="shared" si="12"/>
        <v>1.6046459539884323</v>
      </c>
      <c r="V26" s="5">
        <f t="shared" si="12"/>
        <v>1.1384213261112532</v>
      </c>
      <c r="W26" s="5">
        <f t="shared" si="12"/>
        <v>1.4976958525345563</v>
      </c>
      <c r="X26" s="5">
        <f t="shared" si="12"/>
        <v>0.30217504678345053</v>
      </c>
      <c r="Y26" s="5">
        <f t="shared" si="12"/>
        <v>1.1928247006468824</v>
      </c>
      <c r="Z26" s="5">
        <f t="shared" si="12"/>
        <v>2.3877529431321767</v>
      </c>
      <c r="AC26" s="1" t="s">
        <v>16</v>
      </c>
      <c r="AD26">
        <v>60937</v>
      </c>
      <c r="AE26">
        <v>62505.999999999993</v>
      </c>
      <c r="AF26">
        <v>63509.000000000007</v>
      </c>
      <c r="AG26">
        <v>64232</v>
      </c>
      <c r="AH26">
        <v>65194</v>
      </c>
      <c r="AI26">
        <v>65391</v>
      </c>
      <c r="AJ26">
        <v>66171</v>
      </c>
      <c r="AK26">
        <v>67751</v>
      </c>
    </row>
    <row r="27" spans="1:37" ht="15" thickBot="1" x14ac:dyDescent="0.4">
      <c r="A27" s="182"/>
      <c r="B27" s="193"/>
      <c r="C27" s="19" t="s">
        <v>34</v>
      </c>
      <c r="D27" s="97">
        <f>'Raw Data Totals'!D27/S$31</f>
        <v>18.037063340081659</v>
      </c>
      <c r="E27" s="97">
        <f>'Raw Data Totals'!E27/T$31</f>
        <v>169.97167138810198</v>
      </c>
      <c r="F27" s="97">
        <f>'Raw Data Totals'!F27/U$31</f>
        <v>19.972415456388536</v>
      </c>
      <c r="G27" s="97">
        <f>'Raw Data Totals'!G27/V$31</f>
        <v>11.829166698127215</v>
      </c>
      <c r="H27" s="97">
        <f>'Raw Data Totals'!H27/W$31</f>
        <v>122.80964505017224</v>
      </c>
      <c r="I27" s="97">
        <f>'Raw Data Totals'!I27/X$31</f>
        <v>25.311849900730088</v>
      </c>
      <c r="J27" s="97">
        <f>'Raw Data Totals'!J27/Y$31</f>
        <v>109.22348009623475</v>
      </c>
      <c r="K27" s="97">
        <f>'Raw Data Totals'!K27/Z$31</f>
        <v>4.68406014333224</v>
      </c>
      <c r="L27" s="97">
        <f>'Raw Data Totals'!L27/AA$31</f>
        <v>26.251240781302553</v>
      </c>
      <c r="M27" s="97">
        <f t="shared" si="4"/>
        <v>56.454510317163482</v>
      </c>
      <c r="N27" s="20" t="s">
        <v>5</v>
      </c>
      <c r="O27" s="114" t="s">
        <v>8</v>
      </c>
      <c r="S27" s="1" t="s">
        <v>17</v>
      </c>
      <c r="T27" s="5">
        <f t="shared" si="12"/>
        <v>1.7093849354319572</v>
      </c>
      <c r="U27" s="5">
        <f t="shared" si="12"/>
        <v>1.6214825534651842</v>
      </c>
      <c r="V27" s="5">
        <f t="shared" si="12"/>
        <v>1.4772525886731256</v>
      </c>
      <c r="W27" s="5">
        <f t="shared" si="12"/>
        <v>1.2661385891598569</v>
      </c>
      <c r="X27" s="5">
        <f t="shared" si="12"/>
        <v>1.0606060606060614</v>
      </c>
      <c r="Y27" s="5">
        <f t="shared" si="12"/>
        <v>1.8996599261345024</v>
      </c>
      <c r="Z27" s="5">
        <f t="shared" si="12"/>
        <v>2.148936297465895</v>
      </c>
      <c r="AC27" s="1" t="s">
        <v>14</v>
      </c>
      <c r="AD27">
        <v>58460.999999999993</v>
      </c>
      <c r="AE27">
        <v>59866</v>
      </c>
      <c r="AF27">
        <v>61226</v>
      </c>
      <c r="AG27">
        <v>62537</v>
      </c>
      <c r="AH27">
        <v>63590</v>
      </c>
      <c r="AI27">
        <v>64537</v>
      </c>
      <c r="AJ27">
        <v>65418</v>
      </c>
      <c r="AK27">
        <v>66770</v>
      </c>
    </row>
    <row r="28" spans="1:37" x14ac:dyDescent="0.35">
      <c r="A28" s="175" t="s">
        <v>4</v>
      </c>
      <c r="B28" s="179" t="s">
        <v>7</v>
      </c>
      <c r="C28" s="21" t="s">
        <v>22</v>
      </c>
      <c r="D28" s="100">
        <f>'Raw Data Totals'!D28/S$31</f>
        <v>3.6074126680163316</v>
      </c>
      <c r="E28" s="100">
        <f>'Raw Data Totals'!E28/T$31</f>
        <v>0</v>
      </c>
      <c r="F28" s="100">
        <f>'Raw Data Totals'!F28/U$31</f>
        <v>3.014704219832232</v>
      </c>
      <c r="G28" s="100">
        <f>'Raw Data Totals'!G28/V$31</f>
        <v>1.0067375913299759</v>
      </c>
      <c r="H28" s="100">
        <f>'Raw Data Totals'!H28/W$31</f>
        <v>0</v>
      </c>
      <c r="I28" s="100">
        <f>'Raw Data Totals'!I28/X$31</f>
        <v>2.372985928193446</v>
      </c>
      <c r="J28" s="100">
        <f>'Raw Data Totals'!J28/Y$31</f>
        <v>4.4279789228203281</v>
      </c>
      <c r="K28" s="100">
        <f>'Raw Data Totals'!K28/Z$31</f>
        <v>0</v>
      </c>
      <c r="L28" s="100">
        <f>'Raw Data Totals'!L28/AA$31</f>
        <v>0.41017563720785238</v>
      </c>
      <c r="M28" s="100">
        <f t="shared" si="4"/>
        <v>1.6488883297111294</v>
      </c>
      <c r="N28" s="22" t="s">
        <v>4</v>
      </c>
      <c r="O28" s="115" t="s">
        <v>7</v>
      </c>
      <c r="S28" s="1" t="s">
        <v>18</v>
      </c>
      <c r="T28" s="5">
        <f t="shared" si="12"/>
        <v>0.35209764841448798</v>
      </c>
      <c r="U28" s="5">
        <f t="shared" si="12"/>
        <v>0.1373678950390135</v>
      </c>
      <c r="V28" s="5">
        <f t="shared" si="12"/>
        <v>0.12189010354288876</v>
      </c>
      <c r="W28" s="5">
        <f t="shared" si="12"/>
        <v>0.38473774629366098</v>
      </c>
      <c r="X28" s="5">
        <f t="shared" si="12"/>
        <v>0.3088923820631107</v>
      </c>
      <c r="Y28" s="5">
        <f t="shared" si="12"/>
        <v>1.2123867336751264</v>
      </c>
      <c r="Z28" s="5">
        <f t="shared" si="12"/>
        <v>1.4721490379212565</v>
      </c>
      <c r="AC28" s="1" t="s">
        <v>11</v>
      </c>
      <c r="AD28">
        <v>8512</v>
      </c>
      <c r="AE28">
        <v>8519</v>
      </c>
      <c r="AF28">
        <v>8527</v>
      </c>
      <c r="AG28">
        <v>8557</v>
      </c>
      <c r="AH28">
        <v>8559</v>
      </c>
      <c r="AI28">
        <v>8554</v>
      </c>
      <c r="AJ28">
        <v>8617</v>
      </c>
      <c r="AK28">
        <v>8825</v>
      </c>
    </row>
    <row r="29" spans="1:37" x14ac:dyDescent="0.35">
      <c r="A29" s="175"/>
      <c r="B29" s="180"/>
      <c r="C29" s="23" t="s">
        <v>23</v>
      </c>
      <c r="D29" s="86">
        <f>'Raw Data Totals'!D29/S$31</f>
        <v>2.0427517517682841</v>
      </c>
      <c r="E29" s="86">
        <f>'Raw Data Totals'!E29/T$31</f>
        <v>0</v>
      </c>
      <c r="F29" s="86">
        <f>'Raw Data Totals'!F29/U$31</f>
        <v>0.376838027479029</v>
      </c>
      <c r="G29" s="86">
        <f>'Raw Data Totals'!G29/V$31</f>
        <v>0.50336879566498793</v>
      </c>
      <c r="H29" s="86">
        <f>'Raw Data Totals'!H29/W$31</f>
        <v>0</v>
      </c>
      <c r="I29" s="86">
        <f>'Raw Data Totals'!I29/X$31</f>
        <v>0.79099530939781526</v>
      </c>
      <c r="J29" s="86">
        <f>'Raw Data Totals'!J29/Y$31</f>
        <v>0</v>
      </c>
      <c r="K29" s="86">
        <f>'Raw Data Totals'!K29/Z$31</f>
        <v>0</v>
      </c>
      <c r="L29" s="86">
        <f>'Raw Data Totals'!L29/AA$31</f>
        <v>1.2305269116235571</v>
      </c>
      <c r="M29" s="86">
        <f t="shared" si="4"/>
        <v>0.54938675510374158</v>
      </c>
      <c r="N29" s="24" t="s">
        <v>4</v>
      </c>
      <c r="O29" s="116" t="s">
        <v>7</v>
      </c>
    </row>
    <row r="30" spans="1:37" x14ac:dyDescent="0.35">
      <c r="A30" s="175"/>
      <c r="B30" s="180"/>
      <c r="C30" s="23" t="s">
        <v>24</v>
      </c>
      <c r="D30" s="86">
        <f>'Raw Data Totals'!D30/S$31</f>
        <v>0.73886765489491135</v>
      </c>
      <c r="E30" s="86">
        <f>'Raw Data Totals'!E30/T$31</f>
        <v>0</v>
      </c>
      <c r="F30" s="86">
        <f>'Raw Data Totals'!F30/U$31</f>
        <v>1.507352109916116</v>
      </c>
      <c r="G30" s="86">
        <f>'Raw Data Totals'!G30/V$31</f>
        <v>0.25168439783249397</v>
      </c>
      <c r="H30" s="86">
        <f>'Raw Data Totals'!H30/W$31</f>
        <v>1.4976785981728322</v>
      </c>
      <c r="I30" s="86">
        <f>'Raw Data Totals'!I30/X$31</f>
        <v>0</v>
      </c>
      <c r="J30" s="86">
        <f>'Raw Data Totals'!J30/Y$31</f>
        <v>0</v>
      </c>
      <c r="K30" s="86">
        <f>'Raw Data Totals'!K30/Z$31</f>
        <v>0</v>
      </c>
      <c r="L30" s="86">
        <f>'Raw Data Totals'!L30/AA$31</f>
        <v>0</v>
      </c>
      <c r="M30" s="86">
        <f t="shared" si="4"/>
        <v>0.44395364009070598</v>
      </c>
      <c r="N30" s="24" t="s">
        <v>4</v>
      </c>
      <c r="O30" s="116" t="s">
        <v>7</v>
      </c>
      <c r="S30" s="1" t="s">
        <v>10</v>
      </c>
      <c r="T30" s="1" t="s">
        <v>11</v>
      </c>
      <c r="U30" s="1" t="s">
        <v>12</v>
      </c>
      <c r="V30" s="1" t="s">
        <v>13</v>
      </c>
      <c r="W30" s="1" t="s">
        <v>14</v>
      </c>
      <c r="X30" s="1" t="s">
        <v>15</v>
      </c>
      <c r="Y30" s="1" t="s">
        <v>16</v>
      </c>
      <c r="Z30" s="1" t="s">
        <v>17</v>
      </c>
      <c r="AA30" s="1" t="s">
        <v>18</v>
      </c>
    </row>
    <row r="31" spans="1:37" x14ac:dyDescent="0.35">
      <c r="A31" s="175"/>
      <c r="B31" s="180"/>
      <c r="C31" s="23" t="s">
        <v>25</v>
      </c>
      <c r="D31" s="86">
        <f>'Raw Data Totals'!D31/S$31</f>
        <v>0.78233045812402369</v>
      </c>
      <c r="E31" s="86">
        <f>'Raw Data Totals'!E31/T$31</f>
        <v>22.6628895184136</v>
      </c>
      <c r="F31" s="86">
        <f>'Raw Data Totals'!F31/U$31</f>
        <v>1.507352109916116</v>
      </c>
      <c r="G31" s="86">
        <f>'Raw Data Totals'!G31/V$31</f>
        <v>0.50336879566498793</v>
      </c>
      <c r="H31" s="86">
        <f>'Raw Data Totals'!H31/W$31</f>
        <v>8.9860715890369924</v>
      </c>
      <c r="I31" s="86">
        <f>'Raw Data Totals'!I31/X$31</f>
        <v>2.372985928193446</v>
      </c>
      <c r="J31" s="86">
        <f>'Raw Data Totals'!J31/Y$31</f>
        <v>1.4759929742734426</v>
      </c>
      <c r="K31" s="86">
        <f>'Raw Data Totals'!K31/Z$31</f>
        <v>2.34203007166612</v>
      </c>
      <c r="L31" s="86">
        <f>'Raw Data Totals'!L31/AA$31</f>
        <v>2.4610538232471142</v>
      </c>
      <c r="M31" s="86">
        <f t="shared" si="4"/>
        <v>4.7882305853928715</v>
      </c>
      <c r="N31" s="24" t="s">
        <v>4</v>
      </c>
      <c r="O31" s="116" t="s">
        <v>7</v>
      </c>
      <c r="S31">
        <v>23.008179999999999</v>
      </c>
      <c r="T31">
        <v>8.8249999999999995E-2</v>
      </c>
      <c r="U31">
        <v>2.6536599999999999</v>
      </c>
      <c r="V31">
        <v>3.97323</v>
      </c>
      <c r="W31">
        <v>0.66769999999999996</v>
      </c>
      <c r="X31">
        <v>1.26423</v>
      </c>
      <c r="Y31">
        <v>0.67750999999999995</v>
      </c>
      <c r="Z31">
        <v>1.7079200000000001</v>
      </c>
      <c r="AA31">
        <v>2.43798</v>
      </c>
    </row>
    <row r="32" spans="1:37" ht="15" thickBot="1" x14ac:dyDescent="0.4">
      <c r="A32" s="175"/>
      <c r="B32" s="180"/>
      <c r="C32" s="23" t="s">
        <v>26</v>
      </c>
      <c r="D32" s="86">
        <f>'Raw Data Totals'!D32/S$31</f>
        <v>0.13038840968733728</v>
      </c>
      <c r="E32" s="86">
        <f>'Raw Data Totals'!E32/T$31</f>
        <v>0</v>
      </c>
      <c r="F32" s="86">
        <f>'Raw Data Totals'!F32/U$31</f>
        <v>0.376838027479029</v>
      </c>
      <c r="G32" s="86">
        <f>'Raw Data Totals'!G32/V$31</f>
        <v>0</v>
      </c>
      <c r="H32" s="86">
        <f>'Raw Data Totals'!H32/W$31</f>
        <v>0</v>
      </c>
      <c r="I32" s="86">
        <f>'Raw Data Totals'!I32/X$31</f>
        <v>0</v>
      </c>
      <c r="J32" s="86">
        <f>'Raw Data Totals'!J32/Y$31</f>
        <v>0</v>
      </c>
      <c r="K32" s="86">
        <f>'Raw Data Totals'!K32/Z$31</f>
        <v>0</v>
      </c>
      <c r="L32" s="86">
        <f>'Raw Data Totals'!L32/AA$31</f>
        <v>0</v>
      </c>
      <c r="M32" s="86">
        <f t="shared" si="4"/>
        <v>5.635849301848514E-2</v>
      </c>
      <c r="N32" s="24" t="s">
        <v>4</v>
      </c>
      <c r="O32" s="116" t="s">
        <v>7</v>
      </c>
    </row>
    <row r="33" spans="1:45" ht="15" thickBot="1" x14ac:dyDescent="0.4">
      <c r="A33" s="175"/>
      <c r="B33" s="196"/>
      <c r="C33" s="25" t="s">
        <v>27</v>
      </c>
      <c r="D33" s="99">
        <f>'Raw Data Totals'!D33/S$31</f>
        <v>0.30423962260378701</v>
      </c>
      <c r="E33" s="99">
        <f>'Raw Data Totals'!E33/T$31</f>
        <v>11.3314447592068</v>
      </c>
      <c r="F33" s="99">
        <f>'Raw Data Totals'!F33/U$31</f>
        <v>0</v>
      </c>
      <c r="G33" s="99">
        <f>'Raw Data Totals'!G33/V$31</f>
        <v>0</v>
      </c>
      <c r="H33" s="99">
        <f>'Raw Data Totals'!H33/W$31</f>
        <v>0</v>
      </c>
      <c r="I33" s="99">
        <f>'Raw Data Totals'!I33/X$31</f>
        <v>0</v>
      </c>
      <c r="J33" s="99">
        <f>'Raw Data Totals'!J33/Y$31</f>
        <v>0</v>
      </c>
      <c r="K33" s="99">
        <f>'Raw Data Totals'!K33/Z$31</f>
        <v>0.58550751791653</v>
      </c>
      <c r="L33" s="99">
        <f>'Raw Data Totals'!L33/AA$31</f>
        <v>0</v>
      </c>
      <c r="M33" s="99">
        <f t="shared" si="4"/>
        <v>1.3579102110807908</v>
      </c>
      <c r="N33" s="26" t="s">
        <v>4</v>
      </c>
      <c r="O33" s="117" t="s">
        <v>7</v>
      </c>
      <c r="S33" s="183" t="s">
        <v>65</v>
      </c>
      <c r="T33" s="184"/>
      <c r="U33" s="184"/>
      <c r="V33" s="184"/>
      <c r="W33" s="184"/>
      <c r="X33" s="184"/>
      <c r="Y33" s="184"/>
      <c r="Z33" s="184"/>
      <c r="AA33" s="185"/>
      <c r="AC33" s="183" t="s">
        <v>66</v>
      </c>
      <c r="AD33" s="184"/>
      <c r="AE33" s="184"/>
      <c r="AF33" s="184"/>
      <c r="AG33" s="184"/>
      <c r="AH33" s="184"/>
      <c r="AI33" s="184"/>
      <c r="AJ33" s="185"/>
    </row>
    <row r="34" spans="1:45" ht="15" thickBot="1" x14ac:dyDescent="0.4">
      <c r="A34" s="175"/>
      <c r="B34" s="179" t="s">
        <v>8</v>
      </c>
      <c r="C34" s="21" t="s">
        <v>28</v>
      </c>
      <c r="D34" s="100">
        <f>'Raw Data Totals'!D34/S$31</f>
        <v>36.726068728600005</v>
      </c>
      <c r="E34" s="100">
        <f>'Raw Data Totals'!E34/T$31</f>
        <v>838.52691218130315</v>
      </c>
      <c r="F34" s="100">
        <f>'Raw Data Totals'!F34/U$31</f>
        <v>32.031232335717462</v>
      </c>
      <c r="G34" s="100">
        <f>'Raw Data Totals'!G34/V$31</f>
        <v>51.595301555661266</v>
      </c>
      <c r="H34" s="100">
        <f>'Raw Data Totals'!H34/W$31</f>
        <v>146.77250262093756</v>
      </c>
      <c r="I34" s="100">
        <f>'Raw Data Totals'!I34/X$31</f>
        <v>97.29242305593128</v>
      </c>
      <c r="J34" s="100">
        <f>'Raw Data Totals'!J34/Y$31</f>
        <v>172.69117798999278</v>
      </c>
      <c r="K34" s="100">
        <f>'Raw Data Totals'!K34/Z$31</f>
        <v>15.223195465829781</v>
      </c>
      <c r="L34" s="100">
        <f>'Raw Data Totals'!L34/AA$31</f>
        <v>52.502481562605105</v>
      </c>
      <c r="M34" s="100">
        <f t="shared" si="4"/>
        <v>160.37347727739763</v>
      </c>
      <c r="N34" s="22" t="s">
        <v>4</v>
      </c>
      <c r="O34" s="115" t="s">
        <v>8</v>
      </c>
      <c r="S34" s="186"/>
      <c r="T34" s="187"/>
      <c r="U34" s="187"/>
      <c r="V34" s="187"/>
      <c r="W34" s="187"/>
      <c r="X34" s="187"/>
      <c r="Y34" s="187"/>
      <c r="Z34" s="187"/>
      <c r="AA34" s="188"/>
      <c r="AC34" s="186"/>
      <c r="AD34" s="187"/>
      <c r="AE34" s="187"/>
      <c r="AF34" s="187"/>
      <c r="AG34" s="187"/>
      <c r="AH34" s="187"/>
      <c r="AI34" s="187"/>
      <c r="AJ34" s="188"/>
    </row>
    <row r="35" spans="1:45" ht="15.5" x14ac:dyDescent="0.35">
      <c r="A35" s="175"/>
      <c r="B35" s="180"/>
      <c r="C35" s="23" t="s">
        <v>29</v>
      </c>
      <c r="D35" s="86">
        <f>'Raw Data Totals'!D35/S$31</f>
        <v>12.951915362275503</v>
      </c>
      <c r="E35" s="86">
        <f>'Raw Data Totals'!E35/T$31</f>
        <v>215.2974504249292</v>
      </c>
      <c r="F35" s="86">
        <f>'Raw Data Totals'!F35/U$31</f>
        <v>6.029408439664464</v>
      </c>
      <c r="G35" s="86">
        <f>'Raw Data Totals'!G35/V$31</f>
        <v>19.631383030934529</v>
      </c>
      <c r="H35" s="86">
        <f>'Raw Data Totals'!H35/W$31</f>
        <v>23.962857570765316</v>
      </c>
      <c r="I35" s="86">
        <f>'Raw Data Totals'!I35/X$31</f>
        <v>38.758770160492951</v>
      </c>
      <c r="J35" s="86">
        <f>'Raw Data Totals'!J35/Y$31</f>
        <v>50.183761125297046</v>
      </c>
      <c r="K35" s="86">
        <f>'Raw Data Totals'!K35/Z$31</f>
        <v>2.34203007166612</v>
      </c>
      <c r="L35" s="86">
        <f>'Raw Data Totals'!L35/AA$31</f>
        <v>20.50878186039262</v>
      </c>
      <c r="M35" s="86">
        <f t="shared" si="4"/>
        <v>43.296262005157523</v>
      </c>
      <c r="N35" s="24" t="s">
        <v>4</v>
      </c>
      <c r="O35" s="116" t="s">
        <v>8</v>
      </c>
      <c r="S35" s="4" t="s">
        <v>58</v>
      </c>
      <c r="T35" s="4">
        <v>2016</v>
      </c>
      <c r="U35" s="4">
        <v>2017</v>
      </c>
      <c r="V35" s="4">
        <v>2018</v>
      </c>
      <c r="W35" s="4">
        <v>2019</v>
      </c>
      <c r="X35" s="4">
        <v>2020</v>
      </c>
      <c r="Y35" s="4">
        <v>2021</v>
      </c>
      <c r="Z35" s="4">
        <v>2022</v>
      </c>
      <c r="AA35" s="4">
        <v>2023</v>
      </c>
      <c r="AC35" s="4" t="s">
        <v>58</v>
      </c>
      <c r="AD35" s="4" t="s">
        <v>0</v>
      </c>
      <c r="AE35" s="4" t="s">
        <v>1</v>
      </c>
      <c r="AF35" s="4" t="s">
        <v>2</v>
      </c>
      <c r="AG35" s="4" t="s">
        <v>3</v>
      </c>
      <c r="AH35" s="4" t="s">
        <v>4</v>
      </c>
      <c r="AI35" s="4" t="s">
        <v>5</v>
      </c>
      <c r="AJ35" s="4" t="s">
        <v>6</v>
      </c>
    </row>
    <row r="36" spans="1:45" x14ac:dyDescent="0.35">
      <c r="A36" s="175"/>
      <c r="B36" s="180"/>
      <c r="C36" s="23" t="s">
        <v>30</v>
      </c>
      <c r="D36" s="86">
        <f>'Raw Data Totals'!D36/S$31</f>
        <v>3.4335614550998819</v>
      </c>
      <c r="E36" s="86">
        <f>'Raw Data Totals'!E36/T$31</f>
        <v>101.98300283286119</v>
      </c>
      <c r="F36" s="86">
        <f>'Raw Data Totals'!F36/U$31</f>
        <v>6.7830844946225213</v>
      </c>
      <c r="G36" s="86">
        <f>'Raw Data Totals'!G36/V$31</f>
        <v>4.0269503653199035</v>
      </c>
      <c r="H36" s="86">
        <f>'Raw Data Totals'!H36/W$31</f>
        <v>13.47910738355549</v>
      </c>
      <c r="I36" s="86">
        <f>'Raw Data Totals'!I36/X$31</f>
        <v>20.565878044343197</v>
      </c>
      <c r="J36" s="86">
        <f>'Raw Data Totals'!J36/Y$31</f>
        <v>66.41968384230492</v>
      </c>
      <c r="K36" s="86">
        <f>'Raw Data Totals'!K36/Z$31</f>
        <v>5.2695676612487699</v>
      </c>
      <c r="L36" s="86">
        <f>'Raw Data Totals'!L36/AA$31</f>
        <v>9.4340396557806052</v>
      </c>
      <c r="M36" s="86">
        <f t="shared" si="4"/>
        <v>25.710541748348497</v>
      </c>
      <c r="N36" s="24" t="s">
        <v>4</v>
      </c>
      <c r="O36" s="116" t="s">
        <v>8</v>
      </c>
      <c r="S36" s="1" t="s">
        <v>10</v>
      </c>
      <c r="T36">
        <f t="shared" ref="T36:AA38" si="13">T6*100000</f>
        <v>2020458</v>
      </c>
      <c r="U36">
        <f t="shared" si="13"/>
        <v>2059891</v>
      </c>
      <c r="V36">
        <f t="shared" si="13"/>
        <v>2097199</v>
      </c>
      <c r="W36">
        <f t="shared" si="13"/>
        <v>2136081</v>
      </c>
      <c r="X36">
        <f t="shared" si="13"/>
        <v>2170713</v>
      </c>
      <c r="Y36">
        <f t="shared" si="13"/>
        <v>2185531</v>
      </c>
      <c r="Z36">
        <f t="shared" si="13"/>
        <v>2232196</v>
      </c>
      <c r="AA36">
        <f t="shared" si="13"/>
        <v>2300818</v>
      </c>
      <c r="AC36" s="1" t="s">
        <v>13</v>
      </c>
      <c r="AD36" s="5">
        <v>2.203762638521793</v>
      </c>
      <c r="AE36" s="5">
        <v>2.382306717958349</v>
      </c>
      <c r="AF36" s="5">
        <v>2.6516333935695227</v>
      </c>
      <c r="AG36" s="5">
        <v>2.1389911840196412</v>
      </c>
      <c r="AH36" s="5">
        <v>2.0545905978306847</v>
      </c>
      <c r="AI36" s="5">
        <v>3.0254610857294337</v>
      </c>
      <c r="AJ36" s="5">
        <v>3.2187419628870453</v>
      </c>
      <c r="AO36" s="138" t="s">
        <v>128</v>
      </c>
      <c r="AP36" s="159" t="s">
        <v>129</v>
      </c>
      <c r="AQ36" s="160" t="s">
        <v>57</v>
      </c>
    </row>
    <row r="37" spans="1:45" ht="14.5" customHeight="1" x14ac:dyDescent="0.35">
      <c r="A37" s="175"/>
      <c r="B37" s="180"/>
      <c r="C37" s="23" t="s">
        <v>31</v>
      </c>
      <c r="D37" s="86">
        <f>'Raw Data Totals'!D37/S$31</f>
        <v>0.17385121291644973</v>
      </c>
      <c r="E37" s="86">
        <f>'Raw Data Totals'!E37/T$31</f>
        <v>11.3314447592068</v>
      </c>
      <c r="F37" s="86">
        <f>'Raw Data Totals'!F37/U$31</f>
        <v>0</v>
      </c>
      <c r="G37" s="86">
        <f>'Raw Data Totals'!G37/V$31</f>
        <v>0</v>
      </c>
      <c r="H37" s="86">
        <f>'Raw Data Totals'!H37/W$31</f>
        <v>1.4976785981728322</v>
      </c>
      <c r="I37" s="86">
        <f>'Raw Data Totals'!I37/X$31</f>
        <v>0</v>
      </c>
      <c r="J37" s="86">
        <f>'Raw Data Totals'!J37/Y$31</f>
        <v>5.9039718970937702</v>
      </c>
      <c r="K37" s="86">
        <f>'Raw Data Totals'!K37/Z$31</f>
        <v>0</v>
      </c>
      <c r="L37" s="86">
        <f>'Raw Data Totals'!L37/AA$31</f>
        <v>2.0508781860392622</v>
      </c>
      <c r="M37" s="86">
        <f t="shared" si="4"/>
        <v>2.3286471837143461</v>
      </c>
      <c r="N37" s="24" t="s">
        <v>4</v>
      </c>
      <c r="O37" s="116" t="s">
        <v>8</v>
      </c>
      <c r="S37" s="1" t="s">
        <v>11</v>
      </c>
      <c r="T37">
        <f t="shared" si="13"/>
        <v>8512</v>
      </c>
      <c r="U37">
        <f t="shared" si="13"/>
        <v>8519</v>
      </c>
      <c r="V37">
        <f t="shared" si="13"/>
        <v>8527</v>
      </c>
      <c r="W37">
        <f t="shared" si="13"/>
        <v>8557</v>
      </c>
      <c r="X37">
        <f t="shared" si="13"/>
        <v>8559</v>
      </c>
      <c r="Y37">
        <f t="shared" si="13"/>
        <v>8554</v>
      </c>
      <c r="Z37">
        <f t="shared" si="13"/>
        <v>8617</v>
      </c>
      <c r="AA37">
        <f t="shared" si="13"/>
        <v>8825</v>
      </c>
      <c r="AC37" s="1" t="s">
        <v>10</v>
      </c>
      <c r="AD37" s="5">
        <v>1.9516862018413652</v>
      </c>
      <c r="AE37" s="5">
        <v>1.811163794589139</v>
      </c>
      <c r="AF37" s="5">
        <v>1.8539966879633214</v>
      </c>
      <c r="AG37" s="5">
        <v>1.6212868332240147</v>
      </c>
      <c r="AH37" s="5">
        <v>0.6826328492066891</v>
      </c>
      <c r="AI37" s="5">
        <v>2.1351790480208304</v>
      </c>
      <c r="AJ37" s="5">
        <v>3.0741924096271056</v>
      </c>
      <c r="AO37" s="139" t="s">
        <v>10</v>
      </c>
      <c r="AP37" s="140">
        <v>29.98</v>
      </c>
      <c r="AQ37" s="141">
        <v>2300818</v>
      </c>
      <c r="AS37">
        <f>ROUND(AP37,2)</f>
        <v>29.98</v>
      </c>
    </row>
    <row r="38" spans="1:45" x14ac:dyDescent="0.35">
      <c r="A38" s="175"/>
      <c r="B38" s="180"/>
      <c r="C38" s="23" t="s">
        <v>32</v>
      </c>
      <c r="D38" s="86">
        <f>'Raw Data Totals'!D38/S$31</f>
        <v>61.108701340132079</v>
      </c>
      <c r="E38" s="86">
        <f>'Raw Data Totals'!E38/T$31</f>
        <v>3274.787535410765</v>
      </c>
      <c r="F38" s="86">
        <f>'Raw Data Totals'!F38/U$31</f>
        <v>61.801436506560755</v>
      </c>
      <c r="G38" s="86">
        <f>'Raw Data Totals'!G38/V$31</f>
        <v>83.307535682555496</v>
      </c>
      <c r="H38" s="86">
        <f>'Raw Data Totals'!H38/W$31</f>
        <v>387.89875692676355</v>
      </c>
      <c r="I38" s="86">
        <f>'Raw Data Totals'!I38/X$31</f>
        <v>178.76493992390627</v>
      </c>
      <c r="J38" s="86">
        <f>'Raw Data Totals'!J38/Y$31</f>
        <v>287.81862998332133</v>
      </c>
      <c r="K38" s="86">
        <f>'Raw Data Totals'!K38/Z$31</f>
        <v>18.73624057332896</v>
      </c>
      <c r="L38" s="86">
        <f>'Raw Data Totals'!L38/AA$31</f>
        <v>155.45656650177605</v>
      </c>
      <c r="M38" s="86">
        <f t="shared" si="4"/>
        <v>501.07559364990112</v>
      </c>
      <c r="N38" s="24" t="s">
        <v>4</v>
      </c>
      <c r="O38" s="116" t="s">
        <v>8</v>
      </c>
      <c r="S38" s="1" t="s">
        <v>12</v>
      </c>
      <c r="T38">
        <f t="shared" si="13"/>
        <v>246684</v>
      </c>
      <c r="U38">
        <f t="shared" si="13"/>
        <v>249681</v>
      </c>
      <c r="V38">
        <f t="shared" si="13"/>
        <v>252209</v>
      </c>
      <c r="W38">
        <f t="shared" si="13"/>
        <v>254138.99999999997</v>
      </c>
      <c r="X38">
        <f t="shared" si="13"/>
        <v>256262</v>
      </c>
      <c r="Y38">
        <f t="shared" si="13"/>
        <v>257065</v>
      </c>
      <c r="Z38">
        <f t="shared" si="13"/>
        <v>260664</v>
      </c>
      <c r="AA38">
        <f t="shared" si="13"/>
        <v>265366</v>
      </c>
      <c r="AC38" s="1" t="s">
        <v>11</v>
      </c>
      <c r="AD38" s="5">
        <v>8.2236842105263885E-2</v>
      </c>
      <c r="AE38" s="5">
        <v>9.3907735649720311E-2</v>
      </c>
      <c r="AF38" s="5">
        <v>0.35182361909228888</v>
      </c>
      <c r="AG38" s="5">
        <v>2.3372677340196477E-2</v>
      </c>
      <c r="AH38" s="5">
        <v>-5.8418039490588262E-2</v>
      </c>
      <c r="AI38" s="5">
        <v>0.73649754500817355</v>
      </c>
      <c r="AJ38" s="5">
        <v>2.4138331205756045</v>
      </c>
      <c r="AO38" s="142" t="s">
        <v>11</v>
      </c>
      <c r="AP38" s="143">
        <v>870.9</v>
      </c>
      <c r="AQ38" s="144">
        <v>8825</v>
      </c>
      <c r="AS38">
        <f t="shared" ref="AS38:AS45" si="14">ROUND(AP38,2)</f>
        <v>870.9</v>
      </c>
    </row>
    <row r="39" spans="1:45" x14ac:dyDescent="0.35">
      <c r="A39" s="175"/>
      <c r="B39" s="180"/>
      <c r="C39" s="23" t="s">
        <v>33</v>
      </c>
      <c r="D39" s="86">
        <f>'Raw Data Totals'!D39/S$31</f>
        <v>17.34165848841586</v>
      </c>
      <c r="E39" s="86">
        <f>'Raw Data Totals'!E39/T$31</f>
        <v>702.54957507082156</v>
      </c>
      <c r="F39" s="86">
        <f>'Raw Data Totals'!F39/U$31</f>
        <v>44.466887242525416</v>
      </c>
      <c r="G39" s="86">
        <f>'Raw Data Totals'!G39/V$31</f>
        <v>30.957180933396756</v>
      </c>
      <c r="H39" s="86">
        <f>'Raw Data Totals'!H39/W$31</f>
        <v>77.87928710498727</v>
      </c>
      <c r="I39" s="86">
        <f>'Raw Data Totals'!I39/X$31</f>
        <v>55.369671657847071</v>
      </c>
      <c r="J39" s="86">
        <f>'Raw Data Totals'!J39/Y$31</f>
        <v>42.803796253929832</v>
      </c>
      <c r="K39" s="86">
        <f>'Raw Data Totals'!K39/Z$31</f>
        <v>11.710150358330599</v>
      </c>
      <c r="L39" s="86">
        <f>'Raw Data Totals'!L39/AA$31</f>
        <v>31.993699702212488</v>
      </c>
      <c r="M39" s="86">
        <f t="shared" si="4"/>
        <v>112.78576742360742</v>
      </c>
      <c r="N39" s="24" t="s">
        <v>4</v>
      </c>
      <c r="O39" s="116" t="s">
        <v>8</v>
      </c>
      <c r="S39" s="1" t="s">
        <v>13</v>
      </c>
      <c r="T39">
        <f t="shared" ref="T39:AA44" si="15">T9*100000</f>
        <v>333702</v>
      </c>
      <c r="U39">
        <f t="shared" si="15"/>
        <v>341056</v>
      </c>
      <c r="V39">
        <f t="shared" si="15"/>
        <v>349181</v>
      </c>
      <c r="W39">
        <f t="shared" si="15"/>
        <v>358440</v>
      </c>
      <c r="X39">
        <f t="shared" si="15"/>
        <v>366107</v>
      </c>
      <c r="Y39">
        <f t="shared" si="15"/>
        <v>373629</v>
      </c>
      <c r="Z39">
        <f t="shared" si="15"/>
        <v>384933</v>
      </c>
      <c r="AA39">
        <f t="shared" si="15"/>
        <v>397323</v>
      </c>
      <c r="AC39" s="1" t="s">
        <v>16</v>
      </c>
      <c r="AD39" s="5">
        <v>2.5747903572542108</v>
      </c>
      <c r="AE39" s="5">
        <v>1.6046459539884323</v>
      </c>
      <c r="AF39" s="5">
        <v>1.1384213261112532</v>
      </c>
      <c r="AG39" s="5">
        <v>1.4976958525345563</v>
      </c>
      <c r="AH39" s="5">
        <v>0.30217504678345053</v>
      </c>
      <c r="AI39" s="5">
        <v>1.1928247006468824</v>
      </c>
      <c r="AJ39" s="5">
        <v>2.3877529431321767</v>
      </c>
      <c r="AO39" s="139" t="s">
        <v>12</v>
      </c>
      <c r="AP39" s="140">
        <v>30.69</v>
      </c>
      <c r="AQ39" s="141">
        <v>265366</v>
      </c>
      <c r="AS39">
        <f t="shared" si="14"/>
        <v>30.69</v>
      </c>
    </row>
    <row r="40" spans="1:45" ht="15" thickBot="1" x14ac:dyDescent="0.4">
      <c r="A40" s="175"/>
      <c r="B40" s="196"/>
      <c r="C40" s="25" t="s">
        <v>34</v>
      </c>
      <c r="D40" s="99">
        <f>'Raw Data Totals'!D40/S$31</f>
        <v>16.64625363675006</v>
      </c>
      <c r="E40" s="99">
        <f>'Raw Data Totals'!E40/T$31</f>
        <v>2039.660056657224</v>
      </c>
      <c r="F40" s="99">
        <f>'Raw Data Totals'!F40/U$31</f>
        <v>18.465063346472419</v>
      </c>
      <c r="G40" s="99">
        <f>'Raw Data Totals'!G40/V$31</f>
        <v>15.352748267782133</v>
      </c>
      <c r="H40" s="99">
        <f>'Raw Data Totals'!H40/W$31</f>
        <v>98.846787479406927</v>
      </c>
      <c r="I40" s="99">
        <f>'Raw Data Totals'!I40/X$31</f>
        <v>36.385784232299507</v>
      </c>
      <c r="J40" s="99">
        <f>'Raw Data Totals'!J40/Y$31</f>
        <v>35.423831382562625</v>
      </c>
      <c r="K40" s="99">
        <f>'Raw Data Totals'!K40/Z$31</f>
        <v>7.6115977329148903</v>
      </c>
      <c r="L40" s="99">
        <f>'Raw Data Totals'!L40/AA$31</f>
        <v>36.095456074291008</v>
      </c>
      <c r="M40" s="99">
        <f t="shared" si="4"/>
        <v>256.05417542330048</v>
      </c>
      <c r="N40" s="26" t="s">
        <v>4</v>
      </c>
      <c r="O40" s="117" t="s">
        <v>8</v>
      </c>
      <c r="S40" s="1" t="s">
        <v>14</v>
      </c>
      <c r="T40">
        <f t="shared" si="15"/>
        <v>58460.999999999993</v>
      </c>
      <c r="U40">
        <f t="shared" si="15"/>
        <v>59866</v>
      </c>
      <c r="V40">
        <f t="shared" si="15"/>
        <v>61226</v>
      </c>
      <c r="W40">
        <f t="shared" si="15"/>
        <v>62537</v>
      </c>
      <c r="X40">
        <f t="shared" si="15"/>
        <v>63590</v>
      </c>
      <c r="Y40">
        <f t="shared" si="15"/>
        <v>64537</v>
      </c>
      <c r="Z40">
        <f t="shared" si="15"/>
        <v>65418</v>
      </c>
      <c r="AA40">
        <f t="shared" si="15"/>
        <v>66770</v>
      </c>
      <c r="AC40" s="1" t="s">
        <v>17</v>
      </c>
      <c r="AD40" s="5">
        <v>1.7093849354319572</v>
      </c>
      <c r="AE40" s="5">
        <v>1.6214825534651842</v>
      </c>
      <c r="AF40" s="5">
        <v>1.4772525886731256</v>
      </c>
      <c r="AG40" s="5">
        <v>1.2661385891598569</v>
      </c>
      <c r="AH40" s="5">
        <v>1.0606060606060614</v>
      </c>
      <c r="AI40" s="5">
        <v>1.8996599261345024</v>
      </c>
      <c r="AJ40" s="5">
        <v>2.148936297465895</v>
      </c>
      <c r="AO40" s="142" t="s">
        <v>13</v>
      </c>
      <c r="AP40" s="143">
        <v>20.64</v>
      </c>
      <c r="AQ40" s="144">
        <v>397323</v>
      </c>
      <c r="AS40">
        <f t="shared" si="14"/>
        <v>20.64</v>
      </c>
    </row>
    <row r="41" spans="1:45" x14ac:dyDescent="0.35">
      <c r="A41" s="176" t="s">
        <v>3</v>
      </c>
      <c r="B41" s="177" t="s">
        <v>7</v>
      </c>
      <c r="C41" s="27" t="s">
        <v>22</v>
      </c>
      <c r="D41" s="102">
        <f>'Raw Data Totals'!D41/S$31</f>
        <v>3.4335614550998819</v>
      </c>
      <c r="E41" s="102">
        <f>'Raw Data Totals'!E41/T$31</f>
        <v>0</v>
      </c>
      <c r="F41" s="102">
        <f>'Raw Data Totals'!F41/U$31</f>
        <v>3.014704219832232</v>
      </c>
      <c r="G41" s="102">
        <f>'Raw Data Totals'!G41/V$31</f>
        <v>2.2651595804924458</v>
      </c>
      <c r="H41" s="102">
        <f>'Raw Data Totals'!H41/W$31</f>
        <v>4.4930357945184962</v>
      </c>
      <c r="I41" s="102">
        <f>'Raw Data Totals'!I41/X$31</f>
        <v>3.163981237591261</v>
      </c>
      <c r="J41" s="102">
        <f>'Raw Data Totals'!J41/Y$31</f>
        <v>8.8559578456406562</v>
      </c>
      <c r="K41" s="102">
        <f>'Raw Data Totals'!K41/Z$31</f>
        <v>0</v>
      </c>
      <c r="L41" s="102">
        <f>'Raw Data Totals'!L41/AA$31</f>
        <v>0.82035127441570477</v>
      </c>
      <c r="M41" s="102">
        <f t="shared" si="4"/>
        <v>2.8940834897322976</v>
      </c>
      <c r="N41" s="30" t="s">
        <v>3</v>
      </c>
      <c r="O41" s="118" t="s">
        <v>7</v>
      </c>
      <c r="S41" s="1" t="s">
        <v>15</v>
      </c>
      <c r="T41">
        <f t="shared" si="15"/>
        <v>118272</v>
      </c>
      <c r="U41">
        <f t="shared" si="15"/>
        <v>118774</v>
      </c>
      <c r="V41">
        <f t="shared" si="15"/>
        <v>119356</v>
      </c>
      <c r="W41">
        <f t="shared" si="15"/>
        <v>120390</v>
      </c>
      <c r="X41">
        <f t="shared" si="15"/>
        <v>121558.00000000001</v>
      </c>
      <c r="Y41">
        <f t="shared" si="15"/>
        <v>122759</v>
      </c>
      <c r="Z41">
        <f t="shared" si="15"/>
        <v>124496.99999999999</v>
      </c>
      <c r="AA41">
        <f t="shared" si="15"/>
        <v>126423</v>
      </c>
      <c r="AC41" s="1" t="s">
        <v>14</v>
      </c>
      <c r="AD41" s="5">
        <v>2.4033116094490357</v>
      </c>
      <c r="AE41" s="5">
        <v>2.2717402198242835</v>
      </c>
      <c r="AF41" s="5">
        <v>2.1412471825694892</v>
      </c>
      <c r="AG41" s="5">
        <v>1.6838031885124072</v>
      </c>
      <c r="AH41" s="5">
        <v>1.489227866016666</v>
      </c>
      <c r="AI41" s="5">
        <v>1.3651083874366619</v>
      </c>
      <c r="AJ41" s="5">
        <v>2.0667094683420428</v>
      </c>
      <c r="AO41" s="139" t="s">
        <v>14</v>
      </c>
      <c r="AP41" s="140">
        <v>103.55</v>
      </c>
      <c r="AQ41" s="141">
        <v>66770</v>
      </c>
      <c r="AS41">
        <f t="shared" si="14"/>
        <v>103.55</v>
      </c>
    </row>
    <row r="42" spans="1:45" x14ac:dyDescent="0.35">
      <c r="A42" s="176"/>
      <c r="B42" s="178"/>
      <c r="C42" s="28" t="s">
        <v>23</v>
      </c>
      <c r="D42" s="88">
        <f>'Raw Data Totals'!D42/S$31</f>
        <v>1.6950493259353847</v>
      </c>
      <c r="E42" s="88">
        <f>'Raw Data Totals'!E42/T$31</f>
        <v>0</v>
      </c>
      <c r="F42" s="88">
        <f>'Raw Data Totals'!F42/U$31</f>
        <v>2.2610281648741739</v>
      </c>
      <c r="G42" s="88">
        <f>'Raw Data Totals'!G42/V$31</f>
        <v>0.7550531934974819</v>
      </c>
      <c r="H42" s="88">
        <f>'Raw Data Totals'!H42/W$31</f>
        <v>0</v>
      </c>
      <c r="I42" s="88">
        <f>'Raw Data Totals'!I42/X$31</f>
        <v>3.163981237591261</v>
      </c>
      <c r="J42" s="88">
        <f>'Raw Data Totals'!J42/Y$31</f>
        <v>0</v>
      </c>
      <c r="K42" s="88">
        <f>'Raw Data Totals'!K42/Z$31</f>
        <v>0</v>
      </c>
      <c r="L42" s="88">
        <f>'Raw Data Totals'!L42/AA$31</f>
        <v>1.2305269116235571</v>
      </c>
      <c r="M42" s="88">
        <f t="shared" si="4"/>
        <v>1.0117376481690954</v>
      </c>
      <c r="N42" s="31" t="s">
        <v>3</v>
      </c>
      <c r="O42" s="119" t="s">
        <v>7</v>
      </c>
      <c r="S42" s="1" t="s">
        <v>16</v>
      </c>
      <c r="T42">
        <f t="shared" si="15"/>
        <v>60937</v>
      </c>
      <c r="U42">
        <f t="shared" si="15"/>
        <v>62505.999999999993</v>
      </c>
      <c r="V42">
        <f t="shared" si="15"/>
        <v>63509.000000000007</v>
      </c>
      <c r="W42">
        <f t="shared" si="15"/>
        <v>64232</v>
      </c>
      <c r="X42">
        <f t="shared" si="15"/>
        <v>65194</v>
      </c>
      <c r="Y42">
        <f t="shared" si="15"/>
        <v>65391</v>
      </c>
      <c r="Z42">
        <f t="shared" si="15"/>
        <v>66171</v>
      </c>
      <c r="AA42">
        <f t="shared" si="15"/>
        <v>67751</v>
      </c>
      <c r="AC42" s="1" t="s">
        <v>12</v>
      </c>
      <c r="AD42" s="5">
        <v>1.2149146276207641</v>
      </c>
      <c r="AE42" s="5">
        <v>1.0124919397150753</v>
      </c>
      <c r="AF42" s="5">
        <v>0.76523835390489126</v>
      </c>
      <c r="AG42" s="5">
        <v>0.83536962056197928</v>
      </c>
      <c r="AH42" s="5">
        <v>0.31335117965208281</v>
      </c>
      <c r="AI42" s="5">
        <v>1.4000350106004305</v>
      </c>
      <c r="AJ42" s="5">
        <v>1.8038547708927908</v>
      </c>
      <c r="AO42" s="142" t="s">
        <v>15</v>
      </c>
      <c r="AP42" s="143">
        <v>52.43</v>
      </c>
      <c r="AQ42" s="144">
        <v>126423</v>
      </c>
      <c r="AS42">
        <f t="shared" si="14"/>
        <v>52.43</v>
      </c>
    </row>
    <row r="43" spans="1:45" x14ac:dyDescent="0.35">
      <c r="A43" s="176"/>
      <c r="B43" s="178"/>
      <c r="C43" s="28" t="s">
        <v>24</v>
      </c>
      <c r="D43" s="88">
        <f>'Raw Data Totals'!D43/S$31</f>
        <v>0.47809083552023673</v>
      </c>
      <c r="E43" s="88">
        <f>'Raw Data Totals'!E43/T$31</f>
        <v>0</v>
      </c>
      <c r="F43" s="88">
        <f>'Raw Data Totals'!F43/U$31</f>
        <v>0</v>
      </c>
      <c r="G43" s="88">
        <f>'Raw Data Totals'!G43/V$31</f>
        <v>0</v>
      </c>
      <c r="H43" s="88">
        <f>'Raw Data Totals'!H43/W$31</f>
        <v>0</v>
      </c>
      <c r="I43" s="88">
        <f>'Raw Data Totals'!I43/X$31</f>
        <v>0</v>
      </c>
      <c r="J43" s="88">
        <f>'Raw Data Totals'!J43/Y$31</f>
        <v>0</v>
      </c>
      <c r="K43" s="88">
        <f>'Raw Data Totals'!K43/Z$31</f>
        <v>0</v>
      </c>
      <c r="L43" s="88">
        <f>'Raw Data Totals'!L43/AA$31</f>
        <v>0.82035127441570477</v>
      </c>
      <c r="M43" s="88">
        <f t="shared" si="4"/>
        <v>0.14427134554843796</v>
      </c>
      <c r="N43" s="31" t="s">
        <v>3</v>
      </c>
      <c r="O43" s="119" t="s">
        <v>7</v>
      </c>
      <c r="S43" s="1" t="s">
        <v>17</v>
      </c>
      <c r="T43">
        <f t="shared" si="15"/>
        <v>152862</v>
      </c>
      <c r="U43">
        <f t="shared" si="15"/>
        <v>155475</v>
      </c>
      <c r="V43">
        <f t="shared" si="15"/>
        <v>157996</v>
      </c>
      <c r="W43">
        <f t="shared" si="15"/>
        <v>160330</v>
      </c>
      <c r="X43">
        <f t="shared" si="15"/>
        <v>162360</v>
      </c>
      <c r="Y43">
        <f t="shared" si="15"/>
        <v>164082</v>
      </c>
      <c r="Z43">
        <f t="shared" si="15"/>
        <v>167199</v>
      </c>
      <c r="AA43">
        <f t="shared" si="15"/>
        <v>170792</v>
      </c>
      <c r="AC43" s="1" t="s">
        <v>15</v>
      </c>
      <c r="AD43" s="5">
        <v>0.42444534632034836</v>
      </c>
      <c r="AE43" s="5">
        <v>0.49000623031976154</v>
      </c>
      <c r="AF43" s="5">
        <v>0.86631589530480391</v>
      </c>
      <c r="AG43" s="5">
        <v>0.97018024752887566</v>
      </c>
      <c r="AH43" s="5">
        <v>0.98800572566181188</v>
      </c>
      <c r="AI43" s="5">
        <v>1.4157821422461858</v>
      </c>
      <c r="AJ43" s="5">
        <v>1.5470252295236075</v>
      </c>
      <c r="AO43" s="139" t="s">
        <v>16</v>
      </c>
      <c r="AP43" s="140">
        <v>121.03</v>
      </c>
      <c r="AQ43" s="141">
        <v>67751</v>
      </c>
      <c r="AS43">
        <f t="shared" si="14"/>
        <v>121.03</v>
      </c>
    </row>
    <row r="44" spans="1:45" x14ac:dyDescent="0.35">
      <c r="A44" s="176"/>
      <c r="B44" s="178"/>
      <c r="C44" s="28" t="s">
        <v>25</v>
      </c>
      <c r="D44" s="88">
        <f>'Raw Data Totals'!D44/S$31</f>
        <v>0.30423962260378701</v>
      </c>
      <c r="E44" s="88">
        <f>'Raw Data Totals'!E44/T$31</f>
        <v>0</v>
      </c>
      <c r="F44" s="88">
        <f>'Raw Data Totals'!F44/U$31</f>
        <v>0.75367605495805801</v>
      </c>
      <c r="G44" s="88">
        <f>'Raw Data Totals'!G44/V$31</f>
        <v>0.7550531934974819</v>
      </c>
      <c r="H44" s="88">
        <f>'Raw Data Totals'!H44/W$31</f>
        <v>1.4976785981728322</v>
      </c>
      <c r="I44" s="88">
        <f>'Raw Data Totals'!I44/X$31</f>
        <v>1.5819906187956305</v>
      </c>
      <c r="J44" s="88">
        <f>'Raw Data Totals'!J44/Y$31</f>
        <v>0</v>
      </c>
      <c r="K44" s="88">
        <f>'Raw Data Totals'!K44/Z$31</f>
        <v>1.17101503583306</v>
      </c>
      <c r="L44" s="88">
        <f>'Raw Data Totals'!L44/AA$31</f>
        <v>1.2305269116235571</v>
      </c>
      <c r="M44" s="88">
        <f t="shared" si="4"/>
        <v>0.81046444838715626</v>
      </c>
      <c r="N44" s="31" t="s">
        <v>3</v>
      </c>
      <c r="O44" s="119" t="s">
        <v>7</v>
      </c>
      <c r="S44" s="1" t="s">
        <v>18</v>
      </c>
      <c r="T44">
        <f t="shared" si="15"/>
        <v>234310.00000000003</v>
      </c>
      <c r="U44">
        <f t="shared" si="15"/>
        <v>235135</v>
      </c>
      <c r="V44">
        <f t="shared" si="15"/>
        <v>235458</v>
      </c>
      <c r="W44">
        <f t="shared" si="15"/>
        <v>235745</v>
      </c>
      <c r="X44">
        <f t="shared" si="15"/>
        <v>236652</v>
      </c>
      <c r="Y44">
        <f t="shared" si="15"/>
        <v>237383</v>
      </c>
      <c r="Z44">
        <f t="shared" si="15"/>
        <v>240261</v>
      </c>
      <c r="AA44">
        <f t="shared" si="15"/>
        <v>243798</v>
      </c>
      <c r="AC44" s="1" t="s">
        <v>18</v>
      </c>
      <c r="AD44" s="5">
        <v>0.35209764841448798</v>
      </c>
      <c r="AE44" s="5">
        <v>0.1373678950390135</v>
      </c>
      <c r="AF44" s="5">
        <v>0.12189010354288876</v>
      </c>
      <c r="AG44" s="5">
        <v>0.38473774629366098</v>
      </c>
      <c r="AH44" s="5">
        <v>0.3088923820631107</v>
      </c>
      <c r="AI44" s="5">
        <v>1.2123867336751264</v>
      </c>
      <c r="AJ44" s="5">
        <v>1.4721490379212565</v>
      </c>
      <c r="AO44" s="142" t="s">
        <v>17</v>
      </c>
      <c r="AP44" s="143">
        <v>49.68</v>
      </c>
      <c r="AQ44" s="144">
        <v>170792</v>
      </c>
      <c r="AS44">
        <f t="shared" si="14"/>
        <v>49.68</v>
      </c>
    </row>
    <row r="45" spans="1:45" ht="15" thickBot="1" x14ac:dyDescent="0.4">
      <c r="A45" s="176"/>
      <c r="B45" s="178"/>
      <c r="C45" s="28" t="s">
        <v>26</v>
      </c>
      <c r="D45" s="88">
        <f>'Raw Data Totals'!D45/S$31</f>
        <v>8.6925606458224863E-2</v>
      </c>
      <c r="E45" s="88">
        <f>'Raw Data Totals'!E45/T$31</f>
        <v>22.6628895184136</v>
      </c>
      <c r="F45" s="88">
        <f>'Raw Data Totals'!F45/U$31</f>
        <v>0</v>
      </c>
      <c r="G45" s="88">
        <f>'Raw Data Totals'!G45/V$31</f>
        <v>0</v>
      </c>
      <c r="H45" s="88">
        <f>'Raw Data Totals'!H45/W$31</f>
        <v>0</v>
      </c>
      <c r="I45" s="88">
        <f>'Raw Data Totals'!I45/X$31</f>
        <v>0</v>
      </c>
      <c r="J45" s="88">
        <f>'Raw Data Totals'!J45/Y$31</f>
        <v>1.4759929742734426</v>
      </c>
      <c r="K45" s="88">
        <f>'Raw Data Totals'!K45/Z$31</f>
        <v>0</v>
      </c>
      <c r="L45" s="88">
        <f>'Raw Data Totals'!L45/AA$31</f>
        <v>0</v>
      </c>
      <c r="M45" s="88">
        <f t="shared" si="4"/>
        <v>2.6917564554605851</v>
      </c>
      <c r="N45" s="31" t="s">
        <v>3</v>
      </c>
      <c r="O45" s="119" t="s">
        <v>7</v>
      </c>
      <c r="AO45" s="139" t="s">
        <v>18</v>
      </c>
      <c r="AP45" s="140">
        <v>32.520000000000003</v>
      </c>
      <c r="AQ45" s="141">
        <v>243798</v>
      </c>
      <c r="AS45">
        <f t="shared" si="14"/>
        <v>32.520000000000003</v>
      </c>
    </row>
    <row r="46" spans="1:45" ht="15" thickBot="1" x14ac:dyDescent="0.4">
      <c r="A46" s="176"/>
      <c r="B46" s="195"/>
      <c r="C46" s="29" t="s">
        <v>27</v>
      </c>
      <c r="D46" s="101">
        <f>'Raw Data Totals'!D46/S$31</f>
        <v>0.30423962260378701</v>
      </c>
      <c r="E46" s="101">
        <f>'Raw Data Totals'!E46/T$31</f>
        <v>0</v>
      </c>
      <c r="F46" s="101">
        <f>'Raw Data Totals'!F46/U$31</f>
        <v>0</v>
      </c>
      <c r="G46" s="101">
        <f>'Raw Data Totals'!G46/V$31</f>
        <v>0.25168439783249397</v>
      </c>
      <c r="H46" s="101">
        <f>'Raw Data Totals'!H46/W$31</f>
        <v>0</v>
      </c>
      <c r="I46" s="101">
        <f>'Raw Data Totals'!I46/X$31</f>
        <v>0</v>
      </c>
      <c r="J46" s="101">
        <f>'Raw Data Totals'!J46/Y$31</f>
        <v>0</v>
      </c>
      <c r="K46" s="101">
        <f>'Raw Data Totals'!K46/Z$31</f>
        <v>0</v>
      </c>
      <c r="L46" s="101">
        <f>'Raw Data Totals'!L46/AA$31</f>
        <v>0</v>
      </c>
      <c r="M46" s="101">
        <f t="shared" si="4"/>
        <v>6.1769335604031222E-2</v>
      </c>
      <c r="N46" s="32" t="s">
        <v>3</v>
      </c>
      <c r="O46" s="120" t="s">
        <v>7</v>
      </c>
      <c r="AC46" s="183" t="s">
        <v>130</v>
      </c>
      <c r="AD46" s="184"/>
      <c r="AE46" s="184"/>
      <c r="AF46" s="184"/>
      <c r="AG46" s="184"/>
      <c r="AH46" s="184"/>
      <c r="AI46" s="184"/>
      <c r="AJ46" s="184"/>
      <c r="AK46" s="185"/>
    </row>
    <row r="47" spans="1:45" ht="15" thickBot="1" x14ac:dyDescent="0.4">
      <c r="A47" s="176"/>
      <c r="B47" s="177" t="s">
        <v>8</v>
      </c>
      <c r="C47" s="27" t="s">
        <v>28</v>
      </c>
      <c r="D47" s="102">
        <f>'Raw Data Totals'!D47/S$31</f>
        <v>33.770598109020355</v>
      </c>
      <c r="E47" s="102">
        <f>'Raw Data Totals'!E47/T$31</f>
        <v>895.18413597733718</v>
      </c>
      <c r="F47" s="102">
        <f>'Raw Data Totals'!F47/U$31</f>
        <v>45.597401324962505</v>
      </c>
      <c r="G47" s="102">
        <f>'Raw Data Totals'!G47/V$31</f>
        <v>32.467287320391719</v>
      </c>
      <c r="H47" s="102">
        <f>'Raw Data Totals'!H47/W$31</f>
        <v>154.26089561180171</v>
      </c>
      <c r="I47" s="102">
        <f>'Raw Data Totals'!I47/X$31</f>
        <v>162.94503373594995</v>
      </c>
      <c r="J47" s="102">
        <f>'Raw Data Totals'!J47/Y$31</f>
        <v>172.69117798999278</v>
      </c>
      <c r="K47" s="102">
        <f>'Raw Data Totals'!K47/Z$31</f>
        <v>18.73624057332896</v>
      </c>
      <c r="L47" s="102">
        <f>'Raw Data Totals'!L47/AA$31</f>
        <v>98.852328567092428</v>
      </c>
      <c r="M47" s="102">
        <f t="shared" si="4"/>
        <v>179.38945546776418</v>
      </c>
      <c r="N47" s="30" t="s">
        <v>3</v>
      </c>
      <c r="O47" s="118" t="s">
        <v>8</v>
      </c>
      <c r="AC47" s="186"/>
      <c r="AD47" s="187"/>
      <c r="AE47" s="187"/>
      <c r="AF47" s="187"/>
      <c r="AG47" s="187"/>
      <c r="AH47" s="187"/>
      <c r="AI47" s="187"/>
      <c r="AJ47" s="187"/>
      <c r="AK47" s="188"/>
    </row>
    <row r="48" spans="1:45" ht="14.5" customHeight="1" x14ac:dyDescent="0.35">
      <c r="A48" s="176"/>
      <c r="B48" s="178"/>
      <c r="C48" s="28" t="s">
        <v>29</v>
      </c>
      <c r="D48" s="88">
        <f>'Raw Data Totals'!D48/S$31</f>
        <v>9.1706514813427233</v>
      </c>
      <c r="E48" s="88">
        <f>'Raw Data Totals'!E48/T$31</f>
        <v>113.31444759206799</v>
      </c>
      <c r="F48" s="88">
        <f>'Raw Data Totals'!F48/U$31</f>
        <v>8.2904366045386375</v>
      </c>
      <c r="G48" s="88">
        <f>'Raw Data Totals'!G48/V$31</f>
        <v>4.7820035588173857</v>
      </c>
      <c r="H48" s="88">
        <f>'Raw Data Totals'!H48/W$31</f>
        <v>28.455893365283814</v>
      </c>
      <c r="I48" s="88">
        <f>'Raw Data Totals'!I48/X$31</f>
        <v>8.7009484033759676</v>
      </c>
      <c r="J48" s="88">
        <f>'Raw Data Totals'!J48/Y$31</f>
        <v>67.895676816578359</v>
      </c>
      <c r="K48" s="88">
        <f>'Raw Data Totals'!K48/Z$31</f>
        <v>0.58550751791653</v>
      </c>
      <c r="L48" s="88">
        <f>'Raw Data Totals'!L48/AA$31</f>
        <v>27.891943330133962</v>
      </c>
      <c r="M48" s="88">
        <f t="shared" si="4"/>
        <v>29.8986120744506</v>
      </c>
      <c r="N48" s="31" t="s">
        <v>3</v>
      </c>
      <c r="O48" s="119" t="s">
        <v>8</v>
      </c>
      <c r="AC48" s="4" t="s">
        <v>58</v>
      </c>
      <c r="AD48" s="4">
        <v>2016</v>
      </c>
      <c r="AE48" s="4">
        <v>2017</v>
      </c>
      <c r="AF48" s="4">
        <v>2018</v>
      </c>
      <c r="AG48" s="4">
        <v>2019</v>
      </c>
      <c r="AH48" s="4">
        <v>2020</v>
      </c>
      <c r="AI48" s="4">
        <v>2021</v>
      </c>
      <c r="AJ48" s="4">
        <v>2022</v>
      </c>
      <c r="AK48" s="4">
        <v>2023</v>
      </c>
    </row>
    <row r="49" spans="1:43" x14ac:dyDescent="0.35">
      <c r="A49" s="176"/>
      <c r="B49" s="178"/>
      <c r="C49" s="28" t="s">
        <v>30</v>
      </c>
      <c r="D49" s="88">
        <f>'Raw Data Totals'!D49/S$31</f>
        <v>2.0427517517682841</v>
      </c>
      <c r="E49" s="88">
        <f>'Raw Data Totals'!E49/T$31</f>
        <v>181.3031161473088</v>
      </c>
      <c r="F49" s="88">
        <f>'Raw Data Totals'!F49/U$31</f>
        <v>7.1599225221015503</v>
      </c>
      <c r="G49" s="88">
        <f>'Raw Data Totals'!G49/V$31</f>
        <v>2.2651595804924458</v>
      </c>
      <c r="H49" s="88">
        <f>'Raw Data Totals'!H49/W$31</f>
        <v>11.981428785382658</v>
      </c>
      <c r="I49" s="88">
        <f>'Raw Data Totals'!I49/X$31</f>
        <v>32.430807685310427</v>
      </c>
      <c r="J49" s="88">
        <f>'Raw Data Totals'!J49/Y$31</f>
        <v>11.80794379418754</v>
      </c>
      <c r="K49" s="88">
        <f>'Raw Data Totals'!K49/Z$31</f>
        <v>3.5130451074991802</v>
      </c>
      <c r="L49" s="88">
        <f>'Raw Data Totals'!L49/AA$31</f>
        <v>8.2035127441570488</v>
      </c>
      <c r="M49" s="88">
        <f t="shared" si="4"/>
        <v>28.967520902023107</v>
      </c>
      <c r="N49" s="31" t="s">
        <v>3</v>
      </c>
      <c r="O49" s="119" t="s">
        <v>8</v>
      </c>
      <c r="AC49" s="1" t="s">
        <v>10</v>
      </c>
      <c r="AD49" s="5"/>
      <c r="AK49" s="5">
        <f>AVERAGE(D8:D14)</f>
        <v>29.97691628430783</v>
      </c>
    </row>
    <row r="50" spans="1:43" x14ac:dyDescent="0.35">
      <c r="A50" s="176"/>
      <c r="B50" s="178"/>
      <c r="C50" s="28" t="s">
        <v>31</v>
      </c>
      <c r="D50" s="88">
        <f>'Raw Data Totals'!D50/S$31</f>
        <v>0.47809083552023673</v>
      </c>
      <c r="E50" s="88">
        <f>'Raw Data Totals'!E50/T$31</f>
        <v>0</v>
      </c>
      <c r="F50" s="88">
        <f>'Raw Data Totals'!F50/U$31</f>
        <v>0</v>
      </c>
      <c r="G50" s="88">
        <f>'Raw Data Totals'!G50/V$31</f>
        <v>0.25168439783249397</v>
      </c>
      <c r="H50" s="88">
        <f>'Raw Data Totals'!H50/W$31</f>
        <v>1.4976785981728322</v>
      </c>
      <c r="I50" s="88">
        <f>'Raw Data Totals'!I50/X$31</f>
        <v>0.79099530939781526</v>
      </c>
      <c r="J50" s="88">
        <f>'Raw Data Totals'!J50/Y$31</f>
        <v>28.043866511195407</v>
      </c>
      <c r="K50" s="88">
        <f>'Raw Data Totals'!K50/Z$31</f>
        <v>0</v>
      </c>
      <c r="L50" s="88">
        <f>'Raw Data Totals'!L50/AA$31</f>
        <v>1.6407025488314095</v>
      </c>
      <c r="M50" s="88">
        <f t="shared" si="4"/>
        <v>3.6336686889944656</v>
      </c>
      <c r="N50" s="31" t="s">
        <v>3</v>
      </c>
      <c r="O50" s="119" t="s">
        <v>8</v>
      </c>
      <c r="AC50" s="1" t="s">
        <v>11</v>
      </c>
      <c r="AD50" s="5"/>
      <c r="AK50" s="5">
        <f>AVERAGE(E8:E14)</f>
        <v>870.90246863617972</v>
      </c>
    </row>
    <row r="51" spans="1:43" x14ac:dyDescent="0.35">
      <c r="A51" s="176"/>
      <c r="B51" s="178"/>
      <c r="C51" s="28" t="s">
        <v>32</v>
      </c>
      <c r="D51" s="88">
        <f>'Raw Data Totals'!D51/S$31</f>
        <v>56.37125578815882</v>
      </c>
      <c r="E51" s="88">
        <f>'Raw Data Totals'!E51/T$31</f>
        <v>2674.2209631728047</v>
      </c>
      <c r="F51" s="88">
        <f>'Raw Data Totals'!F51/U$31</f>
        <v>64.062464671434924</v>
      </c>
      <c r="G51" s="88">
        <f>'Raw Data Totals'!G51/V$31</f>
        <v>72.485106575758266</v>
      </c>
      <c r="H51" s="88">
        <f>'Raw Data Totals'!H51/W$31</f>
        <v>259.09839748389999</v>
      </c>
      <c r="I51" s="88">
        <f>'Raw Data Totals'!I51/X$31</f>
        <v>199.33081796824945</v>
      </c>
      <c r="J51" s="88">
        <f>'Raw Data Totals'!J51/Y$31</f>
        <v>277.48667916340719</v>
      </c>
      <c r="K51" s="88">
        <f>'Raw Data Totals'!K51/Z$31</f>
        <v>32.788421003325681</v>
      </c>
      <c r="L51" s="88">
        <f>'Raw Data Totals'!L51/AA$31</f>
        <v>118.54075915306935</v>
      </c>
      <c r="M51" s="88">
        <f t="shared" si="4"/>
        <v>417.15387388667875</v>
      </c>
      <c r="N51" s="31" t="s">
        <v>3</v>
      </c>
      <c r="O51" s="119" t="s">
        <v>8</v>
      </c>
      <c r="AC51" s="1" t="s">
        <v>12</v>
      </c>
      <c r="AD51" s="5"/>
      <c r="AK51" s="5">
        <f>AVERAGE(F8:F14)</f>
        <v>30.685382237578075</v>
      </c>
      <c r="AO51">
        <f>PEARSON(AD36:AI36,'Raw Data Totals With Totals'!AI23:AI28)</f>
        <v>-0.82616156968724774</v>
      </c>
      <c r="AP51">
        <f>PEARSON(AD37:AI37,'Raw Data Totals With Totals'!AF23:AF28)</f>
        <v>-0.18988843517490778</v>
      </c>
      <c r="AQ51">
        <f>PEARSON(AD38:AI38,'Raw Data Totals With Totals'!AG23:AG28)</f>
        <v>-0.41274820705870707</v>
      </c>
    </row>
    <row r="52" spans="1:43" x14ac:dyDescent="0.35">
      <c r="A52" s="176"/>
      <c r="B52" s="178"/>
      <c r="C52" s="28" t="s">
        <v>33</v>
      </c>
      <c r="D52" s="88">
        <f>'Raw Data Totals'!D52/S$31</f>
        <v>19.34094743695503</v>
      </c>
      <c r="E52" s="88">
        <f>'Raw Data Totals'!E52/T$31</f>
        <v>498.58356940509918</v>
      </c>
      <c r="F52" s="88">
        <f>'Raw Data Totals'!F52/U$31</f>
        <v>20.726091511346592</v>
      </c>
      <c r="G52" s="88">
        <f>'Raw Data Totals'!G52/V$31</f>
        <v>33.222340513889201</v>
      </c>
      <c r="H52" s="88">
        <f>'Raw Data Totals'!H52/W$31</f>
        <v>79.37696570316011</v>
      </c>
      <c r="I52" s="88">
        <f>'Raw Data Totals'!I52/X$31</f>
        <v>111.53033862509196</v>
      </c>
      <c r="J52" s="88">
        <f>'Raw Data Totals'!J52/Y$31</f>
        <v>84.131599533586225</v>
      </c>
      <c r="K52" s="88">
        <f>'Raw Data Totals'!K52/Z$31</f>
        <v>28.104360859993442</v>
      </c>
      <c r="L52" s="88">
        <f>'Raw Data Totals'!L52/AA$31</f>
        <v>66.858628864879947</v>
      </c>
      <c r="M52" s="88">
        <f t="shared" si="4"/>
        <v>104.65276027266685</v>
      </c>
      <c r="N52" s="31" t="s">
        <v>3</v>
      </c>
      <c r="O52" s="119" t="s">
        <v>8</v>
      </c>
      <c r="AC52" s="1" t="s">
        <v>13</v>
      </c>
      <c r="AD52" s="5"/>
      <c r="AK52" s="5">
        <f>AVERAGE(G8:G14)</f>
        <v>20.638120622264502</v>
      </c>
    </row>
    <row r="53" spans="1:43" ht="15" thickBot="1" x14ac:dyDescent="0.4">
      <c r="A53" s="176"/>
      <c r="B53" s="195"/>
      <c r="C53" s="29" t="s">
        <v>34</v>
      </c>
      <c r="D53" s="101">
        <f>'Raw Data Totals'!D53/S$31</f>
        <v>22.513732072680238</v>
      </c>
      <c r="E53" s="101">
        <f>'Raw Data Totals'!E53/T$31</f>
        <v>215.2974504249292</v>
      </c>
      <c r="F53" s="101">
        <f>'Raw Data Totals'!F53/U$31</f>
        <v>7.5367605495805794</v>
      </c>
      <c r="G53" s="101">
        <f>'Raw Data Totals'!G53/V$31</f>
        <v>8.0539007306398069</v>
      </c>
      <c r="H53" s="101">
        <f>'Raw Data Totals'!H53/W$31</f>
        <v>80.874644301332935</v>
      </c>
      <c r="I53" s="101">
        <f>'Raw Data Totals'!I53/X$31</f>
        <v>33.221802994708241</v>
      </c>
      <c r="J53" s="101">
        <f>'Raw Data Totals'!J53/Y$31</f>
        <v>48.707768151023608</v>
      </c>
      <c r="K53" s="101">
        <f>'Raw Data Totals'!K53/Z$31</f>
        <v>27.518853342076909</v>
      </c>
      <c r="L53" s="101">
        <f>'Raw Data Totals'!L53/AA$31</f>
        <v>11.074742204612015</v>
      </c>
      <c r="M53" s="101">
        <f t="shared" si="4"/>
        <v>50.533294974620389</v>
      </c>
      <c r="N53" s="32" t="s">
        <v>3</v>
      </c>
      <c r="O53" s="120" t="s">
        <v>8</v>
      </c>
      <c r="T53" s="1" t="s">
        <v>10</v>
      </c>
      <c r="U53" s="1" t="s">
        <v>11</v>
      </c>
      <c r="V53" s="1" t="s">
        <v>12</v>
      </c>
      <c r="W53" s="1" t="s">
        <v>13</v>
      </c>
      <c r="X53" s="1" t="s">
        <v>14</v>
      </c>
      <c r="Y53" s="1" t="s">
        <v>15</v>
      </c>
      <c r="Z53" s="1" t="s">
        <v>16</v>
      </c>
      <c r="AA53" s="1" t="s">
        <v>17</v>
      </c>
      <c r="AB53" s="1" t="s">
        <v>18</v>
      </c>
      <c r="AC53" s="1" t="s">
        <v>14</v>
      </c>
      <c r="AD53" s="5"/>
      <c r="AK53" s="5">
        <f>AVERAGE(H8:H14)</f>
        <v>103.55377735937869</v>
      </c>
    </row>
    <row r="54" spans="1:43" x14ac:dyDescent="0.35">
      <c r="A54" s="173" t="s">
        <v>2</v>
      </c>
      <c r="B54" s="171" t="s">
        <v>7</v>
      </c>
      <c r="C54" s="37" t="s">
        <v>22</v>
      </c>
      <c r="D54" s="104">
        <f>'Raw Data Totals'!D54/S$31</f>
        <v>3.737801077703669</v>
      </c>
      <c r="E54" s="104">
        <f>'Raw Data Totals'!E54/T$31</f>
        <v>0</v>
      </c>
      <c r="F54" s="104">
        <f>'Raw Data Totals'!F54/U$31</f>
        <v>3.014704219832232</v>
      </c>
      <c r="G54" s="104">
        <f>'Raw Data Totals'!G54/V$31</f>
        <v>0.50336879566498793</v>
      </c>
      <c r="H54" s="104">
        <f>'Raw Data Totals'!H54/W$31</f>
        <v>2.9953571963456644</v>
      </c>
      <c r="I54" s="104">
        <f>'Raw Data Totals'!I54/X$31</f>
        <v>1.5819906187956305</v>
      </c>
      <c r="J54" s="104">
        <f>'Raw Data Totals'!J54/Y$31</f>
        <v>0</v>
      </c>
      <c r="K54" s="104">
        <f>'Raw Data Totals'!K54/Z$31</f>
        <v>1.17101503583306</v>
      </c>
      <c r="L54" s="104">
        <f>'Raw Data Totals'!L54/AA$31</f>
        <v>0.41017563720785238</v>
      </c>
      <c r="M54" s="104">
        <f t="shared" si="4"/>
        <v>1.4904902868203438</v>
      </c>
      <c r="N54" s="38" t="s">
        <v>2</v>
      </c>
      <c r="O54" s="121" t="s">
        <v>7</v>
      </c>
      <c r="S54" t="s">
        <v>22</v>
      </c>
      <c r="T54">
        <f>IF(D80 &gt; 0, (D2-D80)/D80, D2)</f>
        <v>0.27848101265822783</v>
      </c>
      <c r="U54">
        <f t="shared" ref="U54:AA54" si="16">IF(E80 &gt; 0, (E2-E80)/E80, E2)</f>
        <v>11.3314447592068</v>
      </c>
      <c r="V54">
        <f t="shared" si="16"/>
        <v>0.33333333333333343</v>
      </c>
      <c r="W54">
        <f t="shared" si="16"/>
        <v>8</v>
      </c>
      <c r="X54">
        <f t="shared" si="16"/>
        <v>-0.5</v>
      </c>
      <c r="Y54">
        <f t="shared" si="16"/>
        <v>-0.79999999999999993</v>
      </c>
      <c r="Z54">
        <f t="shared" si="16"/>
        <v>0</v>
      </c>
      <c r="AA54">
        <f t="shared" si="16"/>
        <v>3</v>
      </c>
      <c r="AB54">
        <f>IF(L80 &gt; 0, (L2-L80)/L80, L2)</f>
        <v>-0.14285714285714288</v>
      </c>
      <c r="AC54" s="1" t="s">
        <v>15</v>
      </c>
      <c r="AD54" s="5"/>
      <c r="AK54" s="5">
        <f>AVERAGE(I8:I14)</f>
        <v>52.431689080083757</v>
      </c>
    </row>
    <row r="55" spans="1:43" x14ac:dyDescent="0.35">
      <c r="A55" s="173"/>
      <c r="B55" s="172"/>
      <c r="C55" s="33" t="s">
        <v>23</v>
      </c>
      <c r="D55" s="90">
        <f>'Raw Data Totals'!D55/S$31</f>
        <v>1.8689005388518345</v>
      </c>
      <c r="E55" s="90">
        <f>'Raw Data Totals'!E55/T$31</f>
        <v>0</v>
      </c>
      <c r="F55" s="90">
        <f>'Raw Data Totals'!F55/U$31</f>
        <v>0</v>
      </c>
      <c r="G55" s="90">
        <f>'Raw Data Totals'!G55/V$31</f>
        <v>0.50336879566498793</v>
      </c>
      <c r="H55" s="90">
        <f>'Raw Data Totals'!H55/W$31</f>
        <v>1.4976785981728322</v>
      </c>
      <c r="I55" s="90">
        <f>'Raw Data Totals'!I55/X$31</f>
        <v>2.372985928193446</v>
      </c>
      <c r="J55" s="90">
        <f>'Raw Data Totals'!J55/Y$31</f>
        <v>0</v>
      </c>
      <c r="K55" s="90">
        <f>'Raw Data Totals'!K55/Z$31</f>
        <v>0.58550751791653</v>
      </c>
      <c r="L55" s="90">
        <f>'Raw Data Totals'!L55/AA$31</f>
        <v>0</v>
      </c>
      <c r="M55" s="90">
        <f t="shared" si="4"/>
        <v>0.75871570875551453</v>
      </c>
      <c r="N55" s="34" t="s">
        <v>2</v>
      </c>
      <c r="O55" s="122" t="s">
        <v>7</v>
      </c>
      <c r="S55" t="s">
        <v>23</v>
      </c>
      <c r="T55">
        <f t="shared" ref="T55:T66" si="17">IF(D81 &gt; 0, (D3-D81)/D81, D3)</f>
        <v>0.29870129870129869</v>
      </c>
      <c r="U55">
        <f t="shared" ref="U55:U66" si="18">IF(E81 &gt; 0, (E3-E81)/E81, E3)</f>
        <v>0</v>
      </c>
      <c r="V55">
        <f t="shared" ref="V55:V66" si="19">IF(F81 &gt; 0, (F3-F81)/F81, F3)</f>
        <v>-1</v>
      </c>
      <c r="W55">
        <f t="shared" ref="W55:W66" si="20">IF(G81 &gt; 0, (G3-G81)/G81, G3)</f>
        <v>2.333333333333333</v>
      </c>
      <c r="X55">
        <f t="shared" ref="X55:X66" si="21">IF(H81 &gt; 0, (H3-H81)/H81, H3)</f>
        <v>1.4976785981728322</v>
      </c>
      <c r="Y55">
        <f t="shared" ref="Y55:Y66" si="22">IF(I81 &gt; 0, (I3-I81)/I81, I3)</f>
        <v>4</v>
      </c>
      <c r="Z55">
        <f t="shared" ref="Z55:Z66" si="23">IF(J81 &gt; 0, (J3-J81)/J81, J3)</f>
        <v>0</v>
      </c>
      <c r="AA55">
        <f t="shared" ref="AA55:AB66" si="24">IF(K81 &gt; 0, (K3-K81)/K81, K3)</f>
        <v>0</v>
      </c>
      <c r="AB55">
        <f t="shared" si="24"/>
        <v>0.82035127441570477</v>
      </c>
      <c r="AC55" s="1" t="s">
        <v>16</v>
      </c>
      <c r="AD55" s="5"/>
      <c r="AK55" s="5">
        <f>AVERAGE(J8:J14)</f>
        <v>121.03142389042229</v>
      </c>
    </row>
    <row r="56" spans="1:43" x14ac:dyDescent="0.35">
      <c r="A56" s="173"/>
      <c r="B56" s="172"/>
      <c r="C56" s="33" t="s">
        <v>24</v>
      </c>
      <c r="D56" s="90">
        <f>'Raw Data Totals'!D56/S$31</f>
        <v>1.0431072774986982</v>
      </c>
      <c r="E56" s="90">
        <f>'Raw Data Totals'!E56/T$31</f>
        <v>0</v>
      </c>
      <c r="F56" s="90">
        <f>'Raw Data Totals'!F56/U$31</f>
        <v>0</v>
      </c>
      <c r="G56" s="90">
        <f>'Raw Data Totals'!G56/V$31</f>
        <v>0</v>
      </c>
      <c r="H56" s="90">
        <f>'Raw Data Totals'!H56/W$31</f>
        <v>0</v>
      </c>
      <c r="I56" s="90">
        <f>'Raw Data Totals'!I56/X$31</f>
        <v>0.79099530939781526</v>
      </c>
      <c r="J56" s="90">
        <f>'Raw Data Totals'!J56/Y$31</f>
        <v>0</v>
      </c>
      <c r="K56" s="90">
        <f>'Raw Data Totals'!K56/Z$31</f>
        <v>0</v>
      </c>
      <c r="L56" s="90">
        <f>'Raw Data Totals'!L56/AA$31</f>
        <v>0</v>
      </c>
      <c r="M56" s="90">
        <f t="shared" si="4"/>
        <v>0.20378917632183483</v>
      </c>
      <c r="N56" s="34" t="s">
        <v>2</v>
      </c>
      <c r="O56" s="122" t="s">
        <v>7</v>
      </c>
      <c r="S56" t="s">
        <v>24</v>
      </c>
      <c r="T56">
        <f t="shared" si="17"/>
        <v>-0.34615384615384609</v>
      </c>
      <c r="U56">
        <f t="shared" si="18"/>
        <v>0</v>
      </c>
      <c r="V56">
        <f t="shared" si="19"/>
        <v>0</v>
      </c>
      <c r="W56">
        <f t="shared" si="20"/>
        <v>-1</v>
      </c>
      <c r="X56">
        <f t="shared" si="21"/>
        <v>0</v>
      </c>
      <c r="Y56">
        <f t="shared" si="22"/>
        <v>-0.5</v>
      </c>
      <c r="Z56">
        <f t="shared" si="23"/>
        <v>1.4759929742734426</v>
      </c>
      <c r="AA56">
        <f t="shared" si="24"/>
        <v>-1</v>
      </c>
      <c r="AB56">
        <f t="shared" ref="AB56:AB66" si="25">IF(L82 &gt; 0, (L4-L82)/L82, L4)</f>
        <v>1.6407025488314095</v>
      </c>
      <c r="AC56" s="1" t="s">
        <v>17</v>
      </c>
      <c r="AD56" s="5"/>
      <c r="AK56" s="5">
        <f>AVERAGE(K8:K14)</f>
        <v>49.684495091774124</v>
      </c>
    </row>
    <row r="57" spans="1:43" x14ac:dyDescent="0.35">
      <c r="A57" s="173"/>
      <c r="B57" s="172"/>
      <c r="C57" s="33" t="s">
        <v>25</v>
      </c>
      <c r="D57" s="90">
        <f>'Raw Data Totals'!D57/S$31</f>
        <v>0.91271886781136102</v>
      </c>
      <c r="E57" s="90">
        <f>'Raw Data Totals'!E57/T$31</f>
        <v>124.6458923512748</v>
      </c>
      <c r="F57" s="90">
        <f>'Raw Data Totals'!F57/U$31</f>
        <v>1.507352109916116</v>
      </c>
      <c r="G57" s="90">
        <f>'Raw Data Totals'!G57/V$31</f>
        <v>0.50336879566498793</v>
      </c>
      <c r="H57" s="90">
        <f>'Raw Data Totals'!H57/W$31</f>
        <v>11.981428785382658</v>
      </c>
      <c r="I57" s="90">
        <f>'Raw Data Totals'!I57/X$31</f>
        <v>1.5819906187956305</v>
      </c>
      <c r="J57" s="90">
        <f>'Raw Data Totals'!J57/Y$31</f>
        <v>2.9519859485468851</v>
      </c>
      <c r="K57" s="90">
        <f>'Raw Data Totals'!K57/Z$31</f>
        <v>1.17101503583306</v>
      </c>
      <c r="L57" s="90">
        <f>'Raw Data Totals'!L57/AA$31</f>
        <v>1.6407025488314095</v>
      </c>
      <c r="M57" s="90">
        <f t="shared" si="4"/>
        <v>16.321828340228542</v>
      </c>
      <c r="N57" s="34" t="s">
        <v>2</v>
      </c>
      <c r="O57" s="122" t="s">
        <v>7</v>
      </c>
      <c r="S57" t="s">
        <v>25</v>
      </c>
      <c r="T57">
        <f t="shared" si="17"/>
        <v>0</v>
      </c>
      <c r="U57">
        <f t="shared" si="18"/>
        <v>-0.25000000000000006</v>
      </c>
      <c r="V57">
        <f t="shared" si="19"/>
        <v>0</v>
      </c>
      <c r="W57">
        <f t="shared" si="20"/>
        <v>-0.39999999999999997</v>
      </c>
      <c r="X57">
        <f t="shared" si="21"/>
        <v>-0.22222222222222229</v>
      </c>
      <c r="Y57">
        <f t="shared" si="22"/>
        <v>0</v>
      </c>
      <c r="Z57">
        <f t="shared" si="23"/>
        <v>1.4759929742734426</v>
      </c>
      <c r="AA57">
        <f t="shared" si="24"/>
        <v>1</v>
      </c>
      <c r="AB57">
        <f t="shared" si="25"/>
        <v>-0.40000000000000013</v>
      </c>
      <c r="AC57" s="1" t="s">
        <v>18</v>
      </c>
      <c r="AD57" s="5"/>
      <c r="AK57" s="5">
        <f>AVERAGE(L8:L14)</f>
        <v>32.521068378622587</v>
      </c>
    </row>
    <row r="58" spans="1:43" x14ac:dyDescent="0.35">
      <c r="A58" s="173"/>
      <c r="B58" s="172"/>
      <c r="C58" s="33" t="s">
        <v>26</v>
      </c>
      <c r="D58" s="90">
        <f>'Raw Data Totals'!D58/S$31</f>
        <v>0</v>
      </c>
      <c r="E58" s="90">
        <f>'Raw Data Totals'!E58/T$31</f>
        <v>11.3314447592068</v>
      </c>
      <c r="F58" s="90">
        <f>'Raw Data Totals'!F58/U$31</f>
        <v>0</v>
      </c>
      <c r="G58" s="90">
        <f>'Raw Data Totals'!G58/V$31</f>
        <v>0</v>
      </c>
      <c r="H58" s="90">
        <f>'Raw Data Totals'!H58/W$31</f>
        <v>0</v>
      </c>
      <c r="I58" s="90">
        <f>'Raw Data Totals'!I58/X$31</f>
        <v>0</v>
      </c>
      <c r="J58" s="90">
        <f>'Raw Data Totals'!J58/Y$31</f>
        <v>1.4759929742734426</v>
      </c>
      <c r="K58" s="90">
        <f>'Raw Data Totals'!K58/Z$31</f>
        <v>0</v>
      </c>
      <c r="L58" s="90">
        <f>'Raw Data Totals'!L58/AA$31</f>
        <v>0</v>
      </c>
      <c r="M58" s="90">
        <f t="shared" si="4"/>
        <v>1.4230486370533602</v>
      </c>
      <c r="N58" s="34" t="s">
        <v>2</v>
      </c>
      <c r="O58" s="122" t="s">
        <v>7</v>
      </c>
      <c r="S58" t="s">
        <v>26</v>
      </c>
      <c r="T58">
        <f t="shared" si="17"/>
        <v>-0.25000000000000006</v>
      </c>
      <c r="U58">
        <f t="shared" si="18"/>
        <v>0</v>
      </c>
      <c r="V58">
        <f t="shared" si="19"/>
        <v>-1</v>
      </c>
      <c r="W58">
        <f t="shared" si="20"/>
        <v>-1</v>
      </c>
      <c r="X58">
        <f t="shared" si="21"/>
        <v>0</v>
      </c>
      <c r="Y58">
        <f t="shared" si="22"/>
        <v>0</v>
      </c>
      <c r="Z58">
        <f t="shared" si="23"/>
        <v>0</v>
      </c>
      <c r="AA58">
        <f t="shared" si="24"/>
        <v>0</v>
      </c>
      <c r="AB58">
        <f t="shared" si="25"/>
        <v>0</v>
      </c>
    </row>
    <row r="59" spans="1:43" ht="15" thickBot="1" x14ac:dyDescent="0.4">
      <c r="A59" s="173"/>
      <c r="B59" s="189"/>
      <c r="C59" s="35" t="s">
        <v>27</v>
      </c>
      <c r="D59" s="103">
        <f>'Raw Data Totals'!D59/S$31</f>
        <v>0.78233045812402369</v>
      </c>
      <c r="E59" s="103">
        <f>'Raw Data Totals'!E59/T$31</f>
        <v>0</v>
      </c>
      <c r="F59" s="103">
        <f>'Raw Data Totals'!F59/U$31</f>
        <v>0</v>
      </c>
      <c r="G59" s="103">
        <f>'Raw Data Totals'!G59/V$31</f>
        <v>0</v>
      </c>
      <c r="H59" s="103">
        <f>'Raw Data Totals'!H59/W$31</f>
        <v>0</v>
      </c>
      <c r="I59" s="103">
        <f>'Raw Data Totals'!I59/X$31</f>
        <v>0</v>
      </c>
      <c r="J59" s="103">
        <f>'Raw Data Totals'!J59/Y$31</f>
        <v>0</v>
      </c>
      <c r="K59" s="103">
        <f>'Raw Data Totals'!K59/Z$31</f>
        <v>0</v>
      </c>
      <c r="L59" s="103">
        <f>'Raw Data Totals'!L59/AA$31</f>
        <v>0</v>
      </c>
      <c r="M59" s="103">
        <f t="shared" si="4"/>
        <v>8.6925606458224849E-2</v>
      </c>
      <c r="N59" s="36" t="s">
        <v>2</v>
      </c>
      <c r="O59" s="123" t="s">
        <v>7</v>
      </c>
      <c r="S59" t="s">
        <v>27</v>
      </c>
      <c r="T59">
        <f t="shared" si="17"/>
        <v>0</v>
      </c>
      <c r="U59">
        <f t="shared" si="18"/>
        <v>33.994334277620396</v>
      </c>
      <c r="V59">
        <f t="shared" si="19"/>
        <v>-0.5</v>
      </c>
      <c r="W59">
        <f t="shared" si="20"/>
        <v>0.50336879566498793</v>
      </c>
      <c r="X59">
        <f t="shared" si="21"/>
        <v>0</v>
      </c>
      <c r="Y59">
        <f t="shared" si="22"/>
        <v>0</v>
      </c>
      <c r="Z59">
        <f t="shared" si="23"/>
        <v>0</v>
      </c>
      <c r="AA59">
        <f t="shared" si="24"/>
        <v>1.17101503583306</v>
      </c>
      <c r="AB59">
        <f t="shared" si="25"/>
        <v>0.41017563720785238</v>
      </c>
    </row>
    <row r="60" spans="1:43" x14ac:dyDescent="0.35">
      <c r="A60" s="173"/>
      <c r="B60" s="171" t="s">
        <v>8</v>
      </c>
      <c r="C60" s="37" t="s">
        <v>28</v>
      </c>
      <c r="D60" s="104">
        <f>'Raw Data Totals'!D60/S$31</f>
        <v>42.33277034515551</v>
      </c>
      <c r="E60" s="104">
        <f>'Raw Data Totals'!E60/T$31</f>
        <v>1087.8186968838527</v>
      </c>
      <c r="F60" s="104">
        <f>'Raw Data Totals'!F60/U$31</f>
        <v>42.205859077651247</v>
      </c>
      <c r="G60" s="104">
        <f>'Raw Data Totals'!G60/V$31</f>
        <v>22.399911407091963</v>
      </c>
      <c r="H60" s="104">
        <f>'Raw Data Totals'!H60/W$31</f>
        <v>67.395536917777449</v>
      </c>
      <c r="I60" s="104">
        <f>'Raw Data Totals'!I60/X$31</f>
        <v>82.263512177372789</v>
      </c>
      <c r="J60" s="104">
        <f>'Raw Data Totals'!J60/Y$31</f>
        <v>91.511564404953447</v>
      </c>
      <c r="K60" s="104">
        <f>'Raw Data Totals'!K60/Z$31</f>
        <v>19.321748091245489</v>
      </c>
      <c r="L60" s="104">
        <f>'Raw Data Totals'!L60/AA$31</f>
        <v>41.01756372078524</v>
      </c>
      <c r="M60" s="104">
        <f t="shared" si="4"/>
        <v>166.25190700287621</v>
      </c>
      <c r="N60" s="38" t="s">
        <v>2</v>
      </c>
      <c r="O60" s="121" t="s">
        <v>8</v>
      </c>
      <c r="S60" t="s">
        <v>28</v>
      </c>
      <c r="T60">
        <f t="shared" si="17"/>
        <v>2.1278195488721798</v>
      </c>
      <c r="U60">
        <f t="shared" si="18"/>
        <v>8.1300813008129795E-3</v>
      </c>
      <c r="V60">
        <f t="shared" si="19"/>
        <v>0.46875</v>
      </c>
      <c r="W60">
        <f t="shared" si="20"/>
        <v>0.61818181818181817</v>
      </c>
      <c r="X60">
        <f t="shared" si="21"/>
        <v>1.0338983050847457</v>
      </c>
      <c r="Y60">
        <f t="shared" si="22"/>
        <v>0.66129032258064513</v>
      </c>
      <c r="Z60">
        <f t="shared" si="23"/>
        <v>2.0000000000000004</v>
      </c>
      <c r="AA60">
        <f t="shared" si="24"/>
        <v>7.8076923076923075</v>
      </c>
      <c r="AB60">
        <f t="shared" si="25"/>
        <v>-0.11888111888111896</v>
      </c>
    </row>
    <row r="61" spans="1:43" x14ac:dyDescent="0.35">
      <c r="A61" s="173"/>
      <c r="B61" s="172"/>
      <c r="C61" s="33" t="s">
        <v>29</v>
      </c>
      <c r="D61" s="90">
        <f>'Raw Data Totals'!D61/S$31</f>
        <v>13.647320213941303</v>
      </c>
      <c r="E61" s="90">
        <f>'Raw Data Totals'!E61/T$31</f>
        <v>260.62322946175641</v>
      </c>
      <c r="F61" s="90">
        <f>'Raw Data Totals'!F61/U$31</f>
        <v>10.551464769412812</v>
      </c>
      <c r="G61" s="90">
        <f>'Raw Data Totals'!G61/V$31</f>
        <v>3.7752659674874094</v>
      </c>
      <c r="H61" s="90">
        <f>'Raw Data Totals'!H61/W$31</f>
        <v>26.958214767110981</v>
      </c>
      <c r="I61" s="90">
        <f>'Raw Data Totals'!I61/X$31</f>
        <v>15.02891087855849</v>
      </c>
      <c r="J61" s="90">
        <f>'Raw Data Totals'!J61/Y$31</f>
        <v>70.84766276512525</v>
      </c>
      <c r="K61" s="90">
        <f>'Raw Data Totals'!K61/Z$31</f>
        <v>7.6115977329148903</v>
      </c>
      <c r="L61" s="90">
        <f>'Raw Data Totals'!L61/AA$31</f>
        <v>14.356147302274834</v>
      </c>
      <c r="M61" s="90">
        <f t="shared" si="4"/>
        <v>47.044423762064717</v>
      </c>
      <c r="N61" s="34" t="s">
        <v>2</v>
      </c>
      <c r="O61" s="122" t="s">
        <v>8</v>
      </c>
      <c r="S61" t="s">
        <v>29</v>
      </c>
      <c r="T61">
        <f t="shared" si="17"/>
        <v>0.85148514851485158</v>
      </c>
      <c r="U61">
        <f t="shared" si="18"/>
        <v>2.3125</v>
      </c>
      <c r="V61">
        <f t="shared" si="19"/>
        <v>1.3125</v>
      </c>
      <c r="W61">
        <f t="shared" si="20"/>
        <v>0.60869565217391297</v>
      </c>
      <c r="X61">
        <f t="shared" si="21"/>
        <v>-0.10526315789473686</v>
      </c>
      <c r="Y61">
        <f t="shared" si="22"/>
        <v>-3.8461538461538429E-2</v>
      </c>
      <c r="Z61">
        <f t="shared" si="23"/>
        <v>1.6499999999999997</v>
      </c>
      <c r="AA61">
        <f t="shared" si="24"/>
        <v>2.5714285714285712</v>
      </c>
      <c r="AB61">
        <f t="shared" si="25"/>
        <v>-2.8571428571428636E-2</v>
      </c>
    </row>
    <row r="62" spans="1:43" x14ac:dyDescent="0.35">
      <c r="A62" s="173"/>
      <c r="B62" s="172"/>
      <c r="C62" s="33" t="s">
        <v>30</v>
      </c>
      <c r="D62" s="90">
        <f>'Raw Data Totals'!D62/S$31</f>
        <v>3.1727846357252072</v>
      </c>
      <c r="E62" s="90">
        <f>'Raw Data Totals'!E62/T$31</f>
        <v>67.988668555240793</v>
      </c>
      <c r="F62" s="90">
        <f>'Raw Data Totals'!F62/U$31</f>
        <v>2.2610281648741739</v>
      </c>
      <c r="G62" s="90">
        <f>'Raw Data Totals'!G62/V$31</f>
        <v>2.7685283761574335</v>
      </c>
      <c r="H62" s="90">
        <f>'Raw Data Totals'!H62/W$31</f>
        <v>25.460536168938148</v>
      </c>
      <c r="I62" s="90">
        <f>'Raw Data Totals'!I62/X$31</f>
        <v>22.938863972536645</v>
      </c>
      <c r="J62" s="90">
        <f>'Raw Data Totals'!J62/Y$31</f>
        <v>11.80794379418754</v>
      </c>
      <c r="K62" s="90">
        <f>'Raw Data Totals'!K62/Z$31</f>
        <v>4.0985526254157101</v>
      </c>
      <c r="L62" s="90">
        <f>'Raw Data Totals'!L62/AA$31</f>
        <v>11.484917841819867</v>
      </c>
      <c r="M62" s="90">
        <f t="shared" si="4"/>
        <v>16.886869348321724</v>
      </c>
      <c r="N62" s="34" t="s">
        <v>2</v>
      </c>
      <c r="O62" s="122" t="s">
        <v>8</v>
      </c>
      <c r="S62" t="s">
        <v>30</v>
      </c>
      <c r="T62">
        <f t="shared" si="17"/>
        <v>-0.24786324786324787</v>
      </c>
      <c r="U62">
        <f t="shared" si="18"/>
        <v>-0.53846153846153855</v>
      </c>
      <c r="V62">
        <f t="shared" si="19"/>
        <v>-0.71428571428571419</v>
      </c>
      <c r="W62">
        <f t="shared" si="20"/>
        <v>-0.14285714285714279</v>
      </c>
      <c r="X62">
        <f t="shared" si="21"/>
        <v>-0.37499999999999994</v>
      </c>
      <c r="Y62">
        <f t="shared" si="22"/>
        <v>-0.54999999999999993</v>
      </c>
      <c r="Z62">
        <f t="shared" si="23"/>
        <v>3.5999999999999996</v>
      </c>
      <c r="AA62">
        <f t="shared" si="24"/>
        <v>-0.93814432989690721</v>
      </c>
      <c r="AB62">
        <f t="shared" si="25"/>
        <v>0.33333333333333337</v>
      </c>
    </row>
    <row r="63" spans="1:43" x14ac:dyDescent="0.35">
      <c r="A63" s="173"/>
      <c r="B63" s="172"/>
      <c r="C63" s="33" t="s">
        <v>31</v>
      </c>
      <c r="D63" s="90">
        <f>'Raw Data Totals'!D63/S$31</f>
        <v>0.60847924520757402</v>
      </c>
      <c r="E63" s="90">
        <f>'Raw Data Totals'!E63/T$31</f>
        <v>33.994334277620396</v>
      </c>
      <c r="F63" s="90">
        <f>'Raw Data Totals'!F63/U$31</f>
        <v>0</v>
      </c>
      <c r="G63" s="90">
        <f>'Raw Data Totals'!G63/V$31</f>
        <v>0</v>
      </c>
      <c r="H63" s="90">
        <f>'Raw Data Totals'!H63/W$31</f>
        <v>2.9953571963456644</v>
      </c>
      <c r="I63" s="90">
        <f>'Raw Data Totals'!I63/X$31</f>
        <v>0.79099530939781526</v>
      </c>
      <c r="J63" s="90">
        <f>'Raw Data Totals'!J63/Y$31</f>
        <v>0</v>
      </c>
      <c r="K63" s="90">
        <f>'Raw Data Totals'!K63/Z$31</f>
        <v>0</v>
      </c>
      <c r="L63" s="90">
        <f>'Raw Data Totals'!L63/AA$31</f>
        <v>0</v>
      </c>
      <c r="M63" s="90">
        <f t="shared" ref="M63:M92" si="26">AVERAGE(D63:L63)</f>
        <v>4.2654628920634945</v>
      </c>
      <c r="N63" s="34" t="s">
        <v>2</v>
      </c>
      <c r="O63" s="122" t="s">
        <v>8</v>
      </c>
      <c r="S63" t="s">
        <v>31</v>
      </c>
      <c r="T63">
        <f t="shared" si="17"/>
        <v>-0.89795918367346939</v>
      </c>
      <c r="U63">
        <f t="shared" si="18"/>
        <v>0.79999999999999993</v>
      </c>
      <c r="V63">
        <f t="shared" si="19"/>
        <v>-1</v>
      </c>
      <c r="W63">
        <f t="shared" si="20"/>
        <v>-1</v>
      </c>
      <c r="X63">
        <f t="shared" si="21"/>
        <v>-0.8</v>
      </c>
      <c r="Y63">
        <f t="shared" si="22"/>
        <v>0</v>
      </c>
      <c r="Z63">
        <f t="shared" si="23"/>
        <v>2.0000000000000004</v>
      </c>
      <c r="AA63">
        <f t="shared" si="24"/>
        <v>0</v>
      </c>
      <c r="AB63">
        <f t="shared" si="25"/>
        <v>-0.83333333333333326</v>
      </c>
    </row>
    <row r="64" spans="1:43" x14ac:dyDescent="0.35">
      <c r="A64" s="173"/>
      <c r="B64" s="172"/>
      <c r="C64" s="33" t="s">
        <v>32</v>
      </c>
      <c r="D64" s="90">
        <f>'Raw Data Totals'!D64/S$31</f>
        <v>72.539418589388646</v>
      </c>
      <c r="E64" s="90">
        <f>'Raw Data Totals'!E64/T$31</f>
        <v>2492.917847025496</v>
      </c>
      <c r="F64" s="90">
        <f>'Raw Data Totals'!F64/U$31</f>
        <v>97.224211089589474</v>
      </c>
      <c r="G64" s="90">
        <f>'Raw Data Totals'!G64/V$31</f>
        <v>50.336879566498794</v>
      </c>
      <c r="H64" s="90">
        <f>'Raw Data Totals'!H64/W$31</f>
        <v>287.55429084918376</v>
      </c>
      <c r="I64" s="90">
        <f>'Raw Data Totals'!I64/X$31</f>
        <v>351.99291268202779</v>
      </c>
      <c r="J64" s="90">
        <f>'Raw Data Totals'!J64/Y$31</f>
        <v>157.93124824725837</v>
      </c>
      <c r="K64" s="90">
        <f>'Raw Data Totals'!K64/Z$31</f>
        <v>54.452199166237293</v>
      </c>
      <c r="L64" s="90">
        <f>'Raw Data Totals'!L64/AA$31</f>
        <v>66.038277590464233</v>
      </c>
      <c r="M64" s="90">
        <f t="shared" si="26"/>
        <v>403.44303164512718</v>
      </c>
      <c r="N64" s="34" t="s">
        <v>2</v>
      </c>
      <c r="O64" s="122" t="s">
        <v>8</v>
      </c>
      <c r="S64" t="s">
        <v>32</v>
      </c>
      <c r="T64">
        <f t="shared" si="17"/>
        <v>0.12730627306273057</v>
      </c>
      <c r="U64">
        <f t="shared" si="18"/>
        <v>0.54838709677419339</v>
      </c>
      <c r="V64">
        <f t="shared" si="19"/>
        <v>0.22754491017964082</v>
      </c>
      <c r="W64">
        <f t="shared" si="20"/>
        <v>4.8780487804878016E-2</v>
      </c>
      <c r="X64">
        <f t="shared" si="21"/>
        <v>-3.0075187969924821E-2</v>
      </c>
      <c r="Y64">
        <f t="shared" si="22"/>
        <v>0.58474576271186429</v>
      </c>
      <c r="Z64">
        <f t="shared" si="23"/>
        <v>1.8988764044943822</v>
      </c>
      <c r="AA64">
        <f t="shared" si="24"/>
        <v>2.2380952380952377</v>
      </c>
      <c r="AB64">
        <f t="shared" si="25"/>
        <v>1.2345679012345671E-2</v>
      </c>
    </row>
    <row r="65" spans="1:28" x14ac:dyDescent="0.35">
      <c r="A65" s="173"/>
      <c r="B65" s="172"/>
      <c r="C65" s="33" t="s">
        <v>33</v>
      </c>
      <c r="D65" s="90">
        <f>'Raw Data Totals'!D65/S$31</f>
        <v>18.949782207893019</v>
      </c>
      <c r="E65" s="90">
        <f>'Raw Data Totals'!E65/T$31</f>
        <v>543.90934844192634</v>
      </c>
      <c r="F65" s="90">
        <f>'Raw Data Totals'!F65/U$31</f>
        <v>29.01652811588523</v>
      </c>
      <c r="G65" s="90">
        <f>'Raw Data Totals'!G65/V$31</f>
        <v>22.148227009259468</v>
      </c>
      <c r="H65" s="90">
        <f>'Raw Data Totals'!H65/W$31</f>
        <v>70.390894114123114</v>
      </c>
      <c r="I65" s="90">
        <f>'Raw Data Totals'!I65/X$31</f>
        <v>115.48531517208103</v>
      </c>
      <c r="J65" s="90">
        <f>'Raw Data Totals'!J65/Y$31</f>
        <v>72.323655739398689</v>
      </c>
      <c r="K65" s="90">
        <f>'Raw Data Totals'!K65/Z$31</f>
        <v>21.078270644995079</v>
      </c>
      <c r="L65" s="90">
        <f>'Raw Data Totals'!L65/AA$31</f>
        <v>14.766322939482686</v>
      </c>
      <c r="M65" s="90">
        <f t="shared" si="26"/>
        <v>100.89648270944942</v>
      </c>
      <c r="N65" s="34" t="s">
        <v>2</v>
      </c>
      <c r="O65" s="122" t="s">
        <v>8</v>
      </c>
      <c r="S65" t="s">
        <v>33</v>
      </c>
      <c r="T65">
        <f t="shared" si="17"/>
        <v>-0.5162303664921466</v>
      </c>
      <c r="U65">
        <f t="shared" si="18"/>
        <v>-0.64285714285714279</v>
      </c>
      <c r="V65">
        <f t="shared" si="19"/>
        <v>0.27522935779816504</v>
      </c>
      <c r="W65">
        <f t="shared" si="20"/>
        <v>-0.71428571428571419</v>
      </c>
      <c r="X65">
        <f t="shared" si="21"/>
        <v>0.44444444444444436</v>
      </c>
      <c r="Y65">
        <f t="shared" si="22"/>
        <v>-4.6153846153846115E-2</v>
      </c>
      <c r="Z65">
        <f t="shared" si="23"/>
        <v>-0.5736434108527132</v>
      </c>
      <c r="AA65">
        <f t="shared" si="24"/>
        <v>-0.67741935483870963</v>
      </c>
      <c r="AB65">
        <f t="shared" si="25"/>
        <v>-0.64401294498381878</v>
      </c>
    </row>
    <row r="66" spans="1:28" ht="15" thickBot="1" x14ac:dyDescent="0.4">
      <c r="A66" s="173"/>
      <c r="B66" s="189"/>
      <c r="C66" s="35" t="s">
        <v>34</v>
      </c>
      <c r="D66" s="103">
        <f>'Raw Data Totals'!D66/S$31</f>
        <v>14.64696468821089</v>
      </c>
      <c r="E66" s="103">
        <f>'Raw Data Totals'!E66/T$31</f>
        <v>396.60056657223799</v>
      </c>
      <c r="F66" s="103">
        <f>'Raw Data Totals'!F66/U$31</f>
        <v>7.9135985770596085</v>
      </c>
      <c r="G66" s="103">
        <f>'Raw Data Totals'!G66/V$31</f>
        <v>28.440336955071817</v>
      </c>
      <c r="H66" s="103">
        <f>'Raw Data Totals'!H66/W$31</f>
        <v>28.455893365283814</v>
      </c>
      <c r="I66" s="103">
        <f>'Raw Data Totals'!I66/X$31</f>
        <v>28.47583113832135</v>
      </c>
      <c r="J66" s="103">
        <f>'Raw Data Totals'!J66/Y$31</f>
        <v>25.091880562648523</v>
      </c>
      <c r="K66" s="103">
        <f>'Raw Data Totals'!K66/Z$31</f>
        <v>18.150733055412431</v>
      </c>
      <c r="L66" s="103">
        <f>'Raw Data Totals'!L66/AA$31</f>
        <v>10.664566567404162</v>
      </c>
      <c r="M66" s="103">
        <f t="shared" si="26"/>
        <v>62.048930164627826</v>
      </c>
      <c r="N66" s="36" t="s">
        <v>2</v>
      </c>
      <c r="O66" s="123" t="s">
        <v>8</v>
      </c>
      <c r="S66" t="s">
        <v>34</v>
      </c>
      <c r="T66">
        <f t="shared" si="17"/>
        <v>0.57647058823529429</v>
      </c>
      <c r="U66">
        <f t="shared" si="18"/>
        <v>0.40740740740740755</v>
      </c>
      <c r="V66">
        <f t="shared" si="19"/>
        <v>-0.6223776223776224</v>
      </c>
      <c r="W66">
        <f t="shared" si="20"/>
        <v>0.87500000000000011</v>
      </c>
      <c r="X66">
        <f t="shared" si="21"/>
        <v>-0.5</v>
      </c>
      <c r="Y66">
        <f t="shared" si="22"/>
        <v>2.25</v>
      </c>
      <c r="Z66">
        <f t="shared" si="23"/>
        <v>1.6363636363636365</v>
      </c>
      <c r="AA66">
        <f t="shared" si="24"/>
        <v>1.2448979591836731</v>
      </c>
      <c r="AB66">
        <f t="shared" si="25"/>
        <v>-0.47619047619047622</v>
      </c>
    </row>
    <row r="67" spans="1:28" ht="15" thickBot="1" x14ac:dyDescent="0.4">
      <c r="A67" s="174" t="s">
        <v>1</v>
      </c>
      <c r="B67" s="169" t="s">
        <v>7</v>
      </c>
      <c r="C67" s="49" t="s">
        <v>22</v>
      </c>
      <c r="D67" s="106">
        <f>'Raw Data Totals'!D67/S$31</f>
        <v>1.9558261453100594</v>
      </c>
      <c r="E67" s="106">
        <f>'Raw Data Totals'!E67/T$31</f>
        <v>0</v>
      </c>
      <c r="F67" s="106">
        <f>'Raw Data Totals'!F67/U$31</f>
        <v>3.014704219832232</v>
      </c>
      <c r="G67" s="106">
        <f>'Raw Data Totals'!G67/V$31</f>
        <v>0</v>
      </c>
      <c r="H67" s="106">
        <f>'Raw Data Totals'!H67/W$31</f>
        <v>0</v>
      </c>
      <c r="I67" s="106">
        <f>'Raw Data Totals'!I67/X$31</f>
        <v>4.745971856386892</v>
      </c>
      <c r="J67" s="106">
        <f>'Raw Data Totals'!J67/Y$31</f>
        <v>0</v>
      </c>
      <c r="K67" s="106">
        <f>'Raw Data Totals'!K67/Z$31</f>
        <v>0.58550751791653</v>
      </c>
      <c r="L67" s="106">
        <f>'Raw Data Totals'!L67/AA$31</f>
        <v>1.6407025488314095</v>
      </c>
      <c r="M67" s="106">
        <f t="shared" si="26"/>
        <v>1.3269680320307915</v>
      </c>
      <c r="N67" s="50" t="s">
        <v>1</v>
      </c>
      <c r="O67" s="124" t="s">
        <v>7</v>
      </c>
      <c r="T67" s="197" t="s">
        <v>142</v>
      </c>
      <c r="U67" s="198"/>
      <c r="V67" s="198"/>
      <c r="W67" s="198"/>
      <c r="X67" s="198"/>
      <c r="Y67" s="198"/>
      <c r="Z67" s="198"/>
      <c r="AA67" s="198"/>
      <c r="AB67" s="199"/>
    </row>
    <row r="68" spans="1:28" ht="15" thickBot="1" x14ac:dyDescent="0.4">
      <c r="A68" s="174"/>
      <c r="B68" s="170"/>
      <c r="C68" s="45" t="s">
        <v>23</v>
      </c>
      <c r="D68" s="92">
        <f>'Raw Data Totals'!D68/S$31</f>
        <v>3.3031730454125445</v>
      </c>
      <c r="E68" s="92">
        <f>'Raw Data Totals'!E68/T$31</f>
        <v>0</v>
      </c>
      <c r="F68" s="92">
        <f>'Raw Data Totals'!F68/U$31</f>
        <v>11.30514082437087</v>
      </c>
      <c r="G68" s="92">
        <f>'Raw Data Totals'!G68/V$31</f>
        <v>0</v>
      </c>
      <c r="H68" s="92">
        <f>'Raw Data Totals'!H68/W$31</f>
        <v>0</v>
      </c>
      <c r="I68" s="92">
        <f>'Raw Data Totals'!I68/X$31</f>
        <v>5.5369671657847075</v>
      </c>
      <c r="J68" s="92">
        <f>'Raw Data Totals'!J68/Y$31</f>
        <v>0</v>
      </c>
      <c r="K68" s="92">
        <f>'Raw Data Totals'!K68/Z$31</f>
        <v>1.7565225537495901</v>
      </c>
      <c r="L68" s="92">
        <f>'Raw Data Totals'!L68/AA$31</f>
        <v>0.82035127441570477</v>
      </c>
      <c r="M68" s="92">
        <f t="shared" si="26"/>
        <v>2.5246838737481574</v>
      </c>
      <c r="N68" s="46" t="s">
        <v>1</v>
      </c>
      <c r="O68" s="125" t="s">
        <v>7</v>
      </c>
      <c r="T68" s="222" t="s">
        <v>10</v>
      </c>
      <c r="U68" s="223" t="s">
        <v>11</v>
      </c>
      <c r="V68" s="223" t="s">
        <v>12</v>
      </c>
      <c r="W68" s="223" t="s">
        <v>13</v>
      </c>
      <c r="X68" s="223" t="s">
        <v>14</v>
      </c>
      <c r="Y68" s="223" t="s">
        <v>15</v>
      </c>
      <c r="Z68" s="223" t="s">
        <v>16</v>
      </c>
      <c r="AA68" s="223" t="s">
        <v>17</v>
      </c>
      <c r="AB68" s="224" t="s">
        <v>18</v>
      </c>
    </row>
    <row r="69" spans="1:28" x14ac:dyDescent="0.35">
      <c r="A69" s="174"/>
      <c r="B69" s="170"/>
      <c r="C69" s="45" t="s">
        <v>24</v>
      </c>
      <c r="D69" s="92">
        <f>'Raw Data Totals'!D69/S$31</f>
        <v>0.69540485166579891</v>
      </c>
      <c r="E69" s="92">
        <f>'Raw Data Totals'!E69/T$31</f>
        <v>0</v>
      </c>
      <c r="F69" s="92">
        <f>'Raw Data Totals'!F69/U$31</f>
        <v>0.376838027479029</v>
      </c>
      <c r="G69" s="92">
        <f>'Raw Data Totals'!G69/V$31</f>
        <v>0.25168439783249397</v>
      </c>
      <c r="H69" s="92">
        <f>'Raw Data Totals'!H69/W$31</f>
        <v>0</v>
      </c>
      <c r="I69" s="92">
        <f>'Raw Data Totals'!I69/X$31</f>
        <v>0.79099530939781526</v>
      </c>
      <c r="J69" s="92">
        <f>'Raw Data Totals'!J69/Y$31</f>
        <v>0</v>
      </c>
      <c r="K69" s="92">
        <f>'Raw Data Totals'!K69/Z$31</f>
        <v>1.17101503583306</v>
      </c>
      <c r="L69" s="92">
        <f>'Raw Data Totals'!L69/AA$31</f>
        <v>0.82035127441570477</v>
      </c>
      <c r="M69" s="92">
        <f t="shared" si="26"/>
        <v>0.45625432184710019</v>
      </c>
      <c r="N69" s="46" t="s">
        <v>1</v>
      </c>
      <c r="O69" s="125" t="s">
        <v>7</v>
      </c>
      <c r="R69" s="219" t="s">
        <v>7</v>
      </c>
      <c r="S69" s="225" t="s">
        <v>22</v>
      </c>
      <c r="T69" s="225">
        <v>0.28000000000000003</v>
      </c>
      <c r="U69" s="225">
        <v>11.33</v>
      </c>
      <c r="V69" s="225">
        <v>0.33</v>
      </c>
      <c r="W69" s="225">
        <v>8</v>
      </c>
      <c r="X69" s="225">
        <v>-0.5</v>
      </c>
      <c r="Y69" s="225">
        <v>-0.8</v>
      </c>
      <c r="Z69" s="225">
        <v>0</v>
      </c>
      <c r="AA69" s="225">
        <v>3</v>
      </c>
      <c r="AB69" s="226">
        <v>-0.14000000000000001</v>
      </c>
    </row>
    <row r="70" spans="1:28" x14ac:dyDescent="0.35">
      <c r="A70" s="174"/>
      <c r="B70" s="170"/>
      <c r="C70" s="45" t="s">
        <v>25</v>
      </c>
      <c r="D70" s="92">
        <f>'Raw Data Totals'!D70/S$31</f>
        <v>0.60847924520757402</v>
      </c>
      <c r="E70" s="92">
        <f>'Raw Data Totals'!E70/T$31</f>
        <v>22.6628895184136</v>
      </c>
      <c r="F70" s="92">
        <f>'Raw Data Totals'!F70/U$31</f>
        <v>1.130514082437087</v>
      </c>
      <c r="G70" s="92">
        <f>'Raw Data Totals'!G70/V$31</f>
        <v>0.7550531934974819</v>
      </c>
      <c r="H70" s="92">
        <f>'Raw Data Totals'!H70/W$31</f>
        <v>13.47910738355549</v>
      </c>
      <c r="I70" s="92">
        <f>'Raw Data Totals'!I70/X$31</f>
        <v>4.745971856386892</v>
      </c>
      <c r="J70" s="92">
        <f>'Raw Data Totals'!J70/Y$31</f>
        <v>1.4759929742734426</v>
      </c>
      <c r="K70" s="92">
        <f>'Raw Data Totals'!K70/Z$31</f>
        <v>0</v>
      </c>
      <c r="L70" s="92">
        <f>'Raw Data Totals'!L70/AA$31</f>
        <v>1.2305269116235571</v>
      </c>
      <c r="M70" s="92">
        <f t="shared" si="26"/>
        <v>5.1209483517105703</v>
      </c>
      <c r="N70" s="46" t="s">
        <v>1</v>
      </c>
      <c r="O70" s="125" t="s">
        <v>7</v>
      </c>
      <c r="R70" s="220"/>
      <c r="S70" s="146" t="s">
        <v>23</v>
      </c>
      <c r="T70" s="146">
        <v>0.3</v>
      </c>
      <c r="U70" s="146">
        <v>0</v>
      </c>
      <c r="V70" s="146">
        <v>-1</v>
      </c>
      <c r="W70" s="146">
        <v>2.33</v>
      </c>
      <c r="X70" s="146">
        <v>1.5</v>
      </c>
      <c r="Y70" s="146">
        <v>4</v>
      </c>
      <c r="Z70" s="146">
        <v>0</v>
      </c>
      <c r="AA70" s="146">
        <v>0</v>
      </c>
      <c r="AB70" s="227">
        <v>0.82</v>
      </c>
    </row>
    <row r="71" spans="1:28" ht="14.5" customHeight="1" x14ac:dyDescent="0.35">
      <c r="A71" s="174"/>
      <c r="B71" s="170"/>
      <c r="C71" s="45" t="s">
        <v>26</v>
      </c>
      <c r="D71" s="92">
        <f>'Raw Data Totals'!D71/S$31</f>
        <v>0.13038840968733728</v>
      </c>
      <c r="E71" s="92">
        <f>'Raw Data Totals'!E71/T$31</f>
        <v>0</v>
      </c>
      <c r="F71" s="92">
        <f>'Raw Data Totals'!F71/U$31</f>
        <v>0</v>
      </c>
      <c r="G71" s="92">
        <f>'Raw Data Totals'!G71/V$31</f>
        <v>0</v>
      </c>
      <c r="H71" s="92">
        <f>'Raw Data Totals'!H71/W$31</f>
        <v>0</v>
      </c>
      <c r="I71" s="92">
        <f>'Raw Data Totals'!I71/X$31</f>
        <v>0</v>
      </c>
      <c r="J71" s="92">
        <f>'Raw Data Totals'!J71/Y$31</f>
        <v>0</v>
      </c>
      <c r="K71" s="92">
        <f>'Raw Data Totals'!K71/Z$31</f>
        <v>0</v>
      </c>
      <c r="L71" s="92">
        <f>'Raw Data Totals'!L71/AA$31</f>
        <v>0.82035127441570477</v>
      </c>
      <c r="M71" s="92">
        <f t="shared" si="26"/>
        <v>0.10563774267811578</v>
      </c>
      <c r="N71" s="46" t="s">
        <v>1</v>
      </c>
      <c r="O71" s="125" t="s">
        <v>7</v>
      </c>
      <c r="R71" s="220"/>
      <c r="S71" s="146" t="s">
        <v>24</v>
      </c>
      <c r="T71" s="146">
        <v>-0.35</v>
      </c>
      <c r="U71" s="146">
        <v>0</v>
      </c>
      <c r="V71" s="146">
        <v>0</v>
      </c>
      <c r="W71" s="146">
        <v>-1</v>
      </c>
      <c r="X71" s="146">
        <v>0</v>
      </c>
      <c r="Y71" s="146">
        <v>-0.5</v>
      </c>
      <c r="Z71" s="146">
        <v>1.48</v>
      </c>
      <c r="AA71" s="146">
        <v>-1</v>
      </c>
      <c r="AB71" s="227">
        <v>1.64</v>
      </c>
    </row>
    <row r="72" spans="1:28" ht="15" thickBot="1" x14ac:dyDescent="0.4">
      <c r="A72" s="174"/>
      <c r="B72" s="190"/>
      <c r="C72" s="47" t="s">
        <v>27</v>
      </c>
      <c r="D72" s="105">
        <f>'Raw Data Totals'!D72/S$31</f>
        <v>0.60847924520757402</v>
      </c>
      <c r="E72" s="105">
        <f>'Raw Data Totals'!E72/T$31</f>
        <v>11.3314447592068</v>
      </c>
      <c r="F72" s="105">
        <f>'Raw Data Totals'!F72/U$31</f>
        <v>0</v>
      </c>
      <c r="G72" s="105">
        <f>'Raw Data Totals'!G72/V$31</f>
        <v>0</v>
      </c>
      <c r="H72" s="105">
        <f>'Raw Data Totals'!H72/W$31</f>
        <v>0</v>
      </c>
      <c r="I72" s="105">
        <f>'Raw Data Totals'!I72/X$31</f>
        <v>0</v>
      </c>
      <c r="J72" s="105">
        <f>'Raw Data Totals'!J72/Y$31</f>
        <v>0</v>
      </c>
      <c r="K72" s="105">
        <f>'Raw Data Totals'!K72/Z$31</f>
        <v>0</v>
      </c>
      <c r="L72" s="105">
        <f>'Raw Data Totals'!L72/AA$31</f>
        <v>0</v>
      </c>
      <c r="M72" s="105">
        <f t="shared" si="26"/>
        <v>1.3266582227127082</v>
      </c>
      <c r="N72" s="48" t="s">
        <v>1</v>
      </c>
      <c r="O72" s="126" t="s">
        <v>7</v>
      </c>
      <c r="R72" s="220"/>
      <c r="S72" s="146" t="s">
        <v>25</v>
      </c>
      <c r="T72" s="146">
        <v>0</v>
      </c>
      <c r="U72" s="146">
        <v>-0.25</v>
      </c>
      <c r="V72" s="146">
        <v>0</v>
      </c>
      <c r="W72" s="146">
        <v>-0.4</v>
      </c>
      <c r="X72" s="146">
        <v>-0.22</v>
      </c>
      <c r="Y72" s="146">
        <v>0</v>
      </c>
      <c r="Z72" s="146">
        <v>1.48</v>
      </c>
      <c r="AA72" s="146">
        <v>1</v>
      </c>
      <c r="AB72" s="227">
        <v>-0.4</v>
      </c>
    </row>
    <row r="73" spans="1:28" x14ac:dyDescent="0.35">
      <c r="A73" s="174"/>
      <c r="B73" s="169" t="s">
        <v>8</v>
      </c>
      <c r="C73" s="49" t="s">
        <v>28</v>
      </c>
      <c r="D73" s="106">
        <f>'Raw Data Totals'!D73/S$31</f>
        <v>26.990400805278821</v>
      </c>
      <c r="E73" s="106">
        <f>'Raw Data Totals'!E73/T$31</f>
        <v>1212.4645892351275</v>
      </c>
      <c r="F73" s="106">
        <f>'Raw Data Totals'!F73/U$31</f>
        <v>29.770204170843289</v>
      </c>
      <c r="G73" s="106">
        <f>'Raw Data Totals'!G73/V$31</f>
        <v>33.222340513889201</v>
      </c>
      <c r="H73" s="106">
        <f>'Raw Data Totals'!H73/W$31</f>
        <v>217.16339673506067</v>
      </c>
      <c r="I73" s="106">
        <f>'Raw Data Totals'!I73/X$31</f>
        <v>64.070620061223039</v>
      </c>
      <c r="J73" s="106">
        <f>'Raw Data Totals'!J73/Y$31</f>
        <v>92.987557379226885</v>
      </c>
      <c r="K73" s="106">
        <f>'Raw Data Totals'!K73/Z$31</f>
        <v>14.63768794791325</v>
      </c>
      <c r="L73" s="106">
        <f>'Raw Data Totals'!L73/AA$31</f>
        <v>72.190912148582015</v>
      </c>
      <c r="M73" s="106">
        <f t="shared" si="26"/>
        <v>195.9441898885716</v>
      </c>
      <c r="N73" s="50" t="s">
        <v>1</v>
      </c>
      <c r="O73" s="124" t="s">
        <v>8</v>
      </c>
      <c r="R73" s="220"/>
      <c r="S73" s="146" t="s">
        <v>26</v>
      </c>
      <c r="T73" s="146">
        <v>-0.25</v>
      </c>
      <c r="U73" s="146">
        <v>0</v>
      </c>
      <c r="V73" s="146">
        <v>-1</v>
      </c>
      <c r="W73" s="146">
        <v>-1</v>
      </c>
      <c r="X73" s="146">
        <v>0</v>
      </c>
      <c r="Y73" s="146">
        <v>0</v>
      </c>
      <c r="Z73" s="146">
        <v>0</v>
      </c>
      <c r="AA73" s="146">
        <v>0</v>
      </c>
      <c r="AB73" s="227">
        <v>0</v>
      </c>
    </row>
    <row r="74" spans="1:28" ht="15" thickBot="1" x14ac:dyDescent="0.4">
      <c r="A74" s="174"/>
      <c r="B74" s="170"/>
      <c r="C74" s="45" t="s">
        <v>29</v>
      </c>
      <c r="D74" s="92">
        <f>'Raw Data Totals'!D74/S$31</f>
        <v>8.9968002684262736</v>
      </c>
      <c r="E74" s="92">
        <f>'Raw Data Totals'!E74/T$31</f>
        <v>453.25779036827197</v>
      </c>
      <c r="F74" s="92">
        <f>'Raw Data Totals'!F74/U$31</f>
        <v>7.9135985770596085</v>
      </c>
      <c r="G74" s="92">
        <f>'Raw Data Totals'!G74/V$31</f>
        <v>9.0606383219697832</v>
      </c>
      <c r="H74" s="92">
        <f>'Raw Data Totals'!H74/W$31</f>
        <v>41.9350007488393</v>
      </c>
      <c r="I74" s="92">
        <f>'Raw Data Totals'!I74/X$31</f>
        <v>19.774882734945383</v>
      </c>
      <c r="J74" s="92">
        <f>'Raw Data Totals'!J74/Y$31</f>
        <v>44.279789228203278</v>
      </c>
      <c r="K74" s="92">
        <f>'Raw Data Totals'!K74/Z$31</f>
        <v>4.68406014333224</v>
      </c>
      <c r="L74" s="92">
        <f>'Raw Data Totals'!L74/AA$31</f>
        <v>11.484917841819867</v>
      </c>
      <c r="M74" s="92">
        <f t="shared" si="26"/>
        <v>66.820830914763093</v>
      </c>
      <c r="N74" s="46" t="s">
        <v>1</v>
      </c>
      <c r="O74" s="125" t="s">
        <v>8</v>
      </c>
      <c r="R74" s="221"/>
      <c r="S74" s="228" t="s">
        <v>27</v>
      </c>
      <c r="T74" s="228">
        <v>0</v>
      </c>
      <c r="U74" s="228">
        <v>33.99</v>
      </c>
      <c r="V74" s="228">
        <v>-0.5</v>
      </c>
      <c r="W74" s="228">
        <v>0.5</v>
      </c>
      <c r="X74" s="228">
        <v>0</v>
      </c>
      <c r="Y74" s="228">
        <v>0</v>
      </c>
      <c r="Z74" s="228">
        <v>0</v>
      </c>
      <c r="AA74" s="228">
        <v>1.17</v>
      </c>
      <c r="AB74" s="229">
        <v>0.41</v>
      </c>
    </row>
    <row r="75" spans="1:28" x14ac:dyDescent="0.35">
      <c r="A75" s="174"/>
      <c r="B75" s="170"/>
      <c r="C75" s="45" t="s">
        <v>30</v>
      </c>
      <c r="D75" s="92">
        <f>'Raw Data Totals'!D75/S$31</f>
        <v>2.2166029646847338</v>
      </c>
      <c r="E75" s="92">
        <f>'Raw Data Totals'!E75/T$31</f>
        <v>226.62889518413598</v>
      </c>
      <c r="F75" s="92">
        <f>'Raw Data Totals'!F75/U$31</f>
        <v>13.943007016724072</v>
      </c>
      <c r="G75" s="92">
        <f>'Raw Data Totals'!G75/V$31</f>
        <v>9.0606383219697832</v>
      </c>
      <c r="H75" s="92">
        <f>'Raw Data Totals'!H75/W$31</f>
        <v>17.972143178073985</v>
      </c>
      <c r="I75" s="92">
        <f>'Raw Data Totals'!I75/X$31</f>
        <v>39.549765469890765</v>
      </c>
      <c r="J75" s="92">
        <f>'Raw Data Totals'!J75/Y$31</f>
        <v>29.519859485468853</v>
      </c>
      <c r="K75" s="92">
        <f>'Raw Data Totals'!K75/Z$31</f>
        <v>8.7826127687479509</v>
      </c>
      <c r="L75" s="92">
        <f>'Raw Data Totals'!L75/AA$31</f>
        <v>9.8442152929884568</v>
      </c>
      <c r="M75" s="92">
        <f t="shared" si="26"/>
        <v>39.724193298076059</v>
      </c>
      <c r="N75" s="46" t="s">
        <v>1</v>
      </c>
      <c r="O75" s="125" t="s">
        <v>8</v>
      </c>
      <c r="R75" s="219" t="s">
        <v>8</v>
      </c>
      <c r="S75" s="225" t="s">
        <v>28</v>
      </c>
      <c r="T75" s="225">
        <v>2.13</v>
      </c>
      <c r="U75" s="225">
        <v>0.01</v>
      </c>
      <c r="V75" s="225">
        <v>0.47</v>
      </c>
      <c r="W75" s="225">
        <v>0.62</v>
      </c>
      <c r="X75" s="225">
        <v>1.03</v>
      </c>
      <c r="Y75" s="225">
        <v>0.66</v>
      </c>
      <c r="Z75" s="225">
        <v>2</v>
      </c>
      <c r="AA75" s="225">
        <v>7.81</v>
      </c>
      <c r="AB75" s="226">
        <v>-0.12</v>
      </c>
    </row>
    <row r="76" spans="1:28" x14ac:dyDescent="0.35">
      <c r="A76" s="174"/>
      <c r="B76" s="170"/>
      <c r="C76" s="45" t="s">
        <v>31</v>
      </c>
      <c r="D76" s="92">
        <f>'Raw Data Totals'!D76/S$31</f>
        <v>1.6081237194771598</v>
      </c>
      <c r="E76" s="92">
        <f>'Raw Data Totals'!E76/T$31</f>
        <v>11.3314447592068</v>
      </c>
      <c r="F76" s="92">
        <f>'Raw Data Totals'!F76/U$31</f>
        <v>0</v>
      </c>
      <c r="G76" s="92">
        <f>'Raw Data Totals'!G76/V$31</f>
        <v>0</v>
      </c>
      <c r="H76" s="92">
        <f>'Raw Data Totals'!H76/W$31</f>
        <v>0</v>
      </c>
      <c r="I76" s="92">
        <f>'Raw Data Totals'!I76/X$31</f>
        <v>0.79099530939781526</v>
      </c>
      <c r="J76" s="92">
        <f>'Raw Data Totals'!J76/Y$31</f>
        <v>1.4759929742734426</v>
      </c>
      <c r="K76" s="92">
        <f>'Raw Data Totals'!K76/Z$31</f>
        <v>0.58550751791653</v>
      </c>
      <c r="L76" s="92">
        <f>'Raw Data Totals'!L76/AA$31</f>
        <v>8.6136883813649003</v>
      </c>
      <c r="M76" s="92">
        <f t="shared" si="26"/>
        <v>2.7117502957374051</v>
      </c>
      <c r="N76" s="46" t="s">
        <v>1</v>
      </c>
      <c r="O76" s="125" t="s">
        <v>8</v>
      </c>
      <c r="R76" s="220"/>
      <c r="S76" s="146" t="s">
        <v>29</v>
      </c>
      <c r="T76" s="146">
        <v>0.85</v>
      </c>
      <c r="U76" s="146">
        <v>2.31</v>
      </c>
      <c r="V76" s="146">
        <v>1.31</v>
      </c>
      <c r="W76" s="146">
        <v>0.61</v>
      </c>
      <c r="X76" s="146">
        <v>-0.11</v>
      </c>
      <c r="Y76" s="146">
        <v>-0.04</v>
      </c>
      <c r="Z76" s="146">
        <v>1.65</v>
      </c>
      <c r="AA76" s="146">
        <v>2.57</v>
      </c>
      <c r="AB76" s="227">
        <v>-0.03</v>
      </c>
    </row>
    <row r="77" spans="1:28" x14ac:dyDescent="0.35">
      <c r="A77" s="174"/>
      <c r="B77" s="170"/>
      <c r="C77" s="45" t="s">
        <v>32</v>
      </c>
      <c r="D77" s="92">
        <f>'Raw Data Totals'!D77/S$31</f>
        <v>55.284685707431009</v>
      </c>
      <c r="E77" s="92">
        <f>'Raw Data Totals'!E77/T$31</f>
        <v>3082.1529745042494</v>
      </c>
      <c r="F77" s="92">
        <f>'Raw Data Totals'!F77/U$31</f>
        <v>63.685626643955899</v>
      </c>
      <c r="G77" s="92">
        <f>'Raw Data Totals'!G77/V$31</f>
        <v>76.512056941078171</v>
      </c>
      <c r="H77" s="92">
        <f>'Raw Data Totals'!H77/W$31</f>
        <v>446.30822225550401</v>
      </c>
      <c r="I77" s="92">
        <f>'Raw Data Totals'!I77/X$31</f>
        <v>132.88721197883297</v>
      </c>
      <c r="J77" s="92">
        <f>'Raw Data Totals'!J77/Y$31</f>
        <v>264.2027423949462</v>
      </c>
      <c r="K77" s="92">
        <f>'Raw Data Totals'!K77/Z$31</f>
        <v>43.327556325823224</v>
      </c>
      <c r="L77" s="92">
        <f>'Raw Data Totals'!L77/AA$31</f>
        <v>125.51374498560283</v>
      </c>
      <c r="M77" s="92">
        <f t="shared" si="26"/>
        <v>476.65275797082478</v>
      </c>
      <c r="N77" s="46" t="s">
        <v>1</v>
      </c>
      <c r="O77" s="125" t="s">
        <v>8</v>
      </c>
      <c r="R77" s="220"/>
      <c r="S77" s="146" t="s">
        <v>30</v>
      </c>
      <c r="T77" s="146">
        <v>-0.25</v>
      </c>
      <c r="U77" s="146">
        <v>-0.54</v>
      </c>
      <c r="V77" s="146">
        <v>-0.71</v>
      </c>
      <c r="W77" s="146">
        <v>-0.14000000000000001</v>
      </c>
      <c r="X77" s="146">
        <v>-0.38</v>
      </c>
      <c r="Y77" s="146">
        <v>-0.55000000000000004</v>
      </c>
      <c r="Z77" s="146">
        <v>3.6</v>
      </c>
      <c r="AA77" s="146">
        <v>-0.94</v>
      </c>
      <c r="AB77" s="227">
        <v>0.33</v>
      </c>
    </row>
    <row r="78" spans="1:28" x14ac:dyDescent="0.35">
      <c r="A78" s="174"/>
      <c r="B78" s="170"/>
      <c r="C78" s="45" t="s">
        <v>33</v>
      </c>
      <c r="D78" s="92">
        <f>'Raw Data Totals'!D78/S$31</f>
        <v>19.297484633725919</v>
      </c>
      <c r="E78" s="92">
        <f>'Raw Data Totals'!E78/T$31</f>
        <v>963.17280453257797</v>
      </c>
      <c r="F78" s="92">
        <f>'Raw Data Totals'!F78/U$31</f>
        <v>52.757323847064058</v>
      </c>
      <c r="G78" s="92">
        <f>'Raw Data Totals'!G78/V$31</f>
        <v>29.698758944234289</v>
      </c>
      <c r="H78" s="92">
        <f>'Raw Data Totals'!H78/W$31</f>
        <v>299.53571963456642</v>
      </c>
      <c r="I78" s="92">
        <f>'Raw Data Totals'!I78/X$31</f>
        <v>63.279624751825224</v>
      </c>
      <c r="J78" s="92">
        <f>'Raw Data Totals'!J78/Y$31</f>
        <v>185.97511475845377</v>
      </c>
      <c r="K78" s="92">
        <f>'Raw Data Totals'!K78/Z$31</f>
        <v>79.043514918731546</v>
      </c>
      <c r="L78" s="92">
        <f>'Raw Data Totals'!L78/AA$31</f>
        <v>38.146334260330271</v>
      </c>
      <c r="M78" s="92">
        <f t="shared" si="26"/>
        <v>192.3229644757233</v>
      </c>
      <c r="N78" s="46" t="s">
        <v>1</v>
      </c>
      <c r="O78" s="125" t="s">
        <v>8</v>
      </c>
      <c r="R78" s="220"/>
      <c r="S78" s="146" t="s">
        <v>31</v>
      </c>
      <c r="T78" s="146">
        <v>-0.9</v>
      </c>
      <c r="U78" s="146">
        <v>0.8</v>
      </c>
      <c r="V78" s="146">
        <v>-1</v>
      </c>
      <c r="W78" s="146">
        <v>-1</v>
      </c>
      <c r="X78" s="146">
        <v>-0.8</v>
      </c>
      <c r="Y78" s="146">
        <v>0</v>
      </c>
      <c r="Z78" s="146">
        <v>2</v>
      </c>
      <c r="AA78" s="146">
        <v>0</v>
      </c>
      <c r="AB78" s="227">
        <v>-0.83</v>
      </c>
    </row>
    <row r="79" spans="1:28" ht="15" thickBot="1" x14ac:dyDescent="0.4">
      <c r="A79" s="174"/>
      <c r="B79" s="190"/>
      <c r="C79" s="47" t="s">
        <v>34</v>
      </c>
      <c r="D79" s="105">
        <f>'Raw Data Totals'!D79/S$31</f>
        <v>7.9102301876984624</v>
      </c>
      <c r="E79" s="105">
        <f>'Raw Data Totals'!E79/T$31</f>
        <v>271.95467422096317</v>
      </c>
      <c r="F79" s="105">
        <f>'Raw Data Totals'!F79/U$31</f>
        <v>10.174626741933782</v>
      </c>
      <c r="G79" s="105">
        <f>'Raw Data Totals'!G79/V$31</f>
        <v>13.590957482954675</v>
      </c>
      <c r="H79" s="105">
        <f>'Raw Data Totals'!H79/W$31</f>
        <v>38.939643552493635</v>
      </c>
      <c r="I79" s="105">
        <f>'Raw Data Totals'!I79/X$31</f>
        <v>18.192892116149753</v>
      </c>
      <c r="J79" s="105">
        <f>'Raw Data Totals'!J79/Y$31</f>
        <v>51.659754099570492</v>
      </c>
      <c r="K79" s="105">
        <f>'Raw Data Totals'!K79/Z$31</f>
        <v>10.53913532249754</v>
      </c>
      <c r="L79" s="105">
        <f>'Raw Data Totals'!L79/AA$31</f>
        <v>5.3322832837020808</v>
      </c>
      <c r="M79" s="105">
        <f t="shared" si="26"/>
        <v>47.588244111995948</v>
      </c>
      <c r="N79" s="48" t="s">
        <v>1</v>
      </c>
      <c r="O79" s="126" t="s">
        <v>8</v>
      </c>
      <c r="R79" s="220"/>
      <c r="S79" s="146" t="s">
        <v>32</v>
      </c>
      <c r="T79" s="146">
        <v>0.13</v>
      </c>
      <c r="U79" s="146">
        <v>0.55000000000000004</v>
      </c>
      <c r="V79" s="146">
        <v>0.23</v>
      </c>
      <c r="W79" s="146">
        <v>0.05</v>
      </c>
      <c r="X79" s="146">
        <v>-0.03</v>
      </c>
      <c r="Y79" s="146">
        <v>0.57999999999999996</v>
      </c>
      <c r="Z79" s="146">
        <v>1.9</v>
      </c>
      <c r="AA79" s="146">
        <v>2.2400000000000002</v>
      </c>
      <c r="AB79" s="227">
        <v>0.01</v>
      </c>
    </row>
    <row r="80" spans="1:28" x14ac:dyDescent="0.35">
      <c r="A80" s="166" t="s">
        <v>0</v>
      </c>
      <c r="B80" s="167" t="s">
        <v>7</v>
      </c>
      <c r="C80" s="43" t="s">
        <v>22</v>
      </c>
      <c r="D80" s="108">
        <f>'Raw Data Totals'!D80/S$31</f>
        <v>3.4335614550998819</v>
      </c>
      <c r="E80" s="108">
        <f>'Raw Data Totals'!E80/T$31</f>
        <v>0</v>
      </c>
      <c r="F80" s="108">
        <f>'Raw Data Totals'!F80/U$31</f>
        <v>1.130514082437087</v>
      </c>
      <c r="G80" s="108">
        <f>'Raw Data Totals'!G80/V$31</f>
        <v>0.25168439783249397</v>
      </c>
      <c r="H80" s="108">
        <f>'Raw Data Totals'!H80/W$31</f>
        <v>2.9953571963456644</v>
      </c>
      <c r="I80" s="108">
        <f>'Raw Data Totals'!I80/X$31</f>
        <v>3.9549765469890765</v>
      </c>
      <c r="J80" s="108">
        <f>'Raw Data Totals'!J80/Y$31</f>
        <v>0</v>
      </c>
      <c r="K80" s="108">
        <f>'Raw Data Totals'!K80/Z$31</f>
        <v>0.58550751791653</v>
      </c>
      <c r="L80" s="108">
        <f>'Raw Data Totals'!L80/AA$31</f>
        <v>2.8712294604549666</v>
      </c>
      <c r="M80" s="108">
        <f t="shared" si="26"/>
        <v>1.6914256285639668</v>
      </c>
      <c r="N80" s="44" t="s">
        <v>0</v>
      </c>
      <c r="O80" s="127" t="s">
        <v>7</v>
      </c>
      <c r="R80" s="220"/>
      <c r="S80" s="146" t="s">
        <v>33</v>
      </c>
      <c r="T80" s="146">
        <v>-0.52</v>
      </c>
      <c r="U80" s="146">
        <v>-0.64</v>
      </c>
      <c r="V80" s="146">
        <v>0.28000000000000003</v>
      </c>
      <c r="W80" s="146">
        <v>-0.71</v>
      </c>
      <c r="X80" s="146">
        <v>0.44</v>
      </c>
      <c r="Y80" s="146">
        <v>-0.05</v>
      </c>
      <c r="Z80" s="146">
        <v>-0.56999999999999995</v>
      </c>
      <c r="AA80" s="146">
        <v>-0.68</v>
      </c>
      <c r="AB80" s="227">
        <v>-0.64</v>
      </c>
    </row>
    <row r="81" spans="1:28" ht="15" thickBot="1" x14ac:dyDescent="0.4">
      <c r="A81" s="166"/>
      <c r="B81" s="168"/>
      <c r="C81" s="39" t="s">
        <v>23</v>
      </c>
      <c r="D81" s="94">
        <f>'Raw Data Totals'!D81/S$31</f>
        <v>3.346635848641657</v>
      </c>
      <c r="E81" s="94">
        <f>'Raw Data Totals'!E81/T$31</f>
        <v>0</v>
      </c>
      <c r="F81" s="94">
        <f>'Raw Data Totals'!F81/U$31</f>
        <v>0.376838027479029</v>
      </c>
      <c r="G81" s="94">
        <f>'Raw Data Totals'!G81/V$31</f>
        <v>0.7550531934974819</v>
      </c>
      <c r="H81" s="94">
        <f>'Raw Data Totals'!H81/W$31</f>
        <v>0</v>
      </c>
      <c r="I81" s="94">
        <f>'Raw Data Totals'!I81/X$31</f>
        <v>0.79099530939781526</v>
      </c>
      <c r="J81" s="94">
        <f>'Raw Data Totals'!J81/Y$31</f>
        <v>0</v>
      </c>
      <c r="K81" s="94">
        <f>'Raw Data Totals'!K81/Z$31</f>
        <v>0.58550751791653</v>
      </c>
      <c r="L81" s="94">
        <f>'Raw Data Totals'!L81/AA$31</f>
        <v>0</v>
      </c>
      <c r="M81" s="94">
        <f t="shared" si="26"/>
        <v>0.65055887743694596</v>
      </c>
      <c r="N81" s="40" t="s">
        <v>0</v>
      </c>
      <c r="O81" s="128" t="s">
        <v>7</v>
      </c>
      <c r="R81" s="221"/>
      <c r="S81" s="228" t="s">
        <v>34</v>
      </c>
      <c r="T81" s="228">
        <v>0.57999999999999996</v>
      </c>
      <c r="U81" s="228">
        <v>0.41</v>
      </c>
      <c r="V81" s="228">
        <v>-0.62</v>
      </c>
      <c r="W81" s="228">
        <v>0.88</v>
      </c>
      <c r="X81" s="228">
        <v>-0.5</v>
      </c>
      <c r="Y81" s="228">
        <v>2.25</v>
      </c>
      <c r="Z81" s="228">
        <v>1.64</v>
      </c>
      <c r="AA81" s="228">
        <v>1.24</v>
      </c>
      <c r="AB81" s="229">
        <v>-0.48</v>
      </c>
    </row>
    <row r="82" spans="1:28" x14ac:dyDescent="0.35">
      <c r="A82" s="166"/>
      <c r="B82" s="168"/>
      <c r="C82" s="39" t="s">
        <v>24</v>
      </c>
      <c r="D82" s="94">
        <f>'Raw Data Totals'!D82/S$31</f>
        <v>1.1300328839569231</v>
      </c>
      <c r="E82" s="94">
        <f>'Raw Data Totals'!E82/T$31</f>
        <v>0</v>
      </c>
      <c r="F82" s="94">
        <f>'Raw Data Totals'!F82/U$31</f>
        <v>0.376838027479029</v>
      </c>
      <c r="G82" s="94">
        <f>'Raw Data Totals'!G82/V$31</f>
        <v>0.50336879566498793</v>
      </c>
      <c r="H82" s="94">
        <f>'Raw Data Totals'!H82/W$31</f>
        <v>0</v>
      </c>
      <c r="I82" s="94">
        <f>'Raw Data Totals'!I82/X$31</f>
        <v>1.5819906187956305</v>
      </c>
      <c r="J82" s="94">
        <f>'Raw Data Totals'!J82/Y$31</f>
        <v>0</v>
      </c>
      <c r="K82" s="94">
        <f>'Raw Data Totals'!K82/Z$31</f>
        <v>0.58550751791653</v>
      </c>
      <c r="L82" s="94">
        <f>'Raw Data Totals'!L82/AA$31</f>
        <v>0</v>
      </c>
      <c r="M82" s="94">
        <f t="shared" si="26"/>
        <v>0.46419309375701118</v>
      </c>
      <c r="N82" s="40" t="s">
        <v>0</v>
      </c>
      <c r="O82" s="128" t="s">
        <v>7</v>
      </c>
    </row>
    <row r="83" spans="1:28" x14ac:dyDescent="0.35">
      <c r="A83" s="166"/>
      <c r="B83" s="168"/>
      <c r="C83" s="39" t="s">
        <v>25</v>
      </c>
      <c r="D83" s="94">
        <f>'Raw Data Totals'!D83/S$31</f>
        <v>0.65194204843668646</v>
      </c>
      <c r="E83" s="94">
        <f>'Raw Data Totals'!E83/T$31</f>
        <v>45.3257790368272</v>
      </c>
      <c r="F83" s="94">
        <f>'Raw Data Totals'!F83/U$31</f>
        <v>1.130514082437087</v>
      </c>
      <c r="G83" s="94">
        <f>'Raw Data Totals'!G83/V$31</f>
        <v>1.2584219891624697</v>
      </c>
      <c r="H83" s="94">
        <f>'Raw Data Totals'!H83/W$31</f>
        <v>13.47910738355549</v>
      </c>
      <c r="I83" s="94">
        <f>'Raw Data Totals'!I83/X$31</f>
        <v>7.1189577845803376</v>
      </c>
      <c r="J83" s="94">
        <f>'Raw Data Totals'!J83/Y$31</f>
        <v>0</v>
      </c>
      <c r="K83" s="94">
        <f>'Raw Data Totals'!K83/Z$31</f>
        <v>0.58550751791653</v>
      </c>
      <c r="L83" s="94">
        <f>'Raw Data Totals'!L83/AA$31</f>
        <v>2.0508781860392622</v>
      </c>
      <c r="M83" s="94">
        <f t="shared" si="26"/>
        <v>7.9556786698838948</v>
      </c>
      <c r="N83" s="40" t="s">
        <v>0</v>
      </c>
      <c r="O83" s="128" t="s">
        <v>7</v>
      </c>
    </row>
    <row r="84" spans="1:28" x14ac:dyDescent="0.35">
      <c r="A84" s="166"/>
      <c r="B84" s="168"/>
      <c r="C84" s="39" t="s">
        <v>26</v>
      </c>
      <c r="D84" s="94">
        <f>'Raw Data Totals'!D84/S$31</f>
        <v>0.17385121291644973</v>
      </c>
      <c r="E84" s="94">
        <f>'Raw Data Totals'!E84/T$31</f>
        <v>0</v>
      </c>
      <c r="F84" s="94">
        <f>'Raw Data Totals'!F84/U$31</f>
        <v>0.376838027479029</v>
      </c>
      <c r="G84" s="94">
        <f>'Raw Data Totals'!G84/V$31</f>
        <v>0.25168439783249397</v>
      </c>
      <c r="H84" s="94">
        <f>'Raw Data Totals'!H84/W$31</f>
        <v>0</v>
      </c>
      <c r="I84" s="94">
        <f>'Raw Data Totals'!I84/X$31</f>
        <v>0</v>
      </c>
      <c r="J84" s="94">
        <f>'Raw Data Totals'!J84/Y$31</f>
        <v>0</v>
      </c>
      <c r="K84" s="94">
        <f>'Raw Data Totals'!K84/Z$31</f>
        <v>0</v>
      </c>
      <c r="L84" s="94">
        <f>'Raw Data Totals'!L84/AA$31</f>
        <v>0</v>
      </c>
      <c r="M84" s="94">
        <f t="shared" si="26"/>
        <v>8.9152626469774746E-2</v>
      </c>
      <c r="N84" s="40" t="s">
        <v>0</v>
      </c>
      <c r="O84" s="128" t="s">
        <v>7</v>
      </c>
    </row>
    <row r="85" spans="1:28" ht="15" thickBot="1" x14ac:dyDescent="0.4">
      <c r="A85" s="166"/>
      <c r="B85" s="191"/>
      <c r="C85" s="41" t="s">
        <v>27</v>
      </c>
      <c r="D85" s="107">
        <f>'Raw Data Totals'!D85/S$31</f>
        <v>0.52155363874934912</v>
      </c>
      <c r="E85" s="107">
        <f>'Raw Data Totals'!E85/T$31</f>
        <v>0</v>
      </c>
      <c r="F85" s="107">
        <f>'Raw Data Totals'!F85/U$31</f>
        <v>0.75367605495805801</v>
      </c>
      <c r="G85" s="107">
        <f>'Raw Data Totals'!G85/V$31</f>
        <v>0</v>
      </c>
      <c r="H85" s="107">
        <f>'Raw Data Totals'!H85/W$31</f>
        <v>0</v>
      </c>
      <c r="I85" s="107">
        <f>'Raw Data Totals'!I85/X$31</f>
        <v>0</v>
      </c>
      <c r="J85" s="107">
        <f>'Raw Data Totals'!J85/Y$31</f>
        <v>0</v>
      </c>
      <c r="K85" s="107">
        <f>'Raw Data Totals'!K85/Z$31</f>
        <v>0</v>
      </c>
      <c r="L85" s="107">
        <f>'Raw Data Totals'!L85/AA$31</f>
        <v>0</v>
      </c>
      <c r="M85" s="107">
        <f t="shared" si="26"/>
        <v>0.14169218818971188</v>
      </c>
      <c r="N85" s="42" t="s">
        <v>0</v>
      </c>
      <c r="O85" s="129" t="s">
        <v>7</v>
      </c>
    </row>
    <row r="86" spans="1:28" x14ac:dyDescent="0.35">
      <c r="A86" s="166"/>
      <c r="B86" s="168" t="s">
        <v>8</v>
      </c>
      <c r="C86" s="39" t="s">
        <v>28</v>
      </c>
      <c r="D86" s="94">
        <f>'Raw Data Totals'!D86/S$31</f>
        <v>23.122211317887814</v>
      </c>
      <c r="E86" s="94">
        <f>'Raw Data Totals'!E86/T$31</f>
        <v>1393.7677053824364</v>
      </c>
      <c r="F86" s="94">
        <f>'Raw Data Totals'!F86/U$31</f>
        <v>24.117633758657856</v>
      </c>
      <c r="G86" s="94">
        <f>'Raw Data Totals'!G86/V$31</f>
        <v>27.685283761574336</v>
      </c>
      <c r="H86" s="94">
        <f>'Raw Data Totals'!H86/W$31</f>
        <v>88.363037292197106</v>
      </c>
      <c r="I86" s="94">
        <f>'Raw Data Totals'!I86/X$31</f>
        <v>49.041709182664547</v>
      </c>
      <c r="J86" s="94">
        <f>'Raw Data Totals'!J86/Y$31</f>
        <v>75.275641687945566</v>
      </c>
      <c r="K86" s="94">
        <f>'Raw Data Totals'!K86/Z$31</f>
        <v>15.223195465829781</v>
      </c>
      <c r="L86" s="94">
        <f>'Raw Data Totals'!L86/AA$31</f>
        <v>58.655116120722894</v>
      </c>
      <c r="M86" s="94">
        <f t="shared" si="26"/>
        <v>195.02794821887957</v>
      </c>
      <c r="N86" s="40" t="s">
        <v>0</v>
      </c>
      <c r="O86" s="128" t="s">
        <v>8</v>
      </c>
    </row>
    <row r="87" spans="1:28" x14ac:dyDescent="0.35">
      <c r="A87" s="166"/>
      <c r="B87" s="168"/>
      <c r="C87" s="39" t="s">
        <v>29</v>
      </c>
      <c r="D87" s="94">
        <f>'Raw Data Totals'!D87/S$31</f>
        <v>8.7794862522807104</v>
      </c>
      <c r="E87" s="94">
        <f>'Raw Data Totals'!E87/T$31</f>
        <v>181.3031161473088</v>
      </c>
      <c r="F87" s="94">
        <f>'Raw Data Totals'!F87/U$31</f>
        <v>12.058816879328928</v>
      </c>
      <c r="G87" s="94">
        <f>'Raw Data Totals'!G87/V$31</f>
        <v>5.7887411501473611</v>
      </c>
      <c r="H87" s="94">
        <f>'Raw Data Totals'!H87/W$31</f>
        <v>28.455893365283814</v>
      </c>
      <c r="I87" s="94">
        <f>'Raw Data Totals'!I87/X$31</f>
        <v>20.565878044343197</v>
      </c>
      <c r="J87" s="94">
        <f>'Raw Data Totals'!J87/Y$31</f>
        <v>29.519859485468853</v>
      </c>
      <c r="K87" s="94">
        <f>'Raw Data Totals'!K87/Z$31</f>
        <v>4.0985526254157101</v>
      </c>
      <c r="L87" s="94">
        <f>'Raw Data Totals'!L87/AA$31</f>
        <v>14.356147302274834</v>
      </c>
      <c r="M87" s="94">
        <f t="shared" si="26"/>
        <v>33.880721250205802</v>
      </c>
      <c r="N87" s="40" t="s">
        <v>0</v>
      </c>
      <c r="O87" s="128" t="s">
        <v>8</v>
      </c>
    </row>
    <row r="88" spans="1:28" x14ac:dyDescent="0.35">
      <c r="A88" s="166"/>
      <c r="B88" s="168"/>
      <c r="C88" s="39" t="s">
        <v>30</v>
      </c>
      <c r="D88" s="94">
        <f>'Raw Data Totals'!D88/S$31</f>
        <v>5.0851479778061544</v>
      </c>
      <c r="E88" s="94">
        <f>'Raw Data Totals'!E88/T$31</f>
        <v>147.3087818696884</v>
      </c>
      <c r="F88" s="94">
        <f>'Raw Data Totals'!F88/U$31</f>
        <v>5.2757323847064059</v>
      </c>
      <c r="G88" s="94">
        <f>'Raw Data Totals'!G88/V$31</f>
        <v>3.5235815696549153</v>
      </c>
      <c r="H88" s="94">
        <f>'Raw Data Totals'!H88/W$31</f>
        <v>35.94428635614797</v>
      </c>
      <c r="I88" s="94">
        <f>'Raw Data Totals'!I88/X$31</f>
        <v>15.819906187956306</v>
      </c>
      <c r="J88" s="94">
        <f>'Raw Data Totals'!J88/Y$31</f>
        <v>7.3799648713672132</v>
      </c>
      <c r="K88" s="94">
        <f>'Raw Data Totals'!K88/Z$31</f>
        <v>56.794229237903409</v>
      </c>
      <c r="L88" s="94">
        <f>'Raw Data Totals'!L88/AA$31</f>
        <v>4.9221076464942284</v>
      </c>
      <c r="M88" s="94">
        <f t="shared" si="26"/>
        <v>31.339304233524995</v>
      </c>
      <c r="N88" s="40" t="s">
        <v>0</v>
      </c>
      <c r="O88" s="128" t="s">
        <v>8</v>
      </c>
    </row>
    <row r="89" spans="1:28" x14ac:dyDescent="0.35">
      <c r="A89" s="166"/>
      <c r="B89" s="168"/>
      <c r="C89" s="39" t="s">
        <v>31</v>
      </c>
      <c r="D89" s="94">
        <f>'Raw Data Totals'!D89/S$31</f>
        <v>2.1296773582265089</v>
      </c>
      <c r="E89" s="94">
        <f>'Raw Data Totals'!E89/T$31</f>
        <v>56.657223796033996</v>
      </c>
      <c r="F89" s="94">
        <f>'Raw Data Totals'!F89/U$31</f>
        <v>3.014704219832232</v>
      </c>
      <c r="G89" s="94">
        <f>'Raw Data Totals'!G89/V$31</f>
        <v>1.5101063869949638</v>
      </c>
      <c r="H89" s="94">
        <f>'Raw Data Totals'!H89/W$31</f>
        <v>7.4883929908641607</v>
      </c>
      <c r="I89" s="94">
        <f>'Raw Data Totals'!I89/X$31</f>
        <v>0</v>
      </c>
      <c r="J89" s="94">
        <f>'Raw Data Totals'!J89/Y$31</f>
        <v>1.4759929742734426</v>
      </c>
      <c r="K89" s="94">
        <f>'Raw Data Totals'!K89/Z$31</f>
        <v>0</v>
      </c>
      <c r="L89" s="94">
        <f>'Raw Data Totals'!L89/AA$31</f>
        <v>2.4610538232471142</v>
      </c>
      <c r="M89" s="94">
        <f t="shared" si="26"/>
        <v>8.30412794994138</v>
      </c>
      <c r="N89" s="40" t="s">
        <v>0</v>
      </c>
      <c r="O89" s="128" t="s">
        <v>8</v>
      </c>
    </row>
    <row r="90" spans="1:28" x14ac:dyDescent="0.35">
      <c r="A90" s="166"/>
      <c r="B90" s="168"/>
      <c r="C90" s="39" t="s">
        <v>32</v>
      </c>
      <c r="D90" s="94">
        <f>'Raw Data Totals'!D90/S$31</f>
        <v>70.670518050536813</v>
      </c>
      <c r="E90" s="94">
        <f>'Raw Data Totals'!E90/T$31</f>
        <v>2107.6487252124648</v>
      </c>
      <c r="F90" s="94">
        <f>'Raw Data Totals'!F90/U$31</f>
        <v>62.931950588997836</v>
      </c>
      <c r="G90" s="94">
        <f>'Raw Data Totals'!G90/V$31</f>
        <v>61.914361866793513</v>
      </c>
      <c r="H90" s="94">
        <f>'Raw Data Totals'!H90/W$31</f>
        <v>398.38250711397336</v>
      </c>
      <c r="I90" s="94">
        <f>'Raw Data Totals'!I90/X$31</f>
        <v>93.337446508942207</v>
      </c>
      <c r="J90" s="94">
        <f>'Raw Data Totals'!J90/Y$31</f>
        <v>131.36337471033639</v>
      </c>
      <c r="K90" s="94">
        <f>'Raw Data Totals'!K90/Z$31</f>
        <v>36.886973628741394</v>
      </c>
      <c r="L90" s="94">
        <f>'Raw Data Totals'!L90/AA$31</f>
        <v>99.672679841508128</v>
      </c>
      <c r="M90" s="94">
        <f t="shared" si="26"/>
        <v>340.31205972469945</v>
      </c>
      <c r="N90" s="40" t="s">
        <v>0</v>
      </c>
      <c r="O90" s="128" t="s">
        <v>8</v>
      </c>
    </row>
    <row r="91" spans="1:28" x14ac:dyDescent="0.35">
      <c r="A91" s="166"/>
      <c r="B91" s="168"/>
      <c r="C91" s="39" t="s">
        <v>33</v>
      </c>
      <c r="D91" s="94">
        <f>'Raw Data Totals'!D91/S$31</f>
        <v>41.506977083802369</v>
      </c>
      <c r="E91" s="94">
        <f>'Raw Data Totals'!E91/T$31</f>
        <v>634.56090651558077</v>
      </c>
      <c r="F91" s="94">
        <f>'Raw Data Totals'!F91/U$31</f>
        <v>41.075344995214159</v>
      </c>
      <c r="G91" s="94">
        <f>'Raw Data Totals'!G91/V$31</f>
        <v>38.759397266204068</v>
      </c>
      <c r="H91" s="94">
        <f>'Raw Data Totals'!H91/W$31</f>
        <v>67.395536917777449</v>
      </c>
      <c r="I91" s="94">
        <f>'Raw Data Totals'!I91/X$31</f>
        <v>51.414695110857991</v>
      </c>
      <c r="J91" s="94">
        <f>'Raw Data Totals'!J91/Y$31</f>
        <v>190.4030936812741</v>
      </c>
      <c r="K91" s="94">
        <f>'Raw Data Totals'!K91/Z$31</f>
        <v>36.301466110824862</v>
      </c>
      <c r="L91" s="94">
        <f>'Raw Data Totals'!L91/AA$31</f>
        <v>126.7442718972264</v>
      </c>
      <c r="M91" s="94">
        <f t="shared" si="26"/>
        <v>136.46240995319579</v>
      </c>
      <c r="N91" s="40" t="s">
        <v>0</v>
      </c>
      <c r="O91" s="128" t="s">
        <v>8</v>
      </c>
    </row>
    <row r="92" spans="1:28" x14ac:dyDescent="0.35">
      <c r="A92" s="166"/>
      <c r="B92" s="168"/>
      <c r="C92" s="39" t="s">
        <v>34</v>
      </c>
      <c r="D92" s="94">
        <f>'Raw Data Totals'!D92/S$31</f>
        <v>11.083014823423669</v>
      </c>
      <c r="E92" s="94">
        <f>'Raw Data Totals'!E92/T$31</f>
        <v>305.94900849858357</v>
      </c>
      <c r="F92" s="94">
        <f>'Raw Data Totals'!F92/U$31</f>
        <v>53.887837929501146</v>
      </c>
      <c r="G92" s="94">
        <f>'Raw Data Totals'!G92/V$31</f>
        <v>6.0404255479798552</v>
      </c>
      <c r="H92" s="94">
        <f>'Raw Data Totals'!H92/W$31</f>
        <v>23.962857570765316</v>
      </c>
      <c r="I92" s="94">
        <f>'Raw Data Totals'!I92/X$31</f>
        <v>18.983887425547568</v>
      </c>
      <c r="J92" s="94">
        <f>'Raw Data Totals'!J92/Y$31</f>
        <v>16.235922717007867</v>
      </c>
      <c r="K92" s="94">
        <f>'Raw Data Totals'!K92/Z$31</f>
        <v>28.689868377909971</v>
      </c>
      <c r="L92" s="94">
        <f>'Raw Data Totals'!L92/AA$31</f>
        <v>17.227376762729801</v>
      </c>
      <c r="M92" s="94">
        <f t="shared" si="26"/>
        <v>53.562244405938749</v>
      </c>
      <c r="N92" s="40" t="s">
        <v>0</v>
      </c>
      <c r="O92" s="128" t="s">
        <v>8</v>
      </c>
    </row>
  </sheetData>
  <sortState xmlns:xlrd2="http://schemas.microsoft.com/office/spreadsheetml/2017/richdata2" ref="AC36:AJ44">
    <sortCondition descending="1" ref="AJ36:AJ44"/>
  </sortState>
  <mergeCells count="32">
    <mergeCell ref="R69:R74"/>
    <mergeCell ref="R75:R81"/>
    <mergeCell ref="T67:AB67"/>
    <mergeCell ref="AO3:AQ4"/>
    <mergeCell ref="A41:A53"/>
    <mergeCell ref="B47:B53"/>
    <mergeCell ref="A54:A66"/>
    <mergeCell ref="B54:B59"/>
    <mergeCell ref="B41:B46"/>
    <mergeCell ref="B21:B27"/>
    <mergeCell ref="A28:A40"/>
    <mergeCell ref="B28:B33"/>
    <mergeCell ref="B34:B40"/>
    <mergeCell ref="A2:A14"/>
    <mergeCell ref="B2:B7"/>
    <mergeCell ref="B8:B14"/>
    <mergeCell ref="A15:A27"/>
    <mergeCell ref="B15:B20"/>
    <mergeCell ref="B60:B66"/>
    <mergeCell ref="A67:A79"/>
    <mergeCell ref="B67:B72"/>
    <mergeCell ref="B73:B79"/>
    <mergeCell ref="A80:A92"/>
    <mergeCell ref="B80:B85"/>
    <mergeCell ref="B86:B92"/>
    <mergeCell ref="AC46:AK47"/>
    <mergeCell ref="S17:Z18"/>
    <mergeCell ref="S33:AA34"/>
    <mergeCell ref="AC3:AK4"/>
    <mergeCell ref="AC17:AK18"/>
    <mergeCell ref="AC33:AJ34"/>
    <mergeCell ref="S3:AA4"/>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6B94B-94A4-4572-8E50-3ED7C1A739F3}">
  <sheetPr codeName="Sheet6"/>
  <dimension ref="A1:AA55"/>
  <sheetViews>
    <sheetView topLeftCell="A16" workbookViewId="0">
      <selection activeCell="F48" sqref="F48"/>
    </sheetView>
  </sheetViews>
  <sheetFormatPr defaultRowHeight="14.5" x14ac:dyDescent="0.35"/>
  <cols>
    <col min="1" max="1" width="12.36328125" bestFit="1" customWidth="1"/>
    <col min="2" max="3" width="11.81640625" bestFit="1" customWidth="1"/>
    <col min="4" max="4" width="18.453125" bestFit="1" customWidth="1"/>
    <col min="5" max="7" width="11.81640625" bestFit="1" customWidth="1"/>
    <col min="8" max="8" width="13.7265625" bestFit="1" customWidth="1"/>
    <col min="9" max="9" width="11.81640625" bestFit="1" customWidth="1"/>
    <col min="10" max="10" width="12.453125" bestFit="1" customWidth="1"/>
  </cols>
  <sheetData>
    <row r="1" spans="1:27" x14ac:dyDescent="0.35">
      <c r="A1" s="2" t="s">
        <v>44</v>
      </c>
      <c r="B1" t="s">
        <v>7</v>
      </c>
    </row>
    <row r="3" spans="1:27" x14ac:dyDescent="0.35">
      <c r="A3" s="2" t="s">
        <v>46</v>
      </c>
      <c r="B3" t="s">
        <v>79</v>
      </c>
      <c r="C3" t="s">
        <v>80</v>
      </c>
      <c r="D3" t="s">
        <v>64</v>
      </c>
      <c r="E3" t="s">
        <v>81</v>
      </c>
      <c r="F3" t="s">
        <v>82</v>
      </c>
      <c r="G3" t="s">
        <v>83</v>
      </c>
      <c r="H3" t="s">
        <v>84</v>
      </c>
      <c r="I3" t="s">
        <v>85</v>
      </c>
      <c r="J3" t="s">
        <v>86</v>
      </c>
      <c r="K3" t="s">
        <v>46</v>
      </c>
      <c r="L3" t="s">
        <v>79</v>
      </c>
      <c r="M3" t="s">
        <v>80</v>
      </c>
      <c r="N3" t="s">
        <v>81</v>
      </c>
      <c r="O3" t="s">
        <v>82</v>
      </c>
      <c r="P3" t="s">
        <v>83</v>
      </c>
      <c r="Q3" t="s">
        <v>84</v>
      </c>
      <c r="R3" t="s">
        <v>85</v>
      </c>
      <c r="S3" t="s">
        <v>86</v>
      </c>
      <c r="U3" t="str" cm="1">
        <f t="array" ref="U3:AA3">CONCATENATE(TRANSPOSE(L4:L10)&amp;",")</f>
        <v>23.2,</v>
      </c>
      <c r="V3" t="str">
        <v>17.47,</v>
      </c>
      <c r="W3" t="str">
        <v>23.7,</v>
      </c>
      <c r="X3" t="str">
        <v>20.53,</v>
      </c>
      <c r="Y3" t="str">
        <v>21.2,</v>
      </c>
      <c r="Z3" t="str">
        <v>22.44,</v>
      </c>
      <c r="AA3" t="str">
        <v>29.98,</v>
      </c>
    </row>
    <row r="4" spans="1:27" x14ac:dyDescent="0.35">
      <c r="A4" s="3" t="s">
        <v>0</v>
      </c>
      <c r="B4">
        <v>1.5429295146334914</v>
      </c>
      <c r="C4">
        <v>0.69086971704488642</v>
      </c>
      <c r="D4">
        <v>7.5542965061378666</v>
      </c>
      <c r="E4">
        <v>0.82035127441570488</v>
      </c>
      <c r="F4">
        <v>0.50336879566498793</v>
      </c>
      <c r="G4">
        <v>2.7457440966501925</v>
      </c>
      <c r="H4">
        <v>2.241153376627143</v>
      </c>
      <c r="I4">
        <v>0</v>
      </c>
      <c r="J4">
        <v>0.39033834527768668</v>
      </c>
      <c r="K4" t="s">
        <v>0</v>
      </c>
      <c r="L4">
        <v>23.2</v>
      </c>
      <c r="M4">
        <v>28.91</v>
      </c>
      <c r="N4">
        <v>46.29</v>
      </c>
      <c r="O4">
        <v>20.75</v>
      </c>
      <c r="P4">
        <v>92.86</v>
      </c>
      <c r="Q4">
        <v>35.590000000000003</v>
      </c>
      <c r="R4">
        <v>64.52</v>
      </c>
      <c r="S4">
        <v>25.43</v>
      </c>
      <c r="U4" t="str" cm="1">
        <f t="array" ref="U4:AA4">CONCATENATE(TRANSPOSE(M4:M10)&amp;",")</f>
        <v>28.91,</v>
      </c>
      <c r="V4" t="str">
        <v>25.46,</v>
      </c>
      <c r="W4" t="str">
        <v>27.02,</v>
      </c>
      <c r="X4" t="str">
        <v>21.91,</v>
      </c>
      <c r="Y4" t="str">
        <v>24.23,</v>
      </c>
      <c r="Z4" t="str">
        <v>28.16,</v>
      </c>
      <c r="AA4" t="str">
        <v>30.69,</v>
      </c>
    </row>
    <row r="5" spans="1:27" x14ac:dyDescent="0.35">
      <c r="A5" s="3" t="s">
        <v>1</v>
      </c>
      <c r="B5">
        <v>1.2169584904151478</v>
      </c>
      <c r="C5">
        <v>2.637866192353203</v>
      </c>
      <c r="D5">
        <v>5.6657223796033991</v>
      </c>
      <c r="E5">
        <v>0.88871388061701351</v>
      </c>
      <c r="F5">
        <v>0.16778959855499598</v>
      </c>
      <c r="G5">
        <v>2.2465178972592486</v>
      </c>
      <c r="H5">
        <v>2.6366510313260512</v>
      </c>
      <c r="I5">
        <v>0.24599882904557377</v>
      </c>
      <c r="J5">
        <v>0.58550751791653</v>
      </c>
      <c r="K5" t="s">
        <v>1</v>
      </c>
      <c r="L5">
        <v>17.47</v>
      </c>
      <c r="M5">
        <v>25.46</v>
      </c>
      <c r="N5">
        <v>38.729999999999997</v>
      </c>
      <c r="O5">
        <v>24.45</v>
      </c>
      <c r="P5">
        <v>151.69</v>
      </c>
      <c r="Q5">
        <v>48.36</v>
      </c>
      <c r="R5">
        <v>95.73</v>
      </c>
      <c r="S5">
        <v>23.09</v>
      </c>
      <c r="U5" t="str" cm="1">
        <f t="array" ref="U5:AA5">CONCATENATE(TRANSPOSE(N4:N10)&amp;",")</f>
        <v>46.29,</v>
      </c>
      <c r="V5" t="str">
        <v>38.73,</v>
      </c>
      <c r="W5" t="str">
        <v>22.62,</v>
      </c>
      <c r="X5" t="str">
        <v>47.58,</v>
      </c>
      <c r="Y5" t="str">
        <v>44.01,</v>
      </c>
      <c r="Z5" t="str">
        <v>44.88,</v>
      </c>
      <c r="AA5" t="str">
        <v>32.52,</v>
      </c>
    </row>
    <row r="6" spans="1:27" x14ac:dyDescent="0.35">
      <c r="A6" s="3" t="s">
        <v>2</v>
      </c>
      <c r="B6">
        <v>1.3908097033315976</v>
      </c>
      <c r="C6">
        <v>0.75367605495805801</v>
      </c>
      <c r="D6">
        <v>22.662889518413596</v>
      </c>
      <c r="E6">
        <v>0.34181303100654364</v>
      </c>
      <c r="F6">
        <v>0.25168439783249397</v>
      </c>
      <c r="G6">
        <v>2.7457440966501925</v>
      </c>
      <c r="H6">
        <v>1.0546604125304204</v>
      </c>
      <c r="I6">
        <v>0.73799648713672139</v>
      </c>
      <c r="J6">
        <v>0.48792293159710837</v>
      </c>
      <c r="K6" t="s">
        <v>2</v>
      </c>
      <c r="L6">
        <v>23.7</v>
      </c>
      <c r="M6">
        <v>27.02</v>
      </c>
      <c r="N6">
        <v>22.62</v>
      </c>
      <c r="O6">
        <v>18.55</v>
      </c>
      <c r="P6">
        <v>72.739999999999995</v>
      </c>
      <c r="Q6">
        <v>88.14</v>
      </c>
      <c r="R6">
        <v>61.36</v>
      </c>
      <c r="S6">
        <v>17.82</v>
      </c>
      <c r="U6" t="str" cm="1">
        <f t="array" ref="U6:AA6">CONCATENATE(TRANSPOSE(O4:O10)&amp;",")</f>
        <v>20.75,</v>
      </c>
      <c r="V6" t="str">
        <v>24.45,</v>
      </c>
      <c r="W6" t="str">
        <v>18.55,</v>
      </c>
      <c r="X6" t="str">
        <v>21.93,</v>
      </c>
      <c r="Y6" t="str">
        <v>29.27,</v>
      </c>
      <c r="Z6" t="str">
        <v>20.85,</v>
      </c>
      <c r="AA6" t="str">
        <v>20.64,</v>
      </c>
    </row>
    <row r="7" spans="1:27" x14ac:dyDescent="0.35">
      <c r="A7" s="3" t="s">
        <v>3</v>
      </c>
      <c r="B7">
        <v>1.0503510780368837</v>
      </c>
      <c r="C7">
        <v>1.004901406610744</v>
      </c>
      <c r="D7">
        <v>3.7771482530689333</v>
      </c>
      <c r="E7">
        <v>0.68362606201308729</v>
      </c>
      <c r="F7">
        <v>0.67115839421998391</v>
      </c>
      <c r="G7">
        <v>0.99845239878188818</v>
      </c>
      <c r="H7">
        <v>1.3183255156630254</v>
      </c>
      <c r="I7">
        <v>1.7219918033190165</v>
      </c>
      <c r="J7">
        <v>0.19516917263884334</v>
      </c>
      <c r="K7" t="s">
        <v>3</v>
      </c>
      <c r="L7">
        <v>20.53</v>
      </c>
      <c r="M7">
        <v>21.91</v>
      </c>
      <c r="N7">
        <v>47.58</v>
      </c>
      <c r="O7">
        <v>21.93</v>
      </c>
      <c r="P7">
        <v>87.94</v>
      </c>
      <c r="Q7">
        <v>78.42</v>
      </c>
      <c r="R7">
        <v>98.68</v>
      </c>
      <c r="S7">
        <v>15.89</v>
      </c>
      <c r="U7" t="str" cm="1">
        <f t="array" ref="U7:AA7">CONCATENATE(TRANSPOSE(P4:P10)&amp;",")</f>
        <v>92.86,</v>
      </c>
      <c r="V7" t="str">
        <v>151.69,</v>
      </c>
      <c r="W7" t="str">
        <v>72.74,</v>
      </c>
      <c r="X7" t="str">
        <v>87.94,</v>
      </c>
      <c r="Y7" t="str">
        <v>107.19,</v>
      </c>
      <c r="Z7" t="str">
        <v>115.32,</v>
      </c>
      <c r="AA7" t="str">
        <v>103.55,</v>
      </c>
    </row>
    <row r="8" spans="1:27" x14ac:dyDescent="0.35">
      <c r="A8" s="3" t="s">
        <v>4</v>
      </c>
      <c r="B8">
        <v>1.2676650941824461</v>
      </c>
      <c r="C8">
        <v>1.130514082437087</v>
      </c>
      <c r="D8">
        <v>5.6657223796033991</v>
      </c>
      <c r="E8">
        <v>0.68362606201308729</v>
      </c>
      <c r="F8">
        <v>0.37752659674874095</v>
      </c>
      <c r="G8">
        <v>1.7472916978683042</v>
      </c>
      <c r="H8">
        <v>0.92282786096411795</v>
      </c>
      <c r="I8">
        <v>0.98399531618229508</v>
      </c>
      <c r="J8">
        <v>0.48792293159710831</v>
      </c>
      <c r="K8" t="s">
        <v>4</v>
      </c>
      <c r="L8">
        <v>21.2</v>
      </c>
      <c r="M8">
        <v>24.23</v>
      </c>
      <c r="N8">
        <v>44.01</v>
      </c>
      <c r="O8">
        <v>29.27</v>
      </c>
      <c r="P8">
        <v>107.19</v>
      </c>
      <c r="Q8">
        <v>61.02</v>
      </c>
      <c r="R8">
        <v>94.46</v>
      </c>
      <c r="S8">
        <v>8.6999999999999993</v>
      </c>
      <c r="U8" t="str" cm="1">
        <f t="array" ref="U8:AA8">CONCATENATE(TRANSPOSE(Q4:Q10)&amp;",")</f>
        <v>35.59,</v>
      </c>
      <c r="V8" t="str">
        <v>48.36,</v>
      </c>
      <c r="W8" t="str">
        <v>88.14,</v>
      </c>
      <c r="X8" t="str">
        <v>78.42,</v>
      </c>
      <c r="Y8" t="str">
        <v>61.02,</v>
      </c>
      <c r="Z8" t="str">
        <v>54.35,</v>
      </c>
      <c r="AA8" t="str">
        <v>52.43,</v>
      </c>
    </row>
    <row r="9" spans="1:27" x14ac:dyDescent="0.35">
      <c r="A9" s="3" t="s">
        <v>5</v>
      </c>
      <c r="B9">
        <v>1.4632477087134517</v>
      </c>
      <c r="C9">
        <v>0.56525704121854348</v>
      </c>
      <c r="D9">
        <v>15.108593012275733</v>
      </c>
      <c r="E9">
        <v>0.75198866821439603</v>
      </c>
      <c r="F9">
        <v>0.62921099458123486</v>
      </c>
      <c r="G9">
        <v>1.7472916978683042</v>
      </c>
      <c r="H9">
        <v>2.6366510313260512</v>
      </c>
      <c r="I9">
        <v>1.7219918033190165</v>
      </c>
      <c r="J9">
        <v>0.39033834527768668</v>
      </c>
      <c r="K9" t="s">
        <v>5</v>
      </c>
      <c r="L9">
        <v>22.44</v>
      </c>
      <c r="M9">
        <v>28.16</v>
      </c>
      <c r="N9">
        <v>44.88</v>
      </c>
      <c r="O9">
        <v>20.85</v>
      </c>
      <c r="P9">
        <v>115.32</v>
      </c>
      <c r="Q9">
        <v>54.35</v>
      </c>
      <c r="R9">
        <v>117.66</v>
      </c>
      <c r="S9">
        <v>35.380000000000003</v>
      </c>
      <c r="U9" t="str" cm="1">
        <f t="array" ref="U9:AA9">CONCATENATE(TRANSPOSE(R4:R10)&amp;",")</f>
        <v>64.52,</v>
      </c>
      <c r="V9" t="str">
        <v>95.73,</v>
      </c>
      <c r="W9" t="str">
        <v>61.36,</v>
      </c>
      <c r="X9" t="str">
        <v>98.68,</v>
      </c>
      <c r="Y9" t="str">
        <v>94.46,</v>
      </c>
      <c r="Z9" t="str">
        <v>117.66,</v>
      </c>
      <c r="AA9" t="str">
        <v>121.03,</v>
      </c>
    </row>
    <row r="10" spans="1:27" x14ac:dyDescent="0.35">
      <c r="A10" s="3" t="s">
        <v>6</v>
      </c>
      <c r="B10">
        <v>1.79646253346998</v>
      </c>
      <c r="C10">
        <v>0.56525704121854348</v>
      </c>
      <c r="D10">
        <v>13.220018885741267</v>
      </c>
      <c r="E10">
        <v>1.0938016992209396</v>
      </c>
      <c r="F10">
        <v>1.0067375913299759</v>
      </c>
      <c r="G10">
        <v>2.2465178972592486</v>
      </c>
      <c r="H10">
        <v>2.1093208250608408</v>
      </c>
      <c r="I10">
        <v>0.49199765809114754</v>
      </c>
      <c r="J10">
        <v>0.87826127687479494</v>
      </c>
      <c r="K10" t="s">
        <v>6</v>
      </c>
      <c r="L10">
        <v>29.98</v>
      </c>
      <c r="M10">
        <v>30.69</v>
      </c>
      <c r="N10">
        <v>32.520000000000003</v>
      </c>
      <c r="O10">
        <v>20.64</v>
      </c>
      <c r="P10">
        <v>103.55</v>
      </c>
      <c r="Q10">
        <v>52.43</v>
      </c>
      <c r="R10">
        <v>121.03</v>
      </c>
      <c r="S10">
        <v>49.68</v>
      </c>
      <c r="U10" t="str" cm="1">
        <f t="array" ref="U10:AA10">CONCATENATE(TRANSPOSE(S4:S10)&amp;",")</f>
        <v>25.43,</v>
      </c>
      <c r="V10" t="str">
        <v>23.09,</v>
      </c>
      <c r="W10" t="str">
        <v>17.82,</v>
      </c>
      <c r="X10" t="str">
        <v>15.89,</v>
      </c>
      <c r="Y10" t="str">
        <v>8.7,</v>
      </c>
      <c r="Z10" t="str">
        <v>35.38,</v>
      </c>
      <c r="AA10" t="str">
        <v>49.68,</v>
      </c>
    </row>
    <row r="11" spans="1:27" x14ac:dyDescent="0.35">
      <c r="A11" s="3" t="s">
        <v>21</v>
      </c>
      <c r="B11">
        <v>1.3897748746832854</v>
      </c>
      <c r="C11">
        <v>1.0497630765487238</v>
      </c>
      <c r="D11">
        <v>10.522055847834887</v>
      </c>
      <c r="E11">
        <v>0.75198866821439581</v>
      </c>
      <c r="F11">
        <v>0.51535376699034474</v>
      </c>
      <c r="G11">
        <v>2.0682228260481965</v>
      </c>
      <c r="H11">
        <v>1.8456557219282348</v>
      </c>
      <c r="I11">
        <v>0.84342455672768168</v>
      </c>
      <c r="J11">
        <v>0.48792293159710842</v>
      </c>
    </row>
    <row r="48" spans="10:19" x14ac:dyDescent="0.35">
      <c r="J48" t="s">
        <v>79</v>
      </c>
      <c r="K48" t="s">
        <v>88</v>
      </c>
      <c r="L48" t="s">
        <v>89</v>
      </c>
      <c r="M48" t="s">
        <v>90</v>
      </c>
      <c r="N48" t="s">
        <v>91</v>
      </c>
      <c r="O48" t="s">
        <v>92</v>
      </c>
      <c r="P48" t="s">
        <v>93</v>
      </c>
      <c r="Q48" t="s">
        <v>94</v>
      </c>
      <c r="S48" t="s">
        <v>45</v>
      </c>
    </row>
    <row r="49" spans="10:27" x14ac:dyDescent="0.35">
      <c r="J49" t="s">
        <v>80</v>
      </c>
      <c r="K49" t="s">
        <v>95</v>
      </c>
      <c r="L49" t="s">
        <v>96</v>
      </c>
      <c r="M49" t="s">
        <v>97</v>
      </c>
      <c r="N49" t="s">
        <v>98</v>
      </c>
      <c r="O49" t="s">
        <v>99</v>
      </c>
      <c r="P49" t="s">
        <v>100</v>
      </c>
      <c r="Q49" t="s">
        <v>101</v>
      </c>
      <c r="S49">
        <v>2017</v>
      </c>
      <c r="T49">
        <v>23.2</v>
      </c>
      <c r="U49">
        <v>28.91</v>
      </c>
      <c r="V49">
        <v>46.29</v>
      </c>
      <c r="W49">
        <v>20.75</v>
      </c>
      <c r="X49">
        <v>92.86</v>
      </c>
      <c r="Y49">
        <v>35.590000000000003</v>
      </c>
      <c r="Z49">
        <v>64.52</v>
      </c>
      <c r="AA49">
        <v>25.43</v>
      </c>
    </row>
    <row r="50" spans="10:27" x14ac:dyDescent="0.35">
      <c r="J50" t="s">
        <v>81</v>
      </c>
      <c r="K50" t="s">
        <v>102</v>
      </c>
      <c r="L50" t="s">
        <v>103</v>
      </c>
      <c r="M50" t="s">
        <v>104</v>
      </c>
      <c r="N50" t="s">
        <v>105</v>
      </c>
      <c r="O50" t="s">
        <v>106</v>
      </c>
      <c r="P50" t="s">
        <v>107</v>
      </c>
      <c r="Q50" t="s">
        <v>108</v>
      </c>
      <c r="S50">
        <v>2018</v>
      </c>
      <c r="T50">
        <v>17.47</v>
      </c>
      <c r="U50">
        <v>25.46</v>
      </c>
      <c r="V50">
        <v>38.729999999999997</v>
      </c>
      <c r="W50">
        <v>24.45</v>
      </c>
      <c r="X50">
        <v>151.69</v>
      </c>
      <c r="Y50">
        <v>48.36</v>
      </c>
      <c r="Z50">
        <v>95.73</v>
      </c>
      <c r="AA50">
        <v>23.09</v>
      </c>
    </row>
    <row r="51" spans="10:27" x14ac:dyDescent="0.35">
      <c r="J51" t="s">
        <v>82</v>
      </c>
      <c r="K51" t="s">
        <v>109</v>
      </c>
      <c r="L51" t="s">
        <v>110</v>
      </c>
      <c r="M51" t="s">
        <v>111</v>
      </c>
      <c r="N51" t="s">
        <v>112</v>
      </c>
      <c r="O51" t="s">
        <v>113</v>
      </c>
      <c r="P51" t="s">
        <v>114</v>
      </c>
      <c r="Q51" t="s">
        <v>115</v>
      </c>
      <c r="S51">
        <v>2019</v>
      </c>
      <c r="T51">
        <v>23.7</v>
      </c>
      <c r="U51">
        <v>27.02</v>
      </c>
      <c r="V51">
        <v>22.62</v>
      </c>
      <c r="W51">
        <v>18.55</v>
      </c>
      <c r="X51">
        <v>72.739999999999995</v>
      </c>
      <c r="Y51">
        <v>88.14</v>
      </c>
      <c r="Z51">
        <v>61.36</v>
      </c>
      <c r="AA51">
        <v>17.82</v>
      </c>
    </row>
    <row r="52" spans="10:27" x14ac:dyDescent="0.35">
      <c r="J52" t="s">
        <v>83</v>
      </c>
      <c r="S52">
        <v>2020</v>
      </c>
      <c r="T52">
        <v>20.53</v>
      </c>
      <c r="U52">
        <v>21.91</v>
      </c>
      <c r="V52">
        <v>47.58</v>
      </c>
      <c r="W52">
        <v>21.93</v>
      </c>
      <c r="X52">
        <v>87.94</v>
      </c>
      <c r="Y52">
        <v>78.42</v>
      </c>
      <c r="Z52">
        <v>98.68</v>
      </c>
      <c r="AA52">
        <v>15.89</v>
      </c>
    </row>
    <row r="53" spans="10:27" x14ac:dyDescent="0.35">
      <c r="J53" t="s">
        <v>84</v>
      </c>
      <c r="S53">
        <v>2021</v>
      </c>
      <c r="T53">
        <v>21.2</v>
      </c>
      <c r="U53">
        <v>24.23</v>
      </c>
      <c r="V53">
        <v>44.01</v>
      </c>
      <c r="W53">
        <v>29.27</v>
      </c>
      <c r="X53">
        <v>107.19</v>
      </c>
      <c r="Y53">
        <v>61.02</v>
      </c>
      <c r="Z53">
        <v>94.46</v>
      </c>
      <c r="AA53">
        <v>8.6999999999999993</v>
      </c>
    </row>
    <row r="54" spans="10:27" x14ac:dyDescent="0.35">
      <c r="J54" t="s">
        <v>85</v>
      </c>
      <c r="S54">
        <v>2022</v>
      </c>
      <c r="T54">
        <v>22.44</v>
      </c>
      <c r="U54">
        <v>28.16</v>
      </c>
      <c r="V54">
        <v>44.88</v>
      </c>
      <c r="W54">
        <v>20.85</v>
      </c>
      <c r="X54">
        <v>115.32</v>
      </c>
      <c r="Y54">
        <v>54.35</v>
      </c>
      <c r="Z54">
        <v>117.66</v>
      </c>
      <c r="AA54">
        <v>35.380000000000003</v>
      </c>
    </row>
    <row r="55" spans="10:27" x14ac:dyDescent="0.35">
      <c r="J55" t="s">
        <v>86</v>
      </c>
      <c r="K55" t="s">
        <v>116</v>
      </c>
      <c r="L55" t="s">
        <v>117</v>
      </c>
      <c r="M55" t="s">
        <v>118</v>
      </c>
      <c r="N55" t="s">
        <v>119</v>
      </c>
      <c r="O55" t="s">
        <v>120</v>
      </c>
      <c r="P55" t="s">
        <v>121</v>
      </c>
      <c r="Q55" t="s">
        <v>122</v>
      </c>
      <c r="S55">
        <v>2023</v>
      </c>
      <c r="T55">
        <v>29.98</v>
      </c>
      <c r="U55">
        <v>30.69</v>
      </c>
      <c r="V55">
        <v>32.520000000000003</v>
      </c>
      <c r="W55">
        <v>20.64</v>
      </c>
      <c r="X55">
        <v>103.55</v>
      </c>
      <c r="Y55">
        <v>52.43</v>
      </c>
      <c r="Z55">
        <v>121.03</v>
      </c>
      <c r="AA55">
        <v>49.68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77390-A677-499A-AFD7-E79916E79688}">
  <sheetPr codeName="Sheet7"/>
  <dimension ref="A1:BM106"/>
  <sheetViews>
    <sheetView topLeftCell="T58" workbookViewId="0">
      <selection activeCell="X103" sqref="X103"/>
    </sheetView>
  </sheetViews>
  <sheetFormatPr defaultRowHeight="14.5" x14ac:dyDescent="0.35"/>
  <cols>
    <col min="2" max="2" width="14.08984375" bestFit="1" customWidth="1"/>
    <col min="3" max="3" width="27.1796875" bestFit="1" customWidth="1"/>
    <col min="4" max="4" width="8.08984375" bestFit="1" customWidth="1"/>
    <col min="5" max="5" width="8.90625" bestFit="1" customWidth="1"/>
    <col min="6" max="6" width="6" bestFit="1" customWidth="1"/>
    <col min="7" max="7" width="7.08984375" bestFit="1" customWidth="1"/>
    <col min="8" max="8" width="9.26953125" bestFit="1" customWidth="1"/>
    <col min="9" max="9" width="12.54296875" bestFit="1" customWidth="1"/>
    <col min="10" max="10" width="9.36328125" bestFit="1" customWidth="1"/>
    <col min="11" max="11" width="11.36328125" bestFit="1" customWidth="1"/>
    <col min="12" max="12" width="9.54296875" bestFit="1" customWidth="1"/>
    <col min="13" max="13" width="10.36328125" bestFit="1" customWidth="1"/>
    <col min="14" max="14" width="5.08984375" bestFit="1" customWidth="1"/>
    <col min="15" max="15" width="9.453125" bestFit="1" customWidth="1"/>
    <col min="16" max="16" width="14.08984375" bestFit="1" customWidth="1"/>
    <col min="21" max="21" width="47.36328125" bestFit="1" customWidth="1"/>
    <col min="22" max="22" width="11.81640625" bestFit="1" customWidth="1"/>
    <col min="23" max="23" width="10.90625" customWidth="1"/>
    <col min="24" max="26" width="12.453125" bestFit="1" customWidth="1"/>
    <col min="27" max="27" width="14.54296875" customWidth="1"/>
    <col min="28" max="28" width="11.36328125" customWidth="1"/>
    <col min="29" max="29" width="13.36328125" customWidth="1"/>
    <col min="30" max="30" width="11.54296875" customWidth="1"/>
    <col min="40" max="40" width="9.54296875" bestFit="1" customWidth="1"/>
    <col min="41" max="41" width="9.453125" bestFit="1" customWidth="1"/>
  </cols>
  <sheetData>
    <row r="1" spans="1:62" ht="66" customHeight="1" thickBot="1" x14ac:dyDescent="0.4">
      <c r="C1" s="1" t="s">
        <v>9</v>
      </c>
      <c r="D1" s="1" t="s">
        <v>10</v>
      </c>
      <c r="E1" s="1" t="s">
        <v>11</v>
      </c>
      <c r="F1" s="1" t="s">
        <v>12</v>
      </c>
      <c r="G1" s="1" t="s">
        <v>13</v>
      </c>
      <c r="H1" s="1" t="s">
        <v>14</v>
      </c>
      <c r="I1" s="1" t="s">
        <v>15</v>
      </c>
      <c r="J1" s="1" t="s">
        <v>16</v>
      </c>
      <c r="K1" s="1" t="s">
        <v>17</v>
      </c>
      <c r="L1" s="1" t="s">
        <v>18</v>
      </c>
      <c r="M1" s="80" t="s">
        <v>19</v>
      </c>
      <c r="N1" s="1" t="s">
        <v>20</v>
      </c>
      <c r="O1" s="1" t="s">
        <v>45</v>
      </c>
      <c r="P1" s="1" t="s">
        <v>44</v>
      </c>
      <c r="R1" s="1" t="s">
        <v>43</v>
      </c>
    </row>
    <row r="2" spans="1:62" ht="14.5" customHeight="1" thickBot="1" x14ac:dyDescent="0.4">
      <c r="A2" s="181" t="s">
        <v>6</v>
      </c>
      <c r="B2" s="164" t="s">
        <v>7</v>
      </c>
      <c r="C2" s="7" t="s">
        <v>22</v>
      </c>
      <c r="D2" s="7">
        <v>101</v>
      </c>
      <c r="E2" s="7">
        <v>1</v>
      </c>
      <c r="F2" s="7">
        <v>4</v>
      </c>
      <c r="G2" s="7">
        <v>9</v>
      </c>
      <c r="H2" s="7">
        <v>1</v>
      </c>
      <c r="I2" s="7">
        <v>1</v>
      </c>
      <c r="J2" s="7">
        <v>0</v>
      </c>
      <c r="K2" s="7">
        <v>4</v>
      </c>
      <c r="L2" s="7">
        <v>6</v>
      </c>
      <c r="M2" s="7">
        <v>49</v>
      </c>
      <c r="N2" s="7">
        <v>127</v>
      </c>
      <c r="O2" s="8" t="s">
        <v>6</v>
      </c>
      <c r="P2" s="9" t="s">
        <v>7</v>
      </c>
      <c r="R2" t="str">
        <f>IF(C2=C17, "yes", "n")</f>
        <v>yes</v>
      </c>
      <c r="V2" s="200" t="s">
        <v>71</v>
      </c>
      <c r="W2" s="200"/>
      <c r="X2" s="200"/>
      <c r="Y2" s="200"/>
      <c r="Z2" s="200"/>
      <c r="AA2" s="200"/>
      <c r="AB2" s="200"/>
      <c r="AC2" s="200"/>
      <c r="AD2" s="200"/>
      <c r="AF2" s="200" t="s">
        <v>7</v>
      </c>
      <c r="AG2" s="200"/>
      <c r="AH2" s="200"/>
      <c r="AI2" s="200"/>
      <c r="AJ2" s="200"/>
      <c r="AK2" s="200"/>
      <c r="AL2" s="200"/>
      <c r="AM2" s="200"/>
      <c r="AN2" s="200"/>
    </row>
    <row r="3" spans="1:62" ht="15" thickBot="1" x14ac:dyDescent="0.4">
      <c r="A3" s="181"/>
      <c r="B3" s="165"/>
      <c r="C3" s="10" t="s">
        <v>23</v>
      </c>
      <c r="D3" s="10">
        <v>100</v>
      </c>
      <c r="E3" s="10">
        <v>0</v>
      </c>
      <c r="F3" s="10">
        <v>0</v>
      </c>
      <c r="G3" s="10">
        <v>10</v>
      </c>
      <c r="H3" s="10">
        <v>1</v>
      </c>
      <c r="I3" s="10">
        <v>5</v>
      </c>
      <c r="J3" s="10">
        <v>0</v>
      </c>
      <c r="K3" s="10">
        <v>1</v>
      </c>
      <c r="L3" s="10">
        <v>2</v>
      </c>
      <c r="M3" s="10">
        <v>22</v>
      </c>
      <c r="N3" s="10">
        <v>119</v>
      </c>
      <c r="O3" s="11" t="s">
        <v>6</v>
      </c>
      <c r="P3" s="12" t="s">
        <v>7</v>
      </c>
      <c r="R3" t="str">
        <f t="shared" ref="R3:R66" si="0">IF(C3=C18, "yes", "n")</f>
        <v>yes</v>
      </c>
      <c r="V3" s="1" t="s">
        <v>10</v>
      </c>
      <c r="W3" s="1" t="s">
        <v>11</v>
      </c>
      <c r="X3" s="1" t="s">
        <v>12</v>
      </c>
      <c r="Y3" s="1" t="s">
        <v>13</v>
      </c>
      <c r="Z3" s="1" t="s">
        <v>14</v>
      </c>
      <c r="AA3" s="1" t="s">
        <v>15</v>
      </c>
      <c r="AB3" s="1" t="s">
        <v>16</v>
      </c>
      <c r="AC3" s="1" t="s">
        <v>17</v>
      </c>
      <c r="AD3" s="1" t="s">
        <v>18</v>
      </c>
      <c r="AF3" s="1" t="s">
        <v>10</v>
      </c>
      <c r="AG3" s="1" t="s">
        <v>11</v>
      </c>
      <c r="AH3" s="1" t="s">
        <v>12</v>
      </c>
      <c r="AI3" s="1" t="s">
        <v>13</v>
      </c>
      <c r="AJ3" s="1" t="s">
        <v>14</v>
      </c>
      <c r="AK3" s="1" t="s">
        <v>15</v>
      </c>
      <c r="AL3" s="1" t="s">
        <v>16</v>
      </c>
      <c r="AM3" s="1" t="s">
        <v>17</v>
      </c>
      <c r="AN3" s="1" t="s">
        <v>18</v>
      </c>
      <c r="AQ3" s="197" t="s">
        <v>59</v>
      </c>
      <c r="AR3" s="198"/>
      <c r="AS3" s="198"/>
      <c r="AT3" s="198"/>
      <c r="AU3" s="198"/>
      <c r="AV3" s="198"/>
      <c r="AW3" s="198"/>
      <c r="AX3" s="198"/>
      <c r="AY3" s="199"/>
      <c r="BA3" s="200" t="s">
        <v>131</v>
      </c>
      <c r="BB3" s="200"/>
      <c r="BC3" s="200"/>
      <c r="BD3" s="200"/>
      <c r="BE3" s="200"/>
      <c r="BF3" s="200"/>
      <c r="BG3" s="200"/>
      <c r="BH3" t="s">
        <v>11</v>
      </c>
      <c r="BI3" t="s">
        <v>14</v>
      </c>
      <c r="BJ3" t="s">
        <v>16</v>
      </c>
    </row>
    <row r="4" spans="1:62" x14ac:dyDescent="0.35">
      <c r="A4" s="181"/>
      <c r="B4" s="165"/>
      <c r="C4" s="10" t="s">
        <v>24</v>
      </c>
      <c r="D4" s="10">
        <v>17</v>
      </c>
      <c r="E4" s="10">
        <v>0</v>
      </c>
      <c r="F4" s="10">
        <v>1</v>
      </c>
      <c r="G4" s="10">
        <v>0</v>
      </c>
      <c r="H4" s="10">
        <v>0</v>
      </c>
      <c r="I4" s="10">
        <v>1</v>
      </c>
      <c r="J4" s="10">
        <v>1</v>
      </c>
      <c r="K4" s="10">
        <v>0</v>
      </c>
      <c r="L4" s="10">
        <v>4</v>
      </c>
      <c r="M4" s="10">
        <v>14</v>
      </c>
      <c r="N4" s="10">
        <v>24</v>
      </c>
      <c r="O4" s="11" t="s">
        <v>6</v>
      </c>
      <c r="P4" s="12" t="s">
        <v>7</v>
      </c>
      <c r="R4" t="str">
        <f t="shared" si="0"/>
        <v>yes</v>
      </c>
      <c r="U4" t="s">
        <v>6</v>
      </c>
      <c r="V4">
        <f>D8+D16</f>
        <v>5076</v>
      </c>
      <c r="W4">
        <f>E8+E16</f>
        <v>545</v>
      </c>
      <c r="X4">
        <f t="shared" ref="X4:AD4" si="1">F8+F16</f>
        <v>579</v>
      </c>
      <c r="Y4">
        <f t="shared" si="1"/>
        <v>598</v>
      </c>
      <c r="Z4">
        <f t="shared" si="1"/>
        <v>493</v>
      </c>
      <c r="AA4">
        <f t="shared" si="1"/>
        <v>480</v>
      </c>
      <c r="AB4">
        <f t="shared" si="1"/>
        <v>576</v>
      </c>
      <c r="AC4">
        <f t="shared" si="1"/>
        <v>603</v>
      </c>
      <c r="AD4">
        <f t="shared" si="1"/>
        <v>571</v>
      </c>
      <c r="AF4">
        <f>D8</f>
        <v>248</v>
      </c>
      <c r="AG4">
        <f t="shared" ref="AG4:AN4" si="2">E8</f>
        <v>7</v>
      </c>
      <c r="AH4">
        <f t="shared" si="2"/>
        <v>9</v>
      </c>
      <c r="AI4">
        <f t="shared" si="2"/>
        <v>24</v>
      </c>
      <c r="AJ4">
        <f t="shared" si="2"/>
        <v>9</v>
      </c>
      <c r="AK4">
        <f t="shared" si="2"/>
        <v>16</v>
      </c>
      <c r="AL4">
        <f t="shared" si="2"/>
        <v>2</v>
      </c>
      <c r="AM4">
        <f t="shared" si="2"/>
        <v>9</v>
      </c>
      <c r="AN4">
        <f t="shared" si="2"/>
        <v>16</v>
      </c>
      <c r="AO4" t="s">
        <v>6</v>
      </c>
      <c r="AQ4" t="s">
        <v>10</v>
      </c>
      <c r="AR4" t="s">
        <v>12</v>
      </c>
      <c r="AS4" t="s">
        <v>13</v>
      </c>
      <c r="AT4" t="s">
        <v>14</v>
      </c>
      <c r="AU4" t="s">
        <v>15</v>
      </c>
      <c r="AV4" t="s">
        <v>16</v>
      </c>
      <c r="AW4" t="s">
        <v>17</v>
      </c>
      <c r="AX4" t="s">
        <v>18</v>
      </c>
      <c r="BA4">
        <f>PEARSON(AF23:AN23,AF31:AN31)</f>
        <v>0.3755976332086241</v>
      </c>
      <c r="BB4">
        <f>PEARSON(BH4:BJ4,BH12:BJ12)</f>
        <v>-0.82622123688787452</v>
      </c>
      <c r="BC4">
        <f>PEARSON(BH4:BH9,BH12:BH17)</f>
        <v>-0.31995062380172395</v>
      </c>
      <c r="BD4">
        <f>PEARSON(BI4:BI9,BI12:BI17)</f>
        <v>-0.2961854226327289</v>
      </c>
      <c r="BE4">
        <f>PEARSON(BJ4:BJ9,BJ12:BJ17)</f>
        <v>6.7046692667334068E-2</v>
      </c>
      <c r="BH4">
        <v>-0.125</v>
      </c>
      <c r="BI4">
        <v>0.2857142857142857</v>
      </c>
      <c r="BJ4">
        <v>-0.7142857142857143</v>
      </c>
    </row>
    <row r="5" spans="1:62" x14ac:dyDescent="0.35">
      <c r="A5" s="181"/>
      <c r="B5" s="165"/>
      <c r="C5" s="10" t="s">
        <v>25</v>
      </c>
      <c r="D5" s="10">
        <v>15</v>
      </c>
      <c r="E5" s="10">
        <v>3</v>
      </c>
      <c r="F5" s="10">
        <v>3</v>
      </c>
      <c r="G5" s="10">
        <v>3</v>
      </c>
      <c r="H5" s="10">
        <v>7</v>
      </c>
      <c r="I5" s="10">
        <v>9</v>
      </c>
      <c r="J5" s="10">
        <v>1</v>
      </c>
      <c r="K5" s="10">
        <v>2</v>
      </c>
      <c r="L5" s="10">
        <v>3</v>
      </c>
      <c r="M5" s="10">
        <v>3</v>
      </c>
      <c r="N5" s="10">
        <v>46</v>
      </c>
      <c r="O5" s="11" t="s">
        <v>6</v>
      </c>
      <c r="P5" s="12" t="s">
        <v>7</v>
      </c>
      <c r="R5" t="str">
        <f t="shared" si="0"/>
        <v>yes</v>
      </c>
      <c r="U5" t="s">
        <v>5</v>
      </c>
      <c r="V5">
        <f>D23+D31</f>
        <v>3816</v>
      </c>
      <c r="W5">
        <f t="shared" ref="W5:AD5" si="3">E23+E31</f>
        <v>628</v>
      </c>
      <c r="X5">
        <f t="shared" si="3"/>
        <v>532</v>
      </c>
      <c r="Y5">
        <f t="shared" si="3"/>
        <v>595</v>
      </c>
      <c r="Z5">
        <f t="shared" si="3"/>
        <v>546</v>
      </c>
      <c r="AA5">
        <f t="shared" si="3"/>
        <v>501</v>
      </c>
      <c r="AB5">
        <f t="shared" si="3"/>
        <v>565</v>
      </c>
      <c r="AC5">
        <f t="shared" si="3"/>
        <v>427</v>
      </c>
      <c r="AD5">
        <f t="shared" si="3"/>
        <v>777</v>
      </c>
      <c r="AF5">
        <f>D23</f>
        <v>202</v>
      </c>
      <c r="AG5">
        <f t="shared" ref="AG5:AN5" si="4">E23</f>
        <v>8</v>
      </c>
      <c r="AH5">
        <f t="shared" si="4"/>
        <v>9</v>
      </c>
      <c r="AI5">
        <f t="shared" si="4"/>
        <v>15</v>
      </c>
      <c r="AJ5">
        <f t="shared" si="4"/>
        <v>7</v>
      </c>
      <c r="AK5">
        <f t="shared" si="4"/>
        <v>20</v>
      </c>
      <c r="AL5">
        <f t="shared" si="4"/>
        <v>7</v>
      </c>
      <c r="AM5">
        <f t="shared" si="4"/>
        <v>4</v>
      </c>
      <c r="AN5">
        <f t="shared" si="4"/>
        <v>11</v>
      </c>
      <c r="AO5" t="s">
        <v>5</v>
      </c>
      <c r="AQ5">
        <v>3.0741924096271056</v>
      </c>
      <c r="AR5">
        <v>1.8038547708927908</v>
      </c>
      <c r="AS5">
        <v>3.2187419628870453</v>
      </c>
      <c r="AT5">
        <v>2.0667094683420428</v>
      </c>
      <c r="AU5">
        <v>1.5470252295236075</v>
      </c>
      <c r="AV5">
        <v>2.3877529431321767</v>
      </c>
      <c r="AW5">
        <v>2.148936297465895</v>
      </c>
      <c r="AX5">
        <v>1.4721490379212565</v>
      </c>
      <c r="BA5">
        <f t="shared" ref="BA5:BA9" si="5">PEARSON(AF24:AN24,AF32:AN32)</f>
        <v>-0.37813317924574524</v>
      </c>
      <c r="BB5">
        <f t="shared" ref="BB5:BB9" si="6">PEARSON(BH5:BJ5,BH13:BJ13)</f>
        <v>-0.4147630752062213</v>
      </c>
      <c r="BH5">
        <v>1.6666666666666667</v>
      </c>
      <c r="BI5">
        <v>0</v>
      </c>
      <c r="BJ5">
        <v>0.75</v>
      </c>
    </row>
    <row r="6" spans="1:62" x14ac:dyDescent="0.35">
      <c r="A6" s="181"/>
      <c r="B6" s="165"/>
      <c r="C6" s="10" t="s">
        <v>26</v>
      </c>
      <c r="D6" s="10">
        <v>3</v>
      </c>
      <c r="E6" s="10">
        <v>0</v>
      </c>
      <c r="F6" s="10">
        <v>0</v>
      </c>
      <c r="G6" s="10">
        <v>0</v>
      </c>
      <c r="H6" s="10">
        <v>0</v>
      </c>
      <c r="I6" s="10">
        <v>0</v>
      </c>
      <c r="J6" s="10">
        <v>0</v>
      </c>
      <c r="K6" s="10">
        <v>0</v>
      </c>
      <c r="L6" s="10">
        <v>0</v>
      </c>
      <c r="M6" s="10">
        <v>1</v>
      </c>
      <c r="N6" s="10">
        <v>3</v>
      </c>
      <c r="O6" s="11" t="s">
        <v>6</v>
      </c>
      <c r="P6" s="12" t="s">
        <v>7</v>
      </c>
      <c r="R6" t="str">
        <f t="shared" si="0"/>
        <v>yes</v>
      </c>
      <c r="U6" t="s">
        <v>4</v>
      </c>
      <c r="V6">
        <f>D38+D46</f>
        <v>3589</v>
      </c>
      <c r="W6">
        <f t="shared" ref="W6:AD6" si="7">E38+E46</f>
        <v>637</v>
      </c>
      <c r="X6">
        <f t="shared" si="7"/>
        <v>468</v>
      </c>
      <c r="Y6">
        <f t="shared" si="7"/>
        <v>823</v>
      </c>
      <c r="Z6">
        <f t="shared" si="7"/>
        <v>508</v>
      </c>
      <c r="AA6">
        <f t="shared" si="7"/>
        <v>547</v>
      </c>
      <c r="AB6">
        <f t="shared" si="7"/>
        <v>452</v>
      </c>
      <c r="AC6">
        <f t="shared" si="7"/>
        <v>109</v>
      </c>
      <c r="AD6">
        <f t="shared" si="7"/>
        <v>761</v>
      </c>
      <c r="AF6">
        <f>D38</f>
        <v>175</v>
      </c>
      <c r="AG6">
        <f t="shared" ref="AG6:AN6" si="8">E38</f>
        <v>3</v>
      </c>
      <c r="AH6">
        <f t="shared" si="8"/>
        <v>18</v>
      </c>
      <c r="AI6">
        <f t="shared" si="8"/>
        <v>9</v>
      </c>
      <c r="AJ6">
        <f t="shared" si="8"/>
        <v>7</v>
      </c>
      <c r="AK6">
        <f t="shared" si="8"/>
        <v>7</v>
      </c>
      <c r="AL6">
        <f t="shared" si="8"/>
        <v>4</v>
      </c>
      <c r="AM6">
        <f t="shared" si="8"/>
        <v>5</v>
      </c>
      <c r="AN6">
        <f t="shared" si="8"/>
        <v>10</v>
      </c>
      <c r="AO6" t="s">
        <v>4</v>
      </c>
      <c r="AQ6">
        <v>2.1351790480208304</v>
      </c>
      <c r="AR6">
        <v>1.4000350106004305</v>
      </c>
      <c r="AS6">
        <v>3.0254610857294337</v>
      </c>
      <c r="AT6">
        <v>1.3651083874366619</v>
      </c>
      <c r="AU6">
        <v>1.4157821422461858</v>
      </c>
      <c r="AV6">
        <v>1.1928247006468824</v>
      </c>
      <c r="AW6">
        <v>1.8996599261345024</v>
      </c>
      <c r="AX6">
        <v>1.2123867336751264</v>
      </c>
      <c r="BA6">
        <f t="shared" si="5"/>
        <v>-0.24320133147890832</v>
      </c>
      <c r="BB6">
        <f t="shared" si="6"/>
        <v>0.68973473517815831</v>
      </c>
      <c r="BH6">
        <v>0.5</v>
      </c>
      <c r="BI6">
        <v>0.75</v>
      </c>
      <c r="BJ6">
        <v>-0.42857142857142855</v>
      </c>
    </row>
    <row r="7" spans="1:62" x14ac:dyDescent="0.35">
      <c r="A7" s="181"/>
      <c r="B7" s="165"/>
      <c r="C7" s="10" t="s">
        <v>27</v>
      </c>
      <c r="D7" s="10">
        <v>12</v>
      </c>
      <c r="E7" s="10">
        <v>3</v>
      </c>
      <c r="F7" s="10">
        <v>1</v>
      </c>
      <c r="G7" s="10">
        <v>2</v>
      </c>
      <c r="H7" s="10">
        <v>0</v>
      </c>
      <c r="I7" s="10">
        <v>0</v>
      </c>
      <c r="J7" s="10">
        <v>0</v>
      </c>
      <c r="K7" s="10">
        <v>2</v>
      </c>
      <c r="L7" s="10">
        <v>1</v>
      </c>
      <c r="M7" s="10">
        <v>4</v>
      </c>
      <c r="N7" s="10">
        <v>21</v>
      </c>
      <c r="O7" s="11" t="s">
        <v>6</v>
      </c>
      <c r="P7" s="12" t="s">
        <v>7</v>
      </c>
      <c r="R7" t="str">
        <f t="shared" si="0"/>
        <v>yes</v>
      </c>
      <c r="U7" t="s">
        <v>3</v>
      </c>
      <c r="V7">
        <f>D53+D61</f>
        <v>3451</v>
      </c>
      <c r="W7">
        <f t="shared" ref="W7:AD7" si="9">E53+E61</f>
        <v>406</v>
      </c>
      <c r="X7">
        <f t="shared" si="9"/>
        <v>423</v>
      </c>
      <c r="Y7">
        <f t="shared" si="9"/>
        <v>626</v>
      </c>
      <c r="Z7">
        <f t="shared" si="9"/>
        <v>415</v>
      </c>
      <c r="AA7">
        <f t="shared" si="9"/>
        <v>704</v>
      </c>
      <c r="AB7">
        <f t="shared" si="9"/>
        <v>475</v>
      </c>
      <c r="AC7">
        <f t="shared" si="9"/>
        <v>192</v>
      </c>
      <c r="AD7">
        <f t="shared" si="9"/>
        <v>822</v>
      </c>
      <c r="AF7">
        <f>D53</f>
        <v>145</v>
      </c>
      <c r="AG7">
        <f t="shared" ref="AG7:AN7" si="10">E53</f>
        <v>2</v>
      </c>
      <c r="AH7">
        <f t="shared" si="10"/>
        <v>16</v>
      </c>
      <c r="AI7">
        <f t="shared" si="10"/>
        <v>16</v>
      </c>
      <c r="AJ7">
        <f t="shared" si="10"/>
        <v>4</v>
      </c>
      <c r="AK7">
        <f t="shared" si="10"/>
        <v>10</v>
      </c>
      <c r="AL7">
        <f t="shared" si="10"/>
        <v>7</v>
      </c>
      <c r="AM7">
        <f t="shared" si="10"/>
        <v>2</v>
      </c>
      <c r="AN7">
        <f t="shared" si="10"/>
        <v>10</v>
      </c>
      <c r="AO7" t="s">
        <v>3</v>
      </c>
      <c r="AQ7">
        <v>0.6826328492066891</v>
      </c>
      <c r="AR7">
        <v>0.31335117965208281</v>
      </c>
      <c r="AS7">
        <v>2.0545905978306847</v>
      </c>
      <c r="AT7">
        <v>1.489227866016666</v>
      </c>
      <c r="AU7">
        <v>0.98800572566181188</v>
      </c>
      <c r="AV7">
        <v>0.30217504678345053</v>
      </c>
      <c r="AW7">
        <v>1.0606060606060614</v>
      </c>
      <c r="AX7">
        <v>0.3088923820631107</v>
      </c>
      <c r="BA7">
        <f t="shared" si="5"/>
        <v>0.55887354382552601</v>
      </c>
      <c r="BB7">
        <f t="shared" si="6"/>
        <v>0.94551170205997581</v>
      </c>
      <c r="BH7">
        <v>-0.83333333333333337</v>
      </c>
      <c r="BI7">
        <v>-0.63636363636363635</v>
      </c>
      <c r="BJ7">
        <v>1.3333333333333333</v>
      </c>
    </row>
    <row r="8" spans="1:62" ht="15" thickBot="1" x14ac:dyDescent="0.4">
      <c r="A8" s="181"/>
      <c r="B8" s="192"/>
      <c r="C8" s="79" t="s">
        <v>61</v>
      </c>
      <c r="D8" s="58">
        <f>SUM(D2:D7)</f>
        <v>248</v>
      </c>
      <c r="E8" s="58">
        <f t="shared" ref="E8:N8" si="11">SUM(E2:E7)</f>
        <v>7</v>
      </c>
      <c r="F8" s="58">
        <f t="shared" si="11"/>
        <v>9</v>
      </c>
      <c r="G8" s="58">
        <f t="shared" si="11"/>
        <v>24</v>
      </c>
      <c r="H8" s="58">
        <f t="shared" si="11"/>
        <v>9</v>
      </c>
      <c r="I8" s="58">
        <f t="shared" si="11"/>
        <v>16</v>
      </c>
      <c r="J8" s="58">
        <f t="shared" si="11"/>
        <v>2</v>
      </c>
      <c r="K8" s="58">
        <f t="shared" si="11"/>
        <v>9</v>
      </c>
      <c r="L8" s="58">
        <f t="shared" si="11"/>
        <v>16</v>
      </c>
      <c r="M8" s="58">
        <f t="shared" si="11"/>
        <v>93</v>
      </c>
      <c r="N8" s="58">
        <f t="shared" si="11"/>
        <v>340</v>
      </c>
      <c r="O8" s="59" t="s">
        <v>6</v>
      </c>
      <c r="P8" s="58" t="s">
        <v>7</v>
      </c>
      <c r="R8" t="str">
        <f t="shared" si="0"/>
        <v>yes</v>
      </c>
      <c r="U8" t="s">
        <v>2</v>
      </c>
      <c r="V8">
        <f>D68+D76</f>
        <v>4009</v>
      </c>
      <c r="W8">
        <f t="shared" ref="W8:AD8" si="12">E68+E76</f>
        <v>443</v>
      </c>
      <c r="X8">
        <f t="shared" si="12"/>
        <v>514</v>
      </c>
      <c r="Y8">
        <f t="shared" si="12"/>
        <v>522</v>
      </c>
      <c r="Z8">
        <f t="shared" si="12"/>
        <v>351</v>
      </c>
      <c r="AA8">
        <f t="shared" si="12"/>
        <v>788</v>
      </c>
      <c r="AB8">
        <f t="shared" si="12"/>
        <v>294</v>
      </c>
      <c r="AC8">
        <f t="shared" si="12"/>
        <v>218</v>
      </c>
      <c r="AD8">
        <f t="shared" si="12"/>
        <v>391</v>
      </c>
      <c r="AF8">
        <f>D68</f>
        <v>192</v>
      </c>
      <c r="AG8">
        <f t="shared" ref="AG8:AN8" si="13">E68</f>
        <v>12</v>
      </c>
      <c r="AH8">
        <f t="shared" si="13"/>
        <v>12</v>
      </c>
      <c r="AI8">
        <f t="shared" si="13"/>
        <v>6</v>
      </c>
      <c r="AJ8">
        <f t="shared" si="13"/>
        <v>11</v>
      </c>
      <c r="AK8">
        <f t="shared" si="13"/>
        <v>8</v>
      </c>
      <c r="AL8">
        <f t="shared" si="13"/>
        <v>3</v>
      </c>
      <c r="AM8">
        <f t="shared" si="13"/>
        <v>5</v>
      </c>
      <c r="AN8">
        <f t="shared" si="13"/>
        <v>5</v>
      </c>
      <c r="AO8" t="s">
        <v>2</v>
      </c>
      <c r="AQ8">
        <v>1.6212868332240147</v>
      </c>
      <c r="AR8">
        <v>0.83536962056197928</v>
      </c>
      <c r="AS8">
        <v>2.1389911840196412</v>
      </c>
      <c r="AT8">
        <v>1.6838031885124072</v>
      </c>
      <c r="AU8">
        <v>0.97018024752887566</v>
      </c>
      <c r="AV8">
        <v>1.4976958525345563</v>
      </c>
      <c r="AW8">
        <v>1.2661385891598569</v>
      </c>
      <c r="AX8">
        <v>0.38473774629366098</v>
      </c>
      <c r="BA8">
        <f t="shared" si="5"/>
        <v>-0.33803260512881006</v>
      </c>
      <c r="BB8">
        <f t="shared" si="6"/>
        <v>0.99187761492419546</v>
      </c>
      <c r="BH8">
        <v>3</v>
      </c>
      <c r="BI8">
        <v>0.22222222222222221</v>
      </c>
      <c r="BJ8">
        <v>2</v>
      </c>
    </row>
    <row r="9" spans="1:62" x14ac:dyDescent="0.35">
      <c r="A9" s="181"/>
      <c r="B9" s="164" t="s">
        <v>8</v>
      </c>
      <c r="C9" s="10" t="s">
        <v>28</v>
      </c>
      <c r="D9" s="10">
        <v>1664</v>
      </c>
      <c r="E9" s="10">
        <v>124</v>
      </c>
      <c r="F9" s="10">
        <v>94</v>
      </c>
      <c r="G9" s="10">
        <v>178</v>
      </c>
      <c r="H9" s="10">
        <v>120</v>
      </c>
      <c r="I9" s="10">
        <v>103</v>
      </c>
      <c r="J9" s="10">
        <v>153</v>
      </c>
      <c r="K9" s="10">
        <v>229</v>
      </c>
      <c r="L9" s="10">
        <v>126</v>
      </c>
      <c r="M9" s="10">
        <v>366</v>
      </c>
      <c r="N9" s="10">
        <v>2791</v>
      </c>
      <c r="O9" s="11" t="s">
        <v>6</v>
      </c>
      <c r="P9" s="10" t="s">
        <v>8</v>
      </c>
      <c r="R9" t="str">
        <f t="shared" si="0"/>
        <v>yes</v>
      </c>
      <c r="U9" t="s">
        <v>1</v>
      </c>
      <c r="V9">
        <f>D83+D91</f>
        <v>2982</v>
      </c>
      <c r="W9">
        <f t="shared" ref="W9:AD9" si="14">E83+E91</f>
        <v>552</v>
      </c>
      <c r="X9">
        <f t="shared" si="14"/>
        <v>515</v>
      </c>
      <c r="Y9">
        <f t="shared" si="14"/>
        <v>684</v>
      </c>
      <c r="Z9">
        <f t="shared" si="14"/>
        <v>718</v>
      </c>
      <c r="AA9">
        <f t="shared" si="14"/>
        <v>448</v>
      </c>
      <c r="AB9">
        <f t="shared" si="14"/>
        <v>455</v>
      </c>
      <c r="AC9">
        <f t="shared" si="14"/>
        <v>282</v>
      </c>
      <c r="AD9">
        <f t="shared" si="14"/>
        <v>674</v>
      </c>
      <c r="AF9">
        <f>D83</f>
        <v>168</v>
      </c>
      <c r="AG9">
        <f t="shared" ref="AG9:AN9" si="15">E83</f>
        <v>3</v>
      </c>
      <c r="AH9">
        <f t="shared" si="15"/>
        <v>42</v>
      </c>
      <c r="AI9">
        <f t="shared" si="15"/>
        <v>4</v>
      </c>
      <c r="AJ9">
        <f t="shared" si="15"/>
        <v>9</v>
      </c>
      <c r="AK9">
        <f t="shared" si="15"/>
        <v>20</v>
      </c>
      <c r="AL9">
        <f t="shared" si="15"/>
        <v>1</v>
      </c>
      <c r="AM9">
        <f t="shared" si="15"/>
        <v>6</v>
      </c>
      <c r="AN9">
        <f t="shared" si="15"/>
        <v>13</v>
      </c>
      <c r="AO9" t="s">
        <v>1</v>
      </c>
      <c r="AQ9">
        <v>1.8539966879633214</v>
      </c>
      <c r="AR9">
        <v>0.76523835390489126</v>
      </c>
      <c r="AS9">
        <v>2.6516333935695227</v>
      </c>
      <c r="AT9">
        <v>2.1412471825694892</v>
      </c>
      <c r="AU9">
        <v>0.86631589530480391</v>
      </c>
      <c r="AV9">
        <v>1.1384213261112532</v>
      </c>
      <c r="AW9">
        <v>1.4772525886731256</v>
      </c>
      <c r="AX9">
        <v>0.12189010354288876</v>
      </c>
      <c r="BA9">
        <f t="shared" si="5"/>
        <v>-0.22248621834568286</v>
      </c>
      <c r="BB9">
        <f t="shared" si="6"/>
        <v>0.12330635342387826</v>
      </c>
      <c r="BH9">
        <v>-0.25</v>
      </c>
      <c r="BI9">
        <v>-0.18181818181818182</v>
      </c>
      <c r="BJ9">
        <v>1</v>
      </c>
    </row>
    <row r="10" spans="1:62" x14ac:dyDescent="0.35">
      <c r="A10" s="181"/>
      <c r="B10" s="165"/>
      <c r="C10" s="10" t="s">
        <v>29</v>
      </c>
      <c r="D10" s="10">
        <v>374</v>
      </c>
      <c r="E10" s="10">
        <v>53</v>
      </c>
      <c r="F10" s="10">
        <v>74</v>
      </c>
      <c r="G10" s="10">
        <v>37</v>
      </c>
      <c r="H10" s="10">
        <v>17</v>
      </c>
      <c r="I10" s="10">
        <v>25</v>
      </c>
      <c r="J10" s="10">
        <v>53</v>
      </c>
      <c r="K10" s="10">
        <v>25</v>
      </c>
      <c r="L10" s="10">
        <v>34</v>
      </c>
      <c r="M10" s="10">
        <v>107</v>
      </c>
      <c r="N10" s="10">
        <v>692</v>
      </c>
      <c r="O10" s="11" t="s">
        <v>6</v>
      </c>
      <c r="P10" s="10" t="s">
        <v>8</v>
      </c>
      <c r="R10" t="str">
        <f t="shared" si="0"/>
        <v>yes</v>
      </c>
      <c r="U10" t="s">
        <v>0</v>
      </c>
      <c r="V10">
        <f>D98+D106</f>
        <v>3949</v>
      </c>
      <c r="W10">
        <f t="shared" ref="W10:AD10" si="16">E98+E106</f>
        <v>430</v>
      </c>
      <c r="X10">
        <f t="shared" si="16"/>
        <v>548</v>
      </c>
      <c r="Y10">
        <f t="shared" si="16"/>
        <v>589</v>
      </c>
      <c r="Z10">
        <f t="shared" si="16"/>
        <v>445</v>
      </c>
      <c r="AA10">
        <f t="shared" si="16"/>
        <v>332</v>
      </c>
      <c r="AB10">
        <f t="shared" si="16"/>
        <v>306</v>
      </c>
      <c r="AC10">
        <f t="shared" si="16"/>
        <v>308</v>
      </c>
      <c r="AD10">
        <f t="shared" si="16"/>
        <v>802</v>
      </c>
      <c r="AF10">
        <f>D98</f>
        <v>213</v>
      </c>
      <c r="AG10">
        <f t="shared" ref="AG10:AN10" si="17">E98</f>
        <v>4</v>
      </c>
      <c r="AH10">
        <f t="shared" si="17"/>
        <v>11</v>
      </c>
      <c r="AI10">
        <f t="shared" si="17"/>
        <v>12</v>
      </c>
      <c r="AJ10">
        <f t="shared" si="17"/>
        <v>11</v>
      </c>
      <c r="AK10">
        <f t="shared" si="17"/>
        <v>17</v>
      </c>
      <c r="AL10">
        <f t="shared" si="17"/>
        <v>0</v>
      </c>
      <c r="AM10">
        <f t="shared" si="17"/>
        <v>4</v>
      </c>
      <c r="AN10">
        <f t="shared" si="17"/>
        <v>12</v>
      </c>
      <c r="AO10" t="s">
        <v>0</v>
      </c>
      <c r="AQ10">
        <v>1.811163794589139</v>
      </c>
      <c r="AR10">
        <v>1.0124919397150753</v>
      </c>
      <c r="AS10">
        <v>2.382306717958349</v>
      </c>
      <c r="AT10">
        <v>2.2717402198242835</v>
      </c>
      <c r="AU10">
        <v>0.49000623031976154</v>
      </c>
      <c r="AV10">
        <v>1.6046459539884323</v>
      </c>
      <c r="AW10">
        <v>1.6214825534651842</v>
      </c>
      <c r="AX10">
        <v>0.1373678950390135</v>
      </c>
    </row>
    <row r="11" spans="1:62" ht="14.5" customHeight="1" x14ac:dyDescent="0.35">
      <c r="A11" s="181"/>
      <c r="B11" s="165"/>
      <c r="C11" s="10" t="s">
        <v>30</v>
      </c>
      <c r="D11" s="10">
        <v>88</v>
      </c>
      <c r="E11" s="10">
        <v>6</v>
      </c>
      <c r="F11" s="10">
        <v>4</v>
      </c>
      <c r="G11" s="10">
        <v>12</v>
      </c>
      <c r="H11" s="10">
        <v>15</v>
      </c>
      <c r="I11" s="10">
        <v>9</v>
      </c>
      <c r="J11" s="10">
        <v>23</v>
      </c>
      <c r="K11" s="10">
        <v>6</v>
      </c>
      <c r="L11" s="10">
        <v>16</v>
      </c>
      <c r="M11" s="10">
        <v>9</v>
      </c>
      <c r="N11" s="10">
        <v>179</v>
      </c>
      <c r="O11" s="11" t="s">
        <v>6</v>
      </c>
      <c r="P11" s="10" t="s">
        <v>8</v>
      </c>
      <c r="R11" t="str">
        <f t="shared" si="0"/>
        <v>yes</v>
      </c>
      <c r="AQ11">
        <v>1.9516862018413652</v>
      </c>
      <c r="AR11">
        <v>1.2149146276207641</v>
      </c>
      <c r="AS11">
        <v>2.203762638521793</v>
      </c>
      <c r="AT11">
        <v>2.4033116094490357</v>
      </c>
      <c r="AU11">
        <v>0.42444534632034836</v>
      </c>
      <c r="AV11">
        <v>2.5747903572542108</v>
      </c>
      <c r="AW11">
        <v>1.7093849354319572</v>
      </c>
      <c r="AX11">
        <v>0.35209764841448798</v>
      </c>
      <c r="BA11" s="200" t="s">
        <v>132</v>
      </c>
      <c r="BB11" s="200"/>
      <c r="BC11" s="200"/>
      <c r="BD11" s="200"/>
      <c r="BE11" s="200"/>
      <c r="BF11" s="200"/>
      <c r="BG11" s="200"/>
      <c r="BH11" t="s">
        <v>11</v>
      </c>
      <c r="BI11" t="s">
        <v>14</v>
      </c>
      <c r="BJ11" t="s">
        <v>16</v>
      </c>
    </row>
    <row r="12" spans="1:62" x14ac:dyDescent="0.35">
      <c r="A12" s="181"/>
      <c r="B12" s="165"/>
      <c r="C12" s="10" t="s">
        <v>31</v>
      </c>
      <c r="D12" s="10">
        <v>5</v>
      </c>
      <c r="E12" s="10">
        <v>9</v>
      </c>
      <c r="F12" s="10">
        <v>0</v>
      </c>
      <c r="G12" s="10">
        <v>0</v>
      </c>
      <c r="H12" s="10">
        <v>1</v>
      </c>
      <c r="I12" s="10">
        <v>0</v>
      </c>
      <c r="J12" s="10">
        <v>3</v>
      </c>
      <c r="K12" s="10">
        <v>0</v>
      </c>
      <c r="L12" s="10">
        <v>1</v>
      </c>
      <c r="M12" s="10">
        <v>4</v>
      </c>
      <c r="N12" s="10">
        <v>19</v>
      </c>
      <c r="O12" s="11" t="s">
        <v>6</v>
      </c>
      <c r="P12" s="10" t="s">
        <v>8</v>
      </c>
      <c r="R12" t="str">
        <f t="shared" si="0"/>
        <v>yes</v>
      </c>
      <c r="U12">
        <v>2023</v>
      </c>
      <c r="V12">
        <f t="shared" ref="V12:V17" si="18">(V4-V5)/V5</f>
        <v>0.330188679245283</v>
      </c>
      <c r="W12">
        <f t="shared" ref="W12:AD12" si="19">(W4-W5)/W5</f>
        <v>-0.1321656050955414</v>
      </c>
      <c r="X12">
        <f t="shared" si="19"/>
        <v>8.834586466165413E-2</v>
      </c>
      <c r="Y12">
        <f t="shared" si="19"/>
        <v>5.0420168067226894E-3</v>
      </c>
      <c r="Z12">
        <f t="shared" si="19"/>
        <v>-9.7069597069597072E-2</v>
      </c>
      <c r="AA12">
        <f t="shared" si="19"/>
        <v>-4.1916167664670656E-2</v>
      </c>
      <c r="AB12">
        <f t="shared" si="19"/>
        <v>1.9469026548672566E-2</v>
      </c>
      <c r="AC12">
        <f t="shared" si="19"/>
        <v>0.41217798594847777</v>
      </c>
      <c r="AD12">
        <f t="shared" si="19"/>
        <v>-0.26512226512226511</v>
      </c>
      <c r="AF12" s="200" t="s">
        <v>8</v>
      </c>
      <c r="AG12" s="200"/>
      <c r="AH12" s="200"/>
      <c r="AI12" s="200"/>
      <c r="AJ12" s="200"/>
      <c r="AK12" s="200"/>
      <c r="AL12" s="200"/>
      <c r="AM12" s="200"/>
      <c r="AN12" s="200"/>
      <c r="BA12">
        <f>PEARSON(BH22:BM22,BH30:BM30)</f>
        <v>0.40136990559899316</v>
      </c>
      <c r="BB12">
        <f>PEARSON(BH22:BH27,BH30:BH35)</f>
        <v>0.80179761122434989</v>
      </c>
      <c r="BC12">
        <f>PEARSON(BI22:BI27,BI30:BI35)</f>
        <v>-0.61729709307808078</v>
      </c>
      <c r="BD12">
        <f>PEARSON(BJ22:BJ27,BJ30:BJ35)</f>
        <v>-0.32224023052026018</v>
      </c>
      <c r="BE12">
        <f>PEARSON(BK22:BK27,BK30:BK35)</f>
        <v>-0.41719681103511791</v>
      </c>
      <c r="BF12">
        <f>PEARSON(BL22:BL27,BL30:BL35)</f>
        <v>-0.30521704204329353</v>
      </c>
      <c r="BH12">
        <v>-0.13225806451612904</v>
      </c>
      <c r="BI12">
        <v>-0.10204081632653061</v>
      </c>
      <c r="BJ12">
        <v>2.8673835125448029E-2</v>
      </c>
    </row>
    <row r="13" spans="1:62" x14ac:dyDescent="0.35">
      <c r="A13" s="181"/>
      <c r="B13" s="165"/>
      <c r="C13" s="10" t="s">
        <v>32</v>
      </c>
      <c r="D13" s="10">
        <v>1833</v>
      </c>
      <c r="E13" s="10">
        <v>288</v>
      </c>
      <c r="F13" s="10">
        <v>205</v>
      </c>
      <c r="G13" s="10">
        <v>258</v>
      </c>
      <c r="H13" s="10">
        <v>258</v>
      </c>
      <c r="I13" s="10">
        <v>187</v>
      </c>
      <c r="J13" s="10">
        <v>258</v>
      </c>
      <c r="K13" s="10">
        <v>204</v>
      </c>
      <c r="L13" s="10">
        <v>246</v>
      </c>
      <c r="M13" s="10">
        <v>376</v>
      </c>
      <c r="N13" s="10">
        <v>3737</v>
      </c>
      <c r="O13" s="11" t="s">
        <v>6</v>
      </c>
      <c r="P13" s="10" t="s">
        <v>8</v>
      </c>
      <c r="R13" t="str">
        <f t="shared" si="0"/>
        <v>yes</v>
      </c>
      <c r="U13">
        <v>2022</v>
      </c>
      <c r="V13">
        <f t="shared" si="18"/>
        <v>6.324881582613541E-2</v>
      </c>
      <c r="W13">
        <f t="shared" ref="W13:AD17" si="20">(W5-W6)/W6</f>
        <v>-1.4128728414442701E-2</v>
      </c>
      <c r="X13">
        <f t="shared" si="20"/>
        <v>0.13675213675213677</v>
      </c>
      <c r="Y13">
        <f t="shared" si="20"/>
        <v>-0.27703523693803161</v>
      </c>
      <c r="Z13">
        <f t="shared" si="20"/>
        <v>7.4803149606299218E-2</v>
      </c>
      <c r="AA13">
        <f t="shared" si="20"/>
        <v>-8.4095063985374766E-2</v>
      </c>
      <c r="AB13">
        <f t="shared" si="20"/>
        <v>0.25</v>
      </c>
      <c r="AC13">
        <f t="shared" si="20"/>
        <v>2.9174311926605503</v>
      </c>
      <c r="AD13">
        <f t="shared" si="20"/>
        <v>2.1024967148488831E-2</v>
      </c>
      <c r="AF13" s="1" t="s">
        <v>10</v>
      </c>
      <c r="AG13" s="1" t="s">
        <v>11</v>
      </c>
      <c r="AH13" s="1" t="s">
        <v>12</v>
      </c>
      <c r="AI13" s="1" t="s">
        <v>13</v>
      </c>
      <c r="AJ13" s="1" t="s">
        <v>14</v>
      </c>
      <c r="AK13" s="1" t="s">
        <v>15</v>
      </c>
      <c r="AL13" s="1" t="s">
        <v>16</v>
      </c>
      <c r="AM13" s="1" t="s">
        <v>17</v>
      </c>
      <c r="AN13" s="1" t="s">
        <v>18</v>
      </c>
      <c r="BA13">
        <f t="shared" ref="BA13:BA16" si="21">PEARSON(BH23:BM23,BH31:BM31)</f>
        <v>-0.39150603540242812</v>
      </c>
      <c r="BH13">
        <v>-2.2082018927444796E-2</v>
      </c>
      <c r="BI13">
        <v>7.5848303393213579E-2</v>
      </c>
      <c r="BJ13">
        <v>0.24553571428571427</v>
      </c>
    </row>
    <row r="14" spans="1:62" x14ac:dyDescent="0.35">
      <c r="A14" s="181"/>
      <c r="B14" s="165"/>
      <c r="C14" s="10" t="s">
        <v>33</v>
      </c>
      <c r="D14" s="10">
        <v>462</v>
      </c>
      <c r="E14" s="10">
        <v>20</v>
      </c>
      <c r="F14" s="10">
        <v>139</v>
      </c>
      <c r="G14" s="10">
        <v>44</v>
      </c>
      <c r="H14" s="10">
        <v>65</v>
      </c>
      <c r="I14" s="10">
        <v>62</v>
      </c>
      <c r="J14" s="10">
        <v>55</v>
      </c>
      <c r="K14" s="10">
        <v>20</v>
      </c>
      <c r="L14" s="10">
        <v>110</v>
      </c>
      <c r="M14" s="10">
        <v>53</v>
      </c>
      <c r="N14" s="10">
        <v>977</v>
      </c>
      <c r="O14" s="11" t="s">
        <v>6</v>
      </c>
      <c r="P14" s="10" t="s">
        <v>8</v>
      </c>
      <c r="R14" t="str">
        <f t="shared" si="0"/>
        <v>yes</v>
      </c>
      <c r="U14">
        <v>2021</v>
      </c>
      <c r="V14">
        <f t="shared" si="18"/>
        <v>3.9988409156766158E-2</v>
      </c>
      <c r="W14">
        <f t="shared" si="20"/>
        <v>0.56896551724137934</v>
      </c>
      <c r="X14">
        <f t="shared" si="20"/>
        <v>0.10638297872340426</v>
      </c>
      <c r="Y14">
        <f t="shared" si="20"/>
        <v>0.31469648562300317</v>
      </c>
      <c r="Z14">
        <f t="shared" si="20"/>
        <v>0.22409638554216868</v>
      </c>
      <c r="AA14">
        <f t="shared" si="20"/>
        <v>-0.22301136363636365</v>
      </c>
      <c r="AB14">
        <f t="shared" si="20"/>
        <v>-4.8421052631578948E-2</v>
      </c>
      <c r="AC14">
        <f t="shared" si="20"/>
        <v>-0.43229166666666669</v>
      </c>
      <c r="AD14">
        <f t="shared" si="20"/>
        <v>-7.4209245742092464E-2</v>
      </c>
      <c r="AF14">
        <f>D16</f>
        <v>4828</v>
      </c>
      <c r="AG14">
        <f t="shared" ref="AG14:AN14" si="22">E16</f>
        <v>538</v>
      </c>
      <c r="AH14">
        <f t="shared" si="22"/>
        <v>570</v>
      </c>
      <c r="AI14">
        <f t="shared" si="22"/>
        <v>574</v>
      </c>
      <c r="AJ14">
        <f t="shared" si="22"/>
        <v>484</v>
      </c>
      <c r="AK14">
        <f t="shared" si="22"/>
        <v>464</v>
      </c>
      <c r="AL14">
        <f t="shared" si="22"/>
        <v>574</v>
      </c>
      <c r="AM14">
        <f t="shared" si="22"/>
        <v>594</v>
      </c>
      <c r="AN14">
        <f t="shared" si="22"/>
        <v>555</v>
      </c>
      <c r="AO14" t="s">
        <v>6</v>
      </c>
      <c r="BA14">
        <f t="shared" si="21"/>
        <v>-0.7307837386784678</v>
      </c>
      <c r="BH14">
        <v>0.56930693069306926</v>
      </c>
      <c r="BI14">
        <v>0.21897810218978103</v>
      </c>
      <c r="BJ14">
        <v>-4.2735042735042736E-2</v>
      </c>
    </row>
    <row r="15" spans="1:62" x14ac:dyDescent="0.35">
      <c r="A15" s="181"/>
      <c r="B15" s="165"/>
      <c r="C15" s="10" t="s">
        <v>34</v>
      </c>
      <c r="D15" s="10">
        <v>402</v>
      </c>
      <c r="E15" s="10">
        <v>38</v>
      </c>
      <c r="F15" s="10">
        <v>54</v>
      </c>
      <c r="G15" s="10">
        <v>45</v>
      </c>
      <c r="H15" s="10">
        <v>8</v>
      </c>
      <c r="I15" s="10">
        <v>78</v>
      </c>
      <c r="J15" s="10">
        <v>29</v>
      </c>
      <c r="K15" s="10">
        <v>110</v>
      </c>
      <c r="L15" s="10">
        <v>22</v>
      </c>
      <c r="M15" s="10">
        <v>147</v>
      </c>
      <c r="N15" s="10">
        <v>786</v>
      </c>
      <c r="O15" s="11" t="s">
        <v>6</v>
      </c>
      <c r="P15" s="10" t="s">
        <v>8</v>
      </c>
      <c r="R15" t="str">
        <f t="shared" si="0"/>
        <v>yes</v>
      </c>
      <c r="U15">
        <v>2020</v>
      </c>
      <c r="V15">
        <f t="shared" si="18"/>
        <v>-0.13918682963332502</v>
      </c>
      <c r="W15">
        <f t="shared" si="20"/>
        <v>-8.35214446952596E-2</v>
      </c>
      <c r="X15">
        <f t="shared" si="20"/>
        <v>-0.17704280155642024</v>
      </c>
      <c r="Y15">
        <f t="shared" si="20"/>
        <v>0.19923371647509577</v>
      </c>
      <c r="Z15">
        <f t="shared" si="20"/>
        <v>0.18233618233618235</v>
      </c>
      <c r="AA15">
        <f t="shared" si="20"/>
        <v>-0.1065989847715736</v>
      </c>
      <c r="AB15">
        <f t="shared" si="20"/>
        <v>0.61564625850340138</v>
      </c>
      <c r="AC15">
        <f t="shared" si="20"/>
        <v>-0.11926605504587157</v>
      </c>
      <c r="AD15">
        <f t="shared" si="20"/>
        <v>1.1023017902813299</v>
      </c>
      <c r="AF15">
        <f>D31</f>
        <v>3614</v>
      </c>
      <c r="AG15">
        <f t="shared" ref="AG15:AN15" si="23">E31</f>
        <v>620</v>
      </c>
      <c r="AH15">
        <f t="shared" si="23"/>
        <v>523</v>
      </c>
      <c r="AI15">
        <f t="shared" si="23"/>
        <v>580</v>
      </c>
      <c r="AJ15">
        <f t="shared" si="23"/>
        <v>539</v>
      </c>
      <c r="AK15">
        <f t="shared" si="23"/>
        <v>481</v>
      </c>
      <c r="AL15">
        <f t="shared" si="23"/>
        <v>558</v>
      </c>
      <c r="AM15">
        <f t="shared" si="23"/>
        <v>423</v>
      </c>
      <c r="AN15">
        <f t="shared" si="23"/>
        <v>766</v>
      </c>
      <c r="AO15" t="s">
        <v>5</v>
      </c>
      <c r="BA15">
        <f t="shared" si="21"/>
        <v>0.54361736950172679</v>
      </c>
      <c r="BH15">
        <v>-6.2645011600928072E-2</v>
      </c>
      <c r="BI15">
        <v>0.20882352941176471</v>
      </c>
      <c r="BJ15">
        <v>0.60824742268041232</v>
      </c>
    </row>
    <row r="16" spans="1:62" ht="15" thickBot="1" x14ac:dyDescent="0.4">
      <c r="A16" s="51"/>
      <c r="B16" s="192"/>
      <c r="C16" s="79" t="s">
        <v>61</v>
      </c>
      <c r="D16" s="58">
        <f>SUM(D9:D15)</f>
        <v>4828</v>
      </c>
      <c r="E16" s="58">
        <f t="shared" ref="E16:N16" si="24">SUM(E9:E15)</f>
        <v>538</v>
      </c>
      <c r="F16" s="58">
        <f t="shared" si="24"/>
        <v>570</v>
      </c>
      <c r="G16" s="58">
        <f t="shared" si="24"/>
        <v>574</v>
      </c>
      <c r="H16" s="58">
        <f t="shared" si="24"/>
        <v>484</v>
      </c>
      <c r="I16" s="58">
        <f t="shared" si="24"/>
        <v>464</v>
      </c>
      <c r="J16" s="58">
        <f t="shared" si="24"/>
        <v>574</v>
      </c>
      <c r="K16" s="58">
        <f t="shared" si="24"/>
        <v>594</v>
      </c>
      <c r="L16" s="58">
        <f t="shared" si="24"/>
        <v>555</v>
      </c>
      <c r="M16" s="58">
        <f t="shared" si="24"/>
        <v>1062</v>
      </c>
      <c r="N16" s="58">
        <f t="shared" si="24"/>
        <v>9181</v>
      </c>
      <c r="O16" s="59" t="s">
        <v>6</v>
      </c>
      <c r="P16" s="58" t="s">
        <v>8</v>
      </c>
      <c r="R16" t="str">
        <f t="shared" si="0"/>
        <v>yes</v>
      </c>
      <c r="U16">
        <v>2019</v>
      </c>
      <c r="V16">
        <f t="shared" si="18"/>
        <v>0.34439973172367538</v>
      </c>
      <c r="W16">
        <f t="shared" si="20"/>
        <v>-0.19746376811594202</v>
      </c>
      <c r="X16">
        <f t="shared" si="20"/>
        <v>-1.9417475728155339E-3</v>
      </c>
      <c r="Y16">
        <f t="shared" si="20"/>
        <v>-0.23684210526315788</v>
      </c>
      <c r="Z16">
        <f t="shared" si="20"/>
        <v>-0.5111420612813371</v>
      </c>
      <c r="AA16">
        <f t="shared" si="20"/>
        <v>0.7589285714285714</v>
      </c>
      <c r="AB16">
        <f t="shared" si="20"/>
        <v>-0.35384615384615387</v>
      </c>
      <c r="AC16">
        <f t="shared" si="20"/>
        <v>-0.22695035460992907</v>
      </c>
      <c r="AD16">
        <f t="shared" si="20"/>
        <v>-0.41988130563798221</v>
      </c>
      <c r="AF16">
        <f>D46</f>
        <v>3414</v>
      </c>
      <c r="AG16">
        <f t="shared" ref="AG16:AN16" si="25">E46</f>
        <v>634</v>
      </c>
      <c r="AH16">
        <f t="shared" si="25"/>
        <v>450</v>
      </c>
      <c r="AI16">
        <f t="shared" si="25"/>
        <v>814</v>
      </c>
      <c r="AJ16">
        <f t="shared" si="25"/>
        <v>501</v>
      </c>
      <c r="AK16">
        <f t="shared" si="25"/>
        <v>540</v>
      </c>
      <c r="AL16">
        <f t="shared" si="25"/>
        <v>448</v>
      </c>
      <c r="AM16">
        <f t="shared" si="25"/>
        <v>104</v>
      </c>
      <c r="AN16">
        <f t="shared" si="25"/>
        <v>751</v>
      </c>
      <c r="AO16" t="s">
        <v>4</v>
      </c>
      <c r="BA16">
        <f t="shared" si="21"/>
        <v>-0.2007261109459873</v>
      </c>
      <c r="BH16">
        <v>-0.21493624772313297</v>
      </c>
      <c r="BI16">
        <v>-0.52045133991537373</v>
      </c>
      <c r="BJ16">
        <v>-0.3590308370044053</v>
      </c>
    </row>
    <row r="17" spans="1:65" x14ac:dyDescent="0.35">
      <c r="A17" s="182" t="s">
        <v>5</v>
      </c>
      <c r="B17" s="162" t="s">
        <v>7</v>
      </c>
      <c r="C17" s="17" t="s">
        <v>22</v>
      </c>
      <c r="D17" s="17">
        <v>87</v>
      </c>
      <c r="E17" s="17">
        <v>2</v>
      </c>
      <c r="F17" s="17">
        <v>3</v>
      </c>
      <c r="G17" s="17">
        <v>7</v>
      </c>
      <c r="H17" s="17">
        <v>4</v>
      </c>
      <c r="I17" s="17">
        <v>5</v>
      </c>
      <c r="J17" s="17">
        <v>5</v>
      </c>
      <c r="K17" s="17">
        <v>1</v>
      </c>
      <c r="L17" s="17">
        <v>3</v>
      </c>
      <c r="M17" s="17">
        <v>0</v>
      </c>
      <c r="N17" s="17">
        <v>117</v>
      </c>
      <c r="O17" s="18" t="s">
        <v>5</v>
      </c>
      <c r="P17" s="17" t="s">
        <v>7</v>
      </c>
      <c r="R17" t="str">
        <f t="shared" si="0"/>
        <v>yes</v>
      </c>
      <c r="U17">
        <v>2018</v>
      </c>
      <c r="V17">
        <f t="shared" si="18"/>
        <v>-0.24487211952393012</v>
      </c>
      <c r="W17">
        <f t="shared" si="20"/>
        <v>0.28372093023255812</v>
      </c>
      <c r="X17">
        <f t="shared" si="20"/>
        <v>-6.0218978102189784E-2</v>
      </c>
      <c r="Y17">
        <f t="shared" si="20"/>
        <v>0.16129032258064516</v>
      </c>
      <c r="Z17">
        <f t="shared" si="20"/>
        <v>0.61348314606741572</v>
      </c>
      <c r="AA17">
        <f t="shared" si="20"/>
        <v>0.3493975903614458</v>
      </c>
      <c r="AB17">
        <f t="shared" si="20"/>
        <v>0.48692810457516339</v>
      </c>
      <c r="AC17">
        <f t="shared" si="20"/>
        <v>-8.4415584415584416E-2</v>
      </c>
      <c r="AD17">
        <f t="shared" si="20"/>
        <v>-0.15960099750623441</v>
      </c>
      <c r="AF17">
        <f>D61</f>
        <v>3306</v>
      </c>
      <c r="AG17">
        <f t="shared" ref="AG17:AN17" si="26">E61</f>
        <v>404</v>
      </c>
      <c r="AH17">
        <f t="shared" si="26"/>
        <v>407</v>
      </c>
      <c r="AI17">
        <f t="shared" si="26"/>
        <v>610</v>
      </c>
      <c r="AJ17">
        <f t="shared" si="26"/>
        <v>411</v>
      </c>
      <c r="AK17">
        <f t="shared" si="26"/>
        <v>694</v>
      </c>
      <c r="AL17">
        <f t="shared" si="26"/>
        <v>468</v>
      </c>
      <c r="AM17">
        <f t="shared" si="26"/>
        <v>190</v>
      </c>
      <c r="AN17">
        <f t="shared" si="26"/>
        <v>812</v>
      </c>
      <c r="AO17" t="s">
        <v>3</v>
      </c>
      <c r="BA17">
        <f>PEARSON(BH27:BM27,BH35:BM35)</f>
        <v>-0.25395481207341514</v>
      </c>
      <c r="BH17">
        <v>0.28873239436619719</v>
      </c>
      <c r="BI17">
        <v>0.63364055299539168</v>
      </c>
      <c r="BJ17">
        <v>0.48366013071895425</v>
      </c>
    </row>
    <row r="18" spans="1:65" x14ac:dyDescent="0.35">
      <c r="A18" s="182"/>
      <c r="B18" s="163"/>
      <c r="C18" s="17" t="s">
        <v>23</v>
      </c>
      <c r="D18" s="17">
        <v>56</v>
      </c>
      <c r="E18" s="17">
        <v>0</v>
      </c>
      <c r="F18" s="17">
        <v>0</v>
      </c>
      <c r="G18" s="17">
        <v>4</v>
      </c>
      <c r="H18" s="17">
        <v>0</v>
      </c>
      <c r="I18" s="17">
        <v>4</v>
      </c>
      <c r="J18" s="17">
        <v>0</v>
      </c>
      <c r="K18" s="17">
        <v>0</v>
      </c>
      <c r="L18" s="17">
        <v>0</v>
      </c>
      <c r="M18" s="17">
        <v>0</v>
      </c>
      <c r="N18" s="17">
        <v>64</v>
      </c>
      <c r="O18" s="18" t="s">
        <v>5</v>
      </c>
      <c r="P18" s="17" t="s">
        <v>7</v>
      </c>
      <c r="R18" t="str">
        <f t="shared" si="0"/>
        <v>yes</v>
      </c>
      <c r="V18">
        <f>AVERAGE(V12:V17)</f>
        <v>6.5627781132434129E-2</v>
      </c>
      <c r="W18">
        <f t="shared" ref="W18:AC18" si="27">AVERAGE(W12:W17)</f>
        <v>7.0901150192125298E-2</v>
      </c>
      <c r="X18">
        <f t="shared" si="27"/>
        <v>1.5379575484294925E-2</v>
      </c>
      <c r="Y18">
        <f t="shared" si="27"/>
        <v>2.7730866547379548E-2</v>
      </c>
      <c r="Z18">
        <f t="shared" si="27"/>
        <v>8.1084534200188629E-2</v>
      </c>
      <c r="AA18">
        <f t="shared" si="27"/>
        <v>0.10878409695533908</v>
      </c>
      <c r="AB18">
        <f t="shared" si="27"/>
        <v>0.16162936385825075</v>
      </c>
      <c r="AC18">
        <f t="shared" si="27"/>
        <v>0.41111425297849613</v>
      </c>
      <c r="AD18">
        <f>AVERAGE(AD12:AD17)</f>
        <v>3.4085490570207426E-2</v>
      </c>
      <c r="AF18">
        <f>D76</f>
        <v>3817</v>
      </c>
      <c r="AG18">
        <f t="shared" ref="AG18:AN18" si="28">E76</f>
        <v>431</v>
      </c>
      <c r="AH18">
        <f t="shared" si="28"/>
        <v>502</v>
      </c>
      <c r="AI18">
        <f t="shared" si="28"/>
        <v>516</v>
      </c>
      <c r="AJ18">
        <f t="shared" si="28"/>
        <v>340</v>
      </c>
      <c r="AK18">
        <f t="shared" si="28"/>
        <v>780</v>
      </c>
      <c r="AL18">
        <f t="shared" si="28"/>
        <v>291</v>
      </c>
      <c r="AM18">
        <f t="shared" si="28"/>
        <v>213</v>
      </c>
      <c r="AN18">
        <f t="shared" si="28"/>
        <v>386</v>
      </c>
      <c r="AO18" t="s">
        <v>2</v>
      </c>
    </row>
    <row r="19" spans="1:65" x14ac:dyDescent="0.35">
      <c r="A19" s="182"/>
      <c r="B19" s="163"/>
      <c r="C19" s="17" t="s">
        <v>24</v>
      </c>
      <c r="D19" s="17">
        <v>21</v>
      </c>
      <c r="E19" s="17">
        <v>0</v>
      </c>
      <c r="F19" s="17">
        <v>3</v>
      </c>
      <c r="G19" s="17">
        <v>1</v>
      </c>
      <c r="H19" s="17">
        <v>0</v>
      </c>
      <c r="I19" s="17">
        <v>0</v>
      </c>
      <c r="J19" s="17">
        <v>1</v>
      </c>
      <c r="K19" s="17">
        <v>0</v>
      </c>
      <c r="L19" s="17">
        <v>2</v>
      </c>
      <c r="M19" s="17">
        <v>0</v>
      </c>
      <c r="N19" s="17">
        <v>28</v>
      </c>
      <c r="O19" s="18" t="s">
        <v>5</v>
      </c>
      <c r="P19" s="17" t="s">
        <v>7</v>
      </c>
      <c r="R19" t="str">
        <f t="shared" si="0"/>
        <v>yes</v>
      </c>
      <c r="AF19">
        <f>D91</f>
        <v>2814</v>
      </c>
      <c r="AG19">
        <f t="shared" ref="AG19:AN19" si="29">E91</f>
        <v>549</v>
      </c>
      <c r="AH19">
        <f t="shared" si="29"/>
        <v>473</v>
      </c>
      <c r="AI19">
        <f t="shared" si="29"/>
        <v>680</v>
      </c>
      <c r="AJ19">
        <f t="shared" si="29"/>
        <v>709</v>
      </c>
      <c r="AK19">
        <f t="shared" si="29"/>
        <v>428</v>
      </c>
      <c r="AL19">
        <f t="shared" si="29"/>
        <v>454</v>
      </c>
      <c r="AM19">
        <f t="shared" si="29"/>
        <v>276</v>
      </c>
      <c r="AN19">
        <f t="shared" si="29"/>
        <v>661</v>
      </c>
      <c r="AO19" t="s">
        <v>1</v>
      </c>
    </row>
    <row r="20" spans="1:65" x14ac:dyDescent="0.35">
      <c r="A20" s="182"/>
      <c r="B20" s="163"/>
      <c r="C20" s="17" t="s">
        <v>25</v>
      </c>
      <c r="D20" s="17">
        <v>16</v>
      </c>
      <c r="E20" s="17">
        <v>5</v>
      </c>
      <c r="F20" s="17">
        <v>3</v>
      </c>
      <c r="G20" s="17">
        <v>3</v>
      </c>
      <c r="H20" s="17">
        <v>2</v>
      </c>
      <c r="I20" s="17">
        <v>11</v>
      </c>
      <c r="J20" s="17">
        <v>1</v>
      </c>
      <c r="K20" s="17">
        <v>3</v>
      </c>
      <c r="L20" s="17">
        <v>6</v>
      </c>
      <c r="M20" s="17">
        <v>0</v>
      </c>
      <c r="N20" s="17">
        <v>50</v>
      </c>
      <c r="O20" s="18" t="s">
        <v>5</v>
      </c>
      <c r="P20" s="17" t="s">
        <v>7</v>
      </c>
      <c r="R20" t="str">
        <f t="shared" si="0"/>
        <v>yes</v>
      </c>
      <c r="AF20">
        <f>D106</f>
        <v>3736</v>
      </c>
      <c r="AG20">
        <f t="shared" ref="AG20:AN20" si="30">E106</f>
        <v>426</v>
      </c>
      <c r="AH20">
        <f t="shared" si="30"/>
        <v>537</v>
      </c>
      <c r="AI20">
        <f t="shared" si="30"/>
        <v>577</v>
      </c>
      <c r="AJ20">
        <f t="shared" si="30"/>
        <v>434</v>
      </c>
      <c r="AK20">
        <f t="shared" si="30"/>
        <v>315</v>
      </c>
      <c r="AL20">
        <f t="shared" si="30"/>
        <v>306</v>
      </c>
      <c r="AM20">
        <f t="shared" si="30"/>
        <v>304</v>
      </c>
      <c r="AN20">
        <f t="shared" si="30"/>
        <v>790</v>
      </c>
      <c r="AO20" t="s">
        <v>0</v>
      </c>
    </row>
    <row r="21" spans="1:65" x14ac:dyDescent="0.35">
      <c r="A21" s="182"/>
      <c r="B21" s="163"/>
      <c r="C21" s="17" t="s">
        <v>26</v>
      </c>
      <c r="D21" s="17">
        <v>4</v>
      </c>
      <c r="E21" s="17">
        <v>0</v>
      </c>
      <c r="F21" s="17">
        <v>0</v>
      </c>
      <c r="G21" s="17">
        <v>0</v>
      </c>
      <c r="H21" s="17">
        <v>0</v>
      </c>
      <c r="I21" s="17">
        <v>0</v>
      </c>
      <c r="J21" s="17">
        <v>0</v>
      </c>
      <c r="K21" s="17">
        <v>0</v>
      </c>
      <c r="L21" s="17">
        <v>0</v>
      </c>
      <c r="M21" s="17">
        <v>0</v>
      </c>
      <c r="N21" s="17">
        <v>4</v>
      </c>
      <c r="O21" s="18" t="s">
        <v>5</v>
      </c>
      <c r="P21" s="17" t="s">
        <v>7</v>
      </c>
      <c r="R21" t="str">
        <f t="shared" si="0"/>
        <v>yes</v>
      </c>
      <c r="BH21" t="s">
        <v>10</v>
      </c>
      <c r="BI21" t="s">
        <v>12</v>
      </c>
      <c r="BJ21" t="s">
        <v>13</v>
      </c>
      <c r="BK21" t="s">
        <v>15</v>
      </c>
      <c r="BL21" t="s">
        <v>17</v>
      </c>
      <c r="BM21" t="s">
        <v>18</v>
      </c>
    </row>
    <row r="22" spans="1:65" x14ac:dyDescent="0.35">
      <c r="A22" s="182"/>
      <c r="B22" s="163"/>
      <c r="C22" s="17" t="s">
        <v>27</v>
      </c>
      <c r="D22" s="17">
        <v>18</v>
      </c>
      <c r="E22" s="17">
        <v>1</v>
      </c>
      <c r="F22" s="17">
        <v>0</v>
      </c>
      <c r="G22" s="17">
        <v>0</v>
      </c>
      <c r="H22" s="17">
        <v>1</v>
      </c>
      <c r="I22" s="17">
        <v>0</v>
      </c>
      <c r="J22" s="17">
        <v>0</v>
      </c>
      <c r="K22" s="17">
        <v>0</v>
      </c>
      <c r="L22" s="17">
        <v>0</v>
      </c>
      <c r="M22" s="17">
        <v>0</v>
      </c>
      <c r="N22" s="17">
        <v>20</v>
      </c>
      <c r="O22" s="18" t="s">
        <v>5</v>
      </c>
      <c r="P22" s="17" t="s">
        <v>7</v>
      </c>
      <c r="R22" t="str">
        <f t="shared" si="0"/>
        <v>yes</v>
      </c>
      <c r="V22" s="145" t="s">
        <v>10</v>
      </c>
      <c r="W22" s="145" t="s">
        <v>11</v>
      </c>
      <c r="X22" s="145" t="s">
        <v>12</v>
      </c>
      <c r="Y22" s="145" t="s">
        <v>13</v>
      </c>
      <c r="Z22" s="145" t="s">
        <v>14</v>
      </c>
      <c r="AA22" s="145" t="s">
        <v>15</v>
      </c>
      <c r="AB22" s="145" t="s">
        <v>16</v>
      </c>
      <c r="AC22" s="145" t="s">
        <v>17</v>
      </c>
      <c r="AD22" s="145" t="s">
        <v>18</v>
      </c>
      <c r="AF22" t="s">
        <v>10</v>
      </c>
      <c r="AG22" t="s">
        <v>11</v>
      </c>
      <c r="AH22" t="s">
        <v>12</v>
      </c>
      <c r="AI22" t="s">
        <v>13</v>
      </c>
      <c r="AJ22" t="s">
        <v>14</v>
      </c>
      <c r="AK22" t="s">
        <v>15</v>
      </c>
      <c r="AL22" t="s">
        <v>16</v>
      </c>
      <c r="AM22" t="s">
        <v>17</v>
      </c>
      <c r="AN22" t="s">
        <v>18</v>
      </c>
      <c r="AP22" t="s">
        <v>10</v>
      </c>
      <c r="AQ22" t="s">
        <v>12</v>
      </c>
      <c r="AR22" t="s">
        <v>13</v>
      </c>
      <c r="AS22" t="s">
        <v>14</v>
      </c>
      <c r="AT22" t="s">
        <v>15</v>
      </c>
      <c r="AU22" t="s">
        <v>16</v>
      </c>
      <c r="AV22" t="s">
        <v>17</v>
      </c>
      <c r="AW22" t="s">
        <v>18</v>
      </c>
      <c r="BH22">
        <v>0.22772277227722773</v>
      </c>
      <c r="BI22">
        <v>0</v>
      </c>
      <c r="BJ22">
        <v>0.6</v>
      </c>
      <c r="BK22">
        <v>-0.2</v>
      </c>
      <c r="BL22">
        <v>1.25</v>
      </c>
      <c r="BM22">
        <v>0.45454545454545453</v>
      </c>
    </row>
    <row r="23" spans="1:65" ht="15" thickBot="1" x14ac:dyDescent="0.4">
      <c r="A23" s="182"/>
      <c r="B23" s="193"/>
      <c r="C23" s="61" t="s">
        <v>61</v>
      </c>
      <c r="D23" s="61">
        <f>SUM(D17:D22)</f>
        <v>202</v>
      </c>
      <c r="E23" s="61">
        <f t="shared" ref="E23:M23" si="31">SUM(E17:E22)</f>
        <v>8</v>
      </c>
      <c r="F23" s="61">
        <f t="shared" si="31"/>
        <v>9</v>
      </c>
      <c r="G23" s="61">
        <f t="shared" si="31"/>
        <v>15</v>
      </c>
      <c r="H23" s="61">
        <f t="shared" si="31"/>
        <v>7</v>
      </c>
      <c r="I23" s="61">
        <f t="shared" si="31"/>
        <v>20</v>
      </c>
      <c r="J23" s="61">
        <f t="shared" si="31"/>
        <v>7</v>
      </c>
      <c r="K23" s="61">
        <f t="shared" si="31"/>
        <v>4</v>
      </c>
      <c r="L23" s="61">
        <f t="shared" si="31"/>
        <v>11</v>
      </c>
      <c r="M23" s="61">
        <f t="shared" si="31"/>
        <v>0</v>
      </c>
      <c r="N23" s="61">
        <f>SUM(N17:N22)</f>
        <v>283</v>
      </c>
      <c r="O23" s="62" t="s">
        <v>6</v>
      </c>
      <c r="P23" s="61" t="s">
        <v>7</v>
      </c>
      <c r="R23" t="str">
        <f t="shared" si="0"/>
        <v>yes</v>
      </c>
      <c r="U23" s="145" t="s">
        <v>72</v>
      </c>
      <c r="V23" s="148">
        <f t="shared" ref="V23:AD23" si="32">IF(AF10&gt;0,((AF4-AF10)/AF10)/6,(AF4/6))</f>
        <v>2.7386541471048517E-2</v>
      </c>
      <c r="W23" s="148">
        <f t="shared" si="32"/>
        <v>0.125</v>
      </c>
      <c r="X23" s="148">
        <f t="shared" si="32"/>
        <v>-3.0303030303030304E-2</v>
      </c>
      <c r="Y23" s="148">
        <f t="shared" si="32"/>
        <v>0.16666666666666666</v>
      </c>
      <c r="Z23" s="148">
        <f t="shared" si="32"/>
        <v>-3.0303030303030304E-2</v>
      </c>
      <c r="AA23" s="148">
        <f t="shared" si="32"/>
        <v>-9.8039215686274508E-3</v>
      </c>
      <c r="AB23" s="148">
        <f t="shared" si="32"/>
        <v>0.33333333333333331</v>
      </c>
      <c r="AC23" s="148">
        <f t="shared" si="32"/>
        <v>0.20833333333333334</v>
      </c>
      <c r="AD23" s="148">
        <f t="shared" si="32"/>
        <v>5.5555555555555552E-2</v>
      </c>
      <c r="AF23">
        <f t="shared" ref="AF23:AN23" si="33">(AF4-AF5)/AF5</f>
        <v>0.22772277227722773</v>
      </c>
      <c r="AG23">
        <f t="shared" si="33"/>
        <v>-0.125</v>
      </c>
      <c r="AH23">
        <f t="shared" si="33"/>
        <v>0</v>
      </c>
      <c r="AI23">
        <f t="shared" si="33"/>
        <v>0.6</v>
      </c>
      <c r="AJ23">
        <f t="shared" si="33"/>
        <v>0.2857142857142857</v>
      </c>
      <c r="AK23">
        <f t="shared" si="33"/>
        <v>-0.2</v>
      </c>
      <c r="AL23">
        <f t="shared" si="33"/>
        <v>-0.7142857142857143</v>
      </c>
      <c r="AM23">
        <f t="shared" si="33"/>
        <v>1.25</v>
      </c>
      <c r="AN23">
        <f t="shared" si="33"/>
        <v>0.45454545454545453</v>
      </c>
      <c r="AP23">
        <f>(AF4-AF10)/AF10</f>
        <v>0.16431924882629109</v>
      </c>
      <c r="AQ23">
        <v>8.9866156787762913E-2</v>
      </c>
      <c r="AR23">
        <v>-1.0344827586206896E-2</v>
      </c>
      <c r="AS23">
        <v>-0.10204081632653061</v>
      </c>
      <c r="AT23">
        <v>-3.5343035343035345E-2</v>
      </c>
      <c r="AU23">
        <v>2.8673835125448029E-2</v>
      </c>
      <c r="AV23">
        <v>0.40425531914893614</v>
      </c>
      <c r="AW23">
        <v>-0.27545691906005221</v>
      </c>
      <c r="BH23">
        <v>0.15428571428571428</v>
      </c>
      <c r="BI23">
        <v>-0.5</v>
      </c>
      <c r="BJ23">
        <v>0.66666666666666663</v>
      </c>
      <c r="BK23">
        <v>1.8571428571428572</v>
      </c>
      <c r="BL23">
        <v>-0.2</v>
      </c>
      <c r="BM23">
        <v>0.1</v>
      </c>
    </row>
    <row r="24" spans="1:65" x14ac:dyDescent="0.35">
      <c r="A24" s="182"/>
      <c r="B24" s="162" t="s">
        <v>8</v>
      </c>
      <c r="C24" s="17" t="s">
        <v>28</v>
      </c>
      <c r="D24" s="17">
        <v>949</v>
      </c>
      <c r="E24" s="17">
        <v>137</v>
      </c>
      <c r="F24" s="17">
        <v>133</v>
      </c>
      <c r="G24" s="17">
        <v>173</v>
      </c>
      <c r="H24" s="17">
        <v>92</v>
      </c>
      <c r="I24" s="17">
        <v>109</v>
      </c>
      <c r="J24" s="17">
        <v>119</v>
      </c>
      <c r="K24" s="17">
        <v>71</v>
      </c>
      <c r="L24" s="17">
        <v>146</v>
      </c>
      <c r="M24" s="17">
        <v>0</v>
      </c>
      <c r="N24" s="17">
        <v>1929</v>
      </c>
      <c r="O24" s="18" t="s">
        <v>5</v>
      </c>
      <c r="P24" s="17" t="s">
        <v>8</v>
      </c>
      <c r="R24" t="str">
        <f t="shared" si="0"/>
        <v>yes</v>
      </c>
      <c r="U24" s="145" t="s">
        <v>73</v>
      </c>
      <c r="V24" s="148">
        <f t="shared" ref="V24:AD24" si="34">((AF14-AF20)/AF20)/6</f>
        <v>4.8715203426124197E-2</v>
      </c>
      <c r="W24" s="148">
        <f t="shared" si="34"/>
        <v>4.3818466353677622E-2</v>
      </c>
      <c r="X24" s="148">
        <f t="shared" si="34"/>
        <v>1.0242085661080074E-2</v>
      </c>
      <c r="Y24" s="148">
        <f t="shared" si="34"/>
        <v>-8.6655112651646453E-4</v>
      </c>
      <c r="Z24" s="148">
        <f t="shared" si="34"/>
        <v>1.9201228878648235E-2</v>
      </c>
      <c r="AA24" s="148">
        <f t="shared" si="34"/>
        <v>7.8835978835978829E-2</v>
      </c>
      <c r="AB24" s="148">
        <f t="shared" si="34"/>
        <v>0.14596949891067537</v>
      </c>
      <c r="AC24" s="148">
        <f t="shared" si="34"/>
        <v>0.15899122807017543</v>
      </c>
      <c r="AD24" s="148">
        <f t="shared" si="34"/>
        <v>-4.9578059071729956E-2</v>
      </c>
      <c r="AF24">
        <f t="shared" ref="AF24:AN24" si="35">(AF5-AF6)/AF6</f>
        <v>0.15428571428571428</v>
      </c>
      <c r="AG24">
        <f t="shared" si="35"/>
        <v>1.6666666666666667</v>
      </c>
      <c r="AH24">
        <f t="shared" si="35"/>
        <v>-0.5</v>
      </c>
      <c r="AI24">
        <f t="shared" si="35"/>
        <v>0.66666666666666663</v>
      </c>
      <c r="AJ24">
        <f t="shared" si="35"/>
        <v>0</v>
      </c>
      <c r="AK24">
        <f t="shared" si="35"/>
        <v>1.8571428571428572</v>
      </c>
      <c r="AL24">
        <f t="shared" si="35"/>
        <v>0.75</v>
      </c>
      <c r="AM24">
        <f t="shared" si="35"/>
        <v>-0.2</v>
      </c>
      <c r="AN24">
        <f t="shared" si="35"/>
        <v>0.1</v>
      </c>
      <c r="AP24">
        <v>5.8582308142940832E-2</v>
      </c>
      <c r="AQ24">
        <v>0.16222222222222221</v>
      </c>
      <c r="AR24">
        <v>-0.28746928746928746</v>
      </c>
      <c r="AS24">
        <v>7.5848303393213579E-2</v>
      </c>
      <c r="AT24">
        <v>-0.10925925925925926</v>
      </c>
      <c r="AU24">
        <v>0.24553571428571427</v>
      </c>
      <c r="AV24">
        <v>3.0673076923076925</v>
      </c>
      <c r="AW24">
        <v>1.9973368841544607E-2</v>
      </c>
      <c r="BH24">
        <v>0.20689655172413793</v>
      </c>
      <c r="BI24">
        <v>0.125</v>
      </c>
      <c r="BJ24">
        <v>-0.4375</v>
      </c>
      <c r="BK24">
        <v>-0.3</v>
      </c>
      <c r="BL24">
        <v>1.5</v>
      </c>
      <c r="BM24">
        <v>0</v>
      </c>
    </row>
    <row r="25" spans="1:65" x14ac:dyDescent="0.35">
      <c r="A25" s="182"/>
      <c r="B25" s="163"/>
      <c r="C25" s="17" t="s">
        <v>29</v>
      </c>
      <c r="D25" s="17">
        <v>352</v>
      </c>
      <c r="E25" s="17">
        <v>34</v>
      </c>
      <c r="F25" s="17">
        <v>34</v>
      </c>
      <c r="G25" s="17">
        <v>48</v>
      </c>
      <c r="H25" s="17">
        <v>19</v>
      </c>
      <c r="I25" s="17">
        <v>32</v>
      </c>
      <c r="J25" s="17">
        <v>64</v>
      </c>
      <c r="K25" s="17">
        <v>22</v>
      </c>
      <c r="L25" s="17">
        <v>45</v>
      </c>
      <c r="M25" s="17">
        <v>0</v>
      </c>
      <c r="N25" s="17">
        <v>650</v>
      </c>
      <c r="O25" s="18" t="s">
        <v>5</v>
      </c>
      <c r="P25" s="17" t="s">
        <v>8</v>
      </c>
      <c r="R25" t="str">
        <f t="shared" si="0"/>
        <v>yes</v>
      </c>
      <c r="U25" s="145" t="s">
        <v>74</v>
      </c>
      <c r="V25" s="148">
        <f t="shared" ref="V25:AD25" si="36">((V4-V10)/V10)/6</f>
        <v>4.7564784333586567E-2</v>
      </c>
      <c r="W25" s="148">
        <f t="shared" si="36"/>
        <v>4.4573643410852709E-2</v>
      </c>
      <c r="X25" s="148">
        <f t="shared" si="36"/>
        <v>9.4282238442822391E-3</v>
      </c>
      <c r="Y25" s="148">
        <f t="shared" si="36"/>
        <v>2.5466893039049238E-3</v>
      </c>
      <c r="Z25" s="148">
        <f t="shared" si="36"/>
        <v>1.7977528089887642E-2</v>
      </c>
      <c r="AA25" s="148">
        <f t="shared" si="36"/>
        <v>7.4297188755020074E-2</v>
      </c>
      <c r="AB25" s="148">
        <f t="shared" si="36"/>
        <v>0.14705882352941177</v>
      </c>
      <c r="AC25" s="148">
        <f t="shared" si="36"/>
        <v>0.15963203463203463</v>
      </c>
      <c r="AD25" s="148">
        <f t="shared" si="36"/>
        <v>-4.8004987531172071E-2</v>
      </c>
      <c r="AF25">
        <f t="shared" ref="AF25:AN25" si="37">(AF6-AF7)/AF7</f>
        <v>0.20689655172413793</v>
      </c>
      <c r="AG25">
        <f t="shared" si="37"/>
        <v>0.5</v>
      </c>
      <c r="AH25">
        <f t="shared" si="37"/>
        <v>0.125</v>
      </c>
      <c r="AI25">
        <f t="shared" si="37"/>
        <v>-0.4375</v>
      </c>
      <c r="AJ25">
        <f t="shared" si="37"/>
        <v>0.75</v>
      </c>
      <c r="AK25">
        <f t="shared" si="37"/>
        <v>-0.3</v>
      </c>
      <c r="AL25">
        <f t="shared" si="37"/>
        <v>-0.42857142857142855</v>
      </c>
      <c r="AM25">
        <f t="shared" si="37"/>
        <v>1.5</v>
      </c>
      <c r="AN25">
        <f t="shared" si="37"/>
        <v>0</v>
      </c>
      <c r="AP25">
        <v>3.2667876588021776E-2</v>
      </c>
      <c r="AQ25">
        <v>0.10565110565110565</v>
      </c>
      <c r="AR25">
        <v>0.33442622950819673</v>
      </c>
      <c r="AS25">
        <v>0.21897810218978103</v>
      </c>
      <c r="AT25">
        <v>-0.22190201729106629</v>
      </c>
      <c r="AU25">
        <v>-4.2735042735042736E-2</v>
      </c>
      <c r="AV25">
        <v>-0.45263157894736844</v>
      </c>
      <c r="AW25">
        <v>-7.5123152709359611E-2</v>
      </c>
      <c r="BH25">
        <v>-0.24479166666666666</v>
      </c>
      <c r="BI25">
        <v>0.33333333333333331</v>
      </c>
      <c r="BJ25">
        <v>1.6666666666666667</v>
      </c>
      <c r="BK25">
        <v>0.25</v>
      </c>
      <c r="BL25">
        <v>-0.6</v>
      </c>
      <c r="BM25">
        <v>1</v>
      </c>
    </row>
    <row r="26" spans="1:65" x14ac:dyDescent="0.35">
      <c r="A26" s="182"/>
      <c r="B26" s="163"/>
      <c r="C26" s="17" t="s">
        <v>30</v>
      </c>
      <c r="D26" s="17">
        <v>51</v>
      </c>
      <c r="E26" s="17">
        <v>21</v>
      </c>
      <c r="F26" s="17">
        <v>10</v>
      </c>
      <c r="G26" s="17">
        <v>7</v>
      </c>
      <c r="H26" s="17">
        <v>9</v>
      </c>
      <c r="I26" s="17">
        <v>18</v>
      </c>
      <c r="J26" s="17">
        <v>11</v>
      </c>
      <c r="K26" s="17">
        <v>13</v>
      </c>
      <c r="L26" s="17">
        <v>17</v>
      </c>
      <c r="M26" s="17">
        <v>0</v>
      </c>
      <c r="N26" s="17">
        <v>157</v>
      </c>
      <c r="O26" s="18" t="s">
        <v>5</v>
      </c>
      <c r="P26" s="17" t="s">
        <v>8</v>
      </c>
      <c r="R26" t="str">
        <f t="shared" si="0"/>
        <v>yes</v>
      </c>
      <c r="U26" s="145" t="s">
        <v>75</v>
      </c>
      <c r="V26" s="146">
        <f t="shared" ref="V26:AD26" si="38">V4-V10</f>
        <v>1127</v>
      </c>
      <c r="W26" s="146">
        <f t="shared" si="38"/>
        <v>115</v>
      </c>
      <c r="X26" s="146">
        <f t="shared" si="38"/>
        <v>31</v>
      </c>
      <c r="Y26" s="146">
        <f t="shared" si="38"/>
        <v>9</v>
      </c>
      <c r="Z26" s="146">
        <f t="shared" si="38"/>
        <v>48</v>
      </c>
      <c r="AA26" s="146">
        <f t="shared" si="38"/>
        <v>148</v>
      </c>
      <c r="AB26" s="146">
        <f t="shared" si="38"/>
        <v>270</v>
      </c>
      <c r="AC26" s="146">
        <f t="shared" si="38"/>
        <v>295</v>
      </c>
      <c r="AD26" s="146">
        <f t="shared" si="38"/>
        <v>-231</v>
      </c>
      <c r="AF26">
        <f t="shared" ref="AF26:AN26" si="39">(AF7-AF8)/AF8</f>
        <v>-0.24479166666666666</v>
      </c>
      <c r="AG26">
        <f t="shared" si="39"/>
        <v>-0.83333333333333337</v>
      </c>
      <c r="AH26">
        <f t="shared" si="39"/>
        <v>0.33333333333333331</v>
      </c>
      <c r="AI26">
        <f t="shared" si="39"/>
        <v>1.6666666666666667</v>
      </c>
      <c r="AJ26">
        <f t="shared" si="39"/>
        <v>-0.63636363636363635</v>
      </c>
      <c r="AK26">
        <f t="shared" si="39"/>
        <v>0.25</v>
      </c>
      <c r="AL26">
        <f t="shared" si="39"/>
        <v>1.3333333333333333</v>
      </c>
      <c r="AM26">
        <f t="shared" si="39"/>
        <v>-0.6</v>
      </c>
      <c r="AN26">
        <f t="shared" si="39"/>
        <v>1</v>
      </c>
      <c r="AP26">
        <v>-0.13387477076237883</v>
      </c>
      <c r="AQ26">
        <v>-0.18924302788844621</v>
      </c>
      <c r="AR26">
        <v>0.18217054263565891</v>
      </c>
      <c r="AS26">
        <v>0.20882352941176471</v>
      </c>
      <c r="AT26">
        <v>-0.11025641025641025</v>
      </c>
      <c r="AU26">
        <v>0.60824742268041232</v>
      </c>
      <c r="AV26">
        <v>-0.107981220657277</v>
      </c>
      <c r="AW26">
        <v>1.1036269430051813</v>
      </c>
      <c r="BH26">
        <v>0.14285714285714285</v>
      </c>
      <c r="BI26">
        <v>-0.7142857142857143</v>
      </c>
      <c r="BJ26">
        <v>0.5</v>
      </c>
      <c r="BK26">
        <v>-0.6</v>
      </c>
      <c r="BL26">
        <v>-0.16666666666666666</v>
      </c>
      <c r="BM26">
        <v>-0.61538461538461542</v>
      </c>
    </row>
    <row r="27" spans="1:65" x14ac:dyDescent="0.35">
      <c r="A27" s="182"/>
      <c r="B27" s="163"/>
      <c r="C27" s="17" t="s">
        <v>31</v>
      </c>
      <c r="D27" s="17">
        <v>15</v>
      </c>
      <c r="E27" s="17">
        <v>5</v>
      </c>
      <c r="F27" s="17">
        <v>7</v>
      </c>
      <c r="G27" s="17">
        <v>0</v>
      </c>
      <c r="H27" s="17">
        <v>0</v>
      </c>
      <c r="I27" s="17">
        <v>0</v>
      </c>
      <c r="J27" s="17">
        <v>0</v>
      </c>
      <c r="K27" s="17">
        <v>1</v>
      </c>
      <c r="L27" s="17">
        <v>0</v>
      </c>
      <c r="M27" s="17">
        <v>0</v>
      </c>
      <c r="N27" s="17">
        <v>28</v>
      </c>
      <c r="O27" s="18" t="s">
        <v>5</v>
      </c>
      <c r="P27" s="17" t="s">
        <v>8</v>
      </c>
      <c r="R27" t="str">
        <f t="shared" si="0"/>
        <v>yes</v>
      </c>
      <c r="AF27">
        <f t="shared" ref="AF27:AN27" si="40">(AF8-AF9)/AF9</f>
        <v>0.14285714285714285</v>
      </c>
      <c r="AG27">
        <f t="shared" si="40"/>
        <v>3</v>
      </c>
      <c r="AH27">
        <f t="shared" si="40"/>
        <v>-0.7142857142857143</v>
      </c>
      <c r="AI27">
        <f t="shared" si="40"/>
        <v>0.5</v>
      </c>
      <c r="AJ27">
        <f t="shared" si="40"/>
        <v>0.22222222222222221</v>
      </c>
      <c r="AK27">
        <f t="shared" si="40"/>
        <v>-0.6</v>
      </c>
      <c r="AL27">
        <f t="shared" si="40"/>
        <v>2</v>
      </c>
      <c r="AM27">
        <f t="shared" si="40"/>
        <v>-0.16666666666666666</v>
      </c>
      <c r="AN27">
        <f t="shared" si="40"/>
        <v>-0.61538461538461542</v>
      </c>
      <c r="AP27">
        <v>0.35643212508884153</v>
      </c>
      <c r="AQ27">
        <v>6.13107822410148E-2</v>
      </c>
      <c r="AR27">
        <v>-0.2411764705882353</v>
      </c>
      <c r="AS27">
        <v>-0.52045133991537373</v>
      </c>
      <c r="AT27">
        <v>0.82242990654205606</v>
      </c>
      <c r="AU27">
        <v>-0.3590308370044053</v>
      </c>
      <c r="AV27">
        <v>-0.22826086956521738</v>
      </c>
      <c r="AW27">
        <v>-0.41603630862329805</v>
      </c>
      <c r="BH27">
        <v>-0.21126760563380281</v>
      </c>
      <c r="BI27">
        <v>2.8181818181818183</v>
      </c>
      <c r="BJ27">
        <v>-0.66666666666666663</v>
      </c>
      <c r="BK27">
        <v>0.17647058823529413</v>
      </c>
      <c r="BL27">
        <v>0.5</v>
      </c>
      <c r="BM27">
        <v>8.3333333333333329E-2</v>
      </c>
    </row>
    <row r="28" spans="1:65" x14ac:dyDescent="0.35">
      <c r="A28" s="182"/>
      <c r="B28" s="163"/>
      <c r="C28" s="17" t="s">
        <v>32</v>
      </c>
      <c r="D28" s="17">
        <v>1293</v>
      </c>
      <c r="E28" s="17">
        <v>336</v>
      </c>
      <c r="F28" s="17">
        <v>205</v>
      </c>
      <c r="G28" s="17">
        <v>265</v>
      </c>
      <c r="H28" s="17">
        <v>239</v>
      </c>
      <c r="I28" s="17">
        <v>199</v>
      </c>
      <c r="J28" s="17">
        <v>234</v>
      </c>
      <c r="K28" s="17">
        <v>121</v>
      </c>
      <c r="L28" s="17">
        <v>346</v>
      </c>
      <c r="M28" s="17">
        <v>0</v>
      </c>
      <c r="N28" s="17">
        <v>3238</v>
      </c>
      <c r="O28" s="18" t="s">
        <v>5</v>
      </c>
      <c r="P28" s="17" t="s">
        <v>8</v>
      </c>
      <c r="R28" t="str">
        <f t="shared" si="0"/>
        <v>yes</v>
      </c>
      <c r="AF28">
        <f t="shared" ref="AF28:AK28" si="41">(AF9-AF10)/AF10</f>
        <v>-0.21126760563380281</v>
      </c>
      <c r="AG28">
        <f t="shared" si="41"/>
        <v>-0.25</v>
      </c>
      <c r="AH28">
        <f t="shared" si="41"/>
        <v>2.8181818181818183</v>
      </c>
      <c r="AI28">
        <f t="shared" si="41"/>
        <v>-0.66666666666666663</v>
      </c>
      <c r="AJ28">
        <f t="shared" si="41"/>
        <v>-0.18181818181818182</v>
      </c>
      <c r="AK28">
        <f t="shared" si="41"/>
        <v>0.17647058823529413</v>
      </c>
      <c r="AL28">
        <v>1</v>
      </c>
      <c r="AM28">
        <f>(AM9-AM10)/AM10</f>
        <v>0.5</v>
      </c>
      <c r="AN28">
        <f>(AN9-AN10)/AN10</f>
        <v>8.3333333333333329E-2</v>
      </c>
      <c r="AP28">
        <v>-0.2467880085653105</v>
      </c>
      <c r="AQ28">
        <v>-0.11918063314711359</v>
      </c>
      <c r="AR28">
        <v>0.17850953206239167</v>
      </c>
      <c r="AS28">
        <v>0.63364055299539168</v>
      </c>
      <c r="AT28">
        <v>0.35873015873015873</v>
      </c>
      <c r="AU28">
        <v>0.48366013071895425</v>
      </c>
      <c r="AV28">
        <v>-9.2105263157894732E-2</v>
      </c>
      <c r="AW28">
        <v>-0.16329113924050634</v>
      </c>
    </row>
    <row r="29" spans="1:65" x14ac:dyDescent="0.35">
      <c r="A29" s="182"/>
      <c r="B29" s="163"/>
      <c r="C29" s="17" t="s">
        <v>33</v>
      </c>
      <c r="D29" s="17">
        <v>539</v>
      </c>
      <c r="E29" s="17">
        <v>72</v>
      </c>
      <c r="F29" s="17">
        <v>81</v>
      </c>
      <c r="G29" s="17">
        <v>40</v>
      </c>
      <c r="H29" s="17">
        <v>98</v>
      </c>
      <c r="I29" s="17">
        <v>91</v>
      </c>
      <c r="J29" s="17">
        <v>56</v>
      </c>
      <c r="K29" s="17">
        <v>187</v>
      </c>
      <c r="L29" s="17">
        <v>148</v>
      </c>
      <c r="M29" s="17">
        <v>0</v>
      </c>
      <c r="N29" s="17">
        <v>1312</v>
      </c>
      <c r="O29" s="18" t="s">
        <v>5</v>
      </c>
      <c r="P29" s="17" t="s">
        <v>8</v>
      </c>
      <c r="R29" t="str">
        <f t="shared" si="0"/>
        <v>yes</v>
      </c>
      <c r="BH29" t="s">
        <v>10</v>
      </c>
      <c r="BI29" t="s">
        <v>12</v>
      </c>
      <c r="BJ29" t="s">
        <v>13</v>
      </c>
      <c r="BK29" t="s">
        <v>15</v>
      </c>
      <c r="BL29" t="s">
        <v>17</v>
      </c>
      <c r="BM29" t="s">
        <v>18</v>
      </c>
    </row>
    <row r="30" spans="1:65" ht="15" thickBot="1" x14ac:dyDescent="0.4">
      <c r="A30" s="182"/>
      <c r="B30" s="163"/>
      <c r="C30" s="17" t="s">
        <v>34</v>
      </c>
      <c r="D30" s="17">
        <v>415</v>
      </c>
      <c r="E30" s="17">
        <v>15</v>
      </c>
      <c r="F30" s="17">
        <v>53</v>
      </c>
      <c r="G30" s="17">
        <v>47</v>
      </c>
      <c r="H30" s="17">
        <v>82</v>
      </c>
      <c r="I30" s="17">
        <v>32</v>
      </c>
      <c r="J30" s="17">
        <v>74</v>
      </c>
      <c r="K30" s="17">
        <v>8</v>
      </c>
      <c r="L30" s="17">
        <v>64</v>
      </c>
      <c r="M30" s="17">
        <v>0</v>
      </c>
      <c r="N30" s="17">
        <v>790</v>
      </c>
      <c r="O30" s="18" t="s">
        <v>5</v>
      </c>
      <c r="P30" s="17" t="s">
        <v>8</v>
      </c>
      <c r="R30" t="str">
        <f t="shared" si="0"/>
        <v>yes</v>
      </c>
      <c r="AF30" t="s">
        <v>10</v>
      </c>
      <c r="AG30" t="s">
        <v>11</v>
      </c>
      <c r="AH30" t="s">
        <v>12</v>
      </c>
      <c r="AI30" t="s">
        <v>13</v>
      </c>
      <c r="AJ30" t="s">
        <v>14</v>
      </c>
      <c r="AK30" t="s">
        <v>15</v>
      </c>
      <c r="AL30" t="s">
        <v>16</v>
      </c>
      <c r="AM30" t="s">
        <v>17</v>
      </c>
      <c r="AN30" t="s">
        <v>18</v>
      </c>
      <c r="BH30">
        <v>0.33591588267847261</v>
      </c>
      <c r="BI30">
        <v>8.9866156787762913E-2</v>
      </c>
      <c r="BJ30">
        <v>-1.0344827586206896E-2</v>
      </c>
      <c r="BK30">
        <v>-3.5343035343035345E-2</v>
      </c>
      <c r="BL30">
        <v>0.40425531914893614</v>
      </c>
      <c r="BM30">
        <v>-0.27545691906005221</v>
      </c>
    </row>
    <row r="31" spans="1:65" ht="15" thickBot="1" x14ac:dyDescent="0.4">
      <c r="A31" s="52"/>
      <c r="B31" s="193"/>
      <c r="C31" s="78" t="s">
        <v>61</v>
      </c>
      <c r="D31" s="61">
        <f>SUM(D24:D30)</f>
        <v>3614</v>
      </c>
      <c r="E31" s="61">
        <f t="shared" ref="E31:N31" si="42">SUM(E24:E30)</f>
        <v>620</v>
      </c>
      <c r="F31" s="61">
        <f t="shared" si="42"/>
        <v>523</v>
      </c>
      <c r="G31" s="61">
        <f t="shared" si="42"/>
        <v>580</v>
      </c>
      <c r="H31" s="61">
        <f t="shared" si="42"/>
        <v>539</v>
      </c>
      <c r="I31" s="61">
        <f t="shared" si="42"/>
        <v>481</v>
      </c>
      <c r="J31" s="61">
        <f t="shared" si="42"/>
        <v>558</v>
      </c>
      <c r="K31" s="61">
        <f t="shared" si="42"/>
        <v>423</v>
      </c>
      <c r="L31" s="61">
        <f t="shared" si="42"/>
        <v>766</v>
      </c>
      <c r="M31" s="61">
        <f t="shared" si="42"/>
        <v>0</v>
      </c>
      <c r="N31" s="61">
        <f t="shared" si="42"/>
        <v>8104</v>
      </c>
      <c r="O31" s="62" t="s">
        <v>6</v>
      </c>
      <c r="P31" s="61" t="s">
        <v>8</v>
      </c>
      <c r="R31" t="str">
        <f t="shared" si="0"/>
        <v>yes</v>
      </c>
      <c r="V31" s="197" t="s">
        <v>59</v>
      </c>
      <c r="W31" s="198"/>
      <c r="X31" s="198"/>
      <c r="Y31" s="198"/>
      <c r="Z31" s="198"/>
      <c r="AA31" s="198"/>
      <c r="AB31" s="198"/>
      <c r="AC31" s="198"/>
      <c r="AD31" s="199"/>
      <c r="AF31">
        <f t="shared" ref="AF31:AN31" si="43">(AF14-AF15)/AF15</f>
        <v>0.33591588267847261</v>
      </c>
      <c r="AG31">
        <f t="shared" si="43"/>
        <v>-0.13225806451612904</v>
      </c>
      <c r="AH31">
        <f t="shared" si="43"/>
        <v>8.9866156787762913E-2</v>
      </c>
      <c r="AI31">
        <f t="shared" si="43"/>
        <v>-1.0344827586206896E-2</v>
      </c>
      <c r="AJ31">
        <f t="shared" si="43"/>
        <v>-0.10204081632653061</v>
      </c>
      <c r="AK31">
        <f t="shared" si="43"/>
        <v>-3.5343035343035345E-2</v>
      </c>
      <c r="AL31">
        <f t="shared" si="43"/>
        <v>2.8673835125448029E-2</v>
      </c>
      <c r="AM31">
        <f t="shared" si="43"/>
        <v>0.40425531914893614</v>
      </c>
      <c r="AN31">
        <f t="shared" si="43"/>
        <v>-0.27545691906005221</v>
      </c>
      <c r="BH31">
        <v>5.8582308142940832E-2</v>
      </c>
      <c r="BI31">
        <v>0.16222222222222221</v>
      </c>
      <c r="BJ31">
        <v>-0.28746928746928746</v>
      </c>
      <c r="BK31">
        <v>-0.10925925925925926</v>
      </c>
      <c r="BL31">
        <v>3.0673076923076925</v>
      </c>
      <c r="BM31">
        <v>1.9973368841544607E-2</v>
      </c>
    </row>
    <row r="32" spans="1:65" x14ac:dyDescent="0.35">
      <c r="A32" s="175" t="s">
        <v>4</v>
      </c>
      <c r="B32" s="179" t="s">
        <v>7</v>
      </c>
      <c r="C32" s="23" t="s">
        <v>22</v>
      </c>
      <c r="D32" s="23">
        <v>83</v>
      </c>
      <c r="E32" s="23">
        <v>0</v>
      </c>
      <c r="F32" s="23">
        <v>8</v>
      </c>
      <c r="G32" s="23">
        <v>4</v>
      </c>
      <c r="H32" s="23">
        <v>0</v>
      </c>
      <c r="I32" s="23">
        <v>3</v>
      </c>
      <c r="J32" s="23">
        <v>3</v>
      </c>
      <c r="K32" s="23">
        <v>0</v>
      </c>
      <c r="L32" s="23">
        <v>1</v>
      </c>
      <c r="M32" s="23">
        <v>0</v>
      </c>
      <c r="N32" s="23">
        <v>102</v>
      </c>
      <c r="O32" s="24" t="s">
        <v>4</v>
      </c>
      <c r="P32" s="23" t="s">
        <v>7</v>
      </c>
      <c r="R32" t="str">
        <f t="shared" si="0"/>
        <v>yes</v>
      </c>
      <c r="U32" t="s">
        <v>58</v>
      </c>
      <c r="V32" t="s">
        <v>10</v>
      </c>
      <c r="W32" t="s">
        <v>11</v>
      </c>
      <c r="X32" t="s">
        <v>12</v>
      </c>
      <c r="Y32" t="s">
        <v>13</v>
      </c>
      <c r="Z32" t="s">
        <v>14</v>
      </c>
      <c r="AA32" t="s">
        <v>15</v>
      </c>
      <c r="AB32" t="s">
        <v>16</v>
      </c>
      <c r="AC32" t="s">
        <v>17</v>
      </c>
      <c r="AD32" t="s">
        <v>18</v>
      </c>
      <c r="AF32">
        <f t="shared" ref="AF32:AN32" si="44">(AF15-AF16)/AF16</f>
        <v>5.8582308142940832E-2</v>
      </c>
      <c r="AG32">
        <f t="shared" si="44"/>
        <v>-2.2082018927444796E-2</v>
      </c>
      <c r="AH32">
        <f t="shared" si="44"/>
        <v>0.16222222222222221</v>
      </c>
      <c r="AI32">
        <f t="shared" si="44"/>
        <v>-0.28746928746928746</v>
      </c>
      <c r="AJ32">
        <f t="shared" si="44"/>
        <v>7.5848303393213579E-2</v>
      </c>
      <c r="AK32">
        <f t="shared" si="44"/>
        <v>-0.10925925925925926</v>
      </c>
      <c r="AL32">
        <f t="shared" si="44"/>
        <v>0.24553571428571427</v>
      </c>
      <c r="AM32">
        <f t="shared" si="44"/>
        <v>3.0673076923076925</v>
      </c>
      <c r="AN32">
        <f t="shared" si="44"/>
        <v>1.9973368841544607E-2</v>
      </c>
      <c r="AP32" t="s">
        <v>10</v>
      </c>
      <c r="AQ32" t="s">
        <v>12</v>
      </c>
      <c r="AR32" t="s">
        <v>13</v>
      </c>
      <c r="AS32" t="s">
        <v>14</v>
      </c>
      <c r="AT32" t="s">
        <v>15</v>
      </c>
      <c r="AU32" t="s">
        <v>16</v>
      </c>
      <c r="AV32" t="s">
        <v>17</v>
      </c>
      <c r="AW32" t="s">
        <v>18</v>
      </c>
      <c r="BH32">
        <v>3.2667876588021776E-2</v>
      </c>
      <c r="BI32">
        <v>0.10565110565110565</v>
      </c>
      <c r="BJ32">
        <v>0.33442622950819673</v>
      </c>
      <c r="BK32">
        <v>-0.22190201729106629</v>
      </c>
      <c r="BL32">
        <v>-0.45263157894736844</v>
      </c>
      <c r="BM32">
        <v>-7.5123152709359611E-2</v>
      </c>
    </row>
    <row r="33" spans="1:65" x14ac:dyDescent="0.35">
      <c r="A33" s="175"/>
      <c r="B33" s="180"/>
      <c r="C33" s="23" t="s">
        <v>23</v>
      </c>
      <c r="D33" s="23">
        <v>47</v>
      </c>
      <c r="E33" s="23">
        <v>0</v>
      </c>
      <c r="F33" s="23">
        <v>1</v>
      </c>
      <c r="G33" s="23">
        <v>2</v>
      </c>
      <c r="H33" s="23">
        <v>0</v>
      </c>
      <c r="I33" s="23">
        <v>1</v>
      </c>
      <c r="J33" s="23">
        <v>0</v>
      </c>
      <c r="K33" s="23">
        <v>0</v>
      </c>
      <c r="L33" s="23">
        <v>3</v>
      </c>
      <c r="M33" s="23">
        <v>0</v>
      </c>
      <c r="N33" s="23">
        <v>54</v>
      </c>
      <c r="O33" s="24" t="s">
        <v>4</v>
      </c>
      <c r="P33" s="23" t="s">
        <v>7</v>
      </c>
      <c r="R33" t="str">
        <f t="shared" si="0"/>
        <v>yes</v>
      </c>
      <c r="U33" t="s">
        <v>6</v>
      </c>
      <c r="V33">
        <v>3.0741924096271056</v>
      </c>
      <c r="W33">
        <v>2.4138331205756045</v>
      </c>
      <c r="X33">
        <v>1.8038547708927908</v>
      </c>
      <c r="Y33">
        <v>3.2187419628870453</v>
      </c>
      <c r="Z33">
        <v>2.0667094683420428</v>
      </c>
      <c r="AA33">
        <v>1.5470252295236075</v>
      </c>
      <c r="AB33">
        <v>2.3877529431321767</v>
      </c>
      <c r="AC33">
        <v>2.148936297465895</v>
      </c>
      <c r="AD33">
        <v>1.4721490379212565</v>
      </c>
      <c r="AF33">
        <f t="shared" ref="AF33:AN33" si="45">(AF16-AF17)/AF17</f>
        <v>3.2667876588021776E-2</v>
      </c>
      <c r="AG33">
        <f t="shared" si="45"/>
        <v>0.56930693069306926</v>
      </c>
      <c r="AH33">
        <f t="shared" si="45"/>
        <v>0.10565110565110565</v>
      </c>
      <c r="AI33">
        <f t="shared" si="45"/>
        <v>0.33442622950819673</v>
      </c>
      <c r="AJ33">
        <f t="shared" si="45"/>
        <v>0.21897810218978103</v>
      </c>
      <c r="AK33">
        <f t="shared" si="45"/>
        <v>-0.22190201729106629</v>
      </c>
      <c r="AL33">
        <f t="shared" si="45"/>
        <v>-4.2735042735042736E-2</v>
      </c>
      <c r="AM33">
        <f t="shared" si="45"/>
        <v>-0.45263157894736844</v>
      </c>
      <c r="AN33">
        <f t="shared" si="45"/>
        <v>-7.5123152709359611E-2</v>
      </c>
      <c r="AP33">
        <f>(AF14-AF15)/AF15</f>
        <v>0.33591588267847261</v>
      </c>
      <c r="AQ33">
        <f t="shared" ref="AQ33:AW38" si="46">(AH14-AH15)/AH15</f>
        <v>8.9866156787762913E-2</v>
      </c>
      <c r="AR33">
        <f t="shared" si="46"/>
        <v>-1.0344827586206896E-2</v>
      </c>
      <c r="AS33">
        <f t="shared" si="46"/>
        <v>-0.10204081632653061</v>
      </c>
      <c r="AT33">
        <f t="shared" si="46"/>
        <v>-3.5343035343035345E-2</v>
      </c>
      <c r="AU33">
        <f t="shared" si="46"/>
        <v>2.8673835125448029E-2</v>
      </c>
      <c r="AV33">
        <f t="shared" si="46"/>
        <v>0.40425531914893614</v>
      </c>
      <c r="AW33">
        <f t="shared" si="46"/>
        <v>-0.27545691906005221</v>
      </c>
      <c r="BH33">
        <v>-0.13387477076237883</v>
      </c>
      <c r="BI33">
        <v>-0.18924302788844621</v>
      </c>
      <c r="BJ33">
        <v>0.18217054263565891</v>
      </c>
      <c r="BK33">
        <v>-0.11025641025641025</v>
      </c>
      <c r="BL33">
        <v>-0.107981220657277</v>
      </c>
      <c r="BM33">
        <v>1.1036269430051813</v>
      </c>
    </row>
    <row r="34" spans="1:65" x14ac:dyDescent="0.35">
      <c r="A34" s="175"/>
      <c r="B34" s="180"/>
      <c r="C34" s="23" t="s">
        <v>24</v>
      </c>
      <c r="D34" s="23">
        <v>17</v>
      </c>
      <c r="E34" s="23">
        <v>0</v>
      </c>
      <c r="F34" s="23">
        <v>4</v>
      </c>
      <c r="G34" s="23">
        <v>1</v>
      </c>
      <c r="H34" s="23">
        <v>1</v>
      </c>
      <c r="I34" s="23">
        <v>0</v>
      </c>
      <c r="J34" s="23">
        <v>0</v>
      </c>
      <c r="K34" s="23">
        <v>0</v>
      </c>
      <c r="L34" s="23">
        <v>0</v>
      </c>
      <c r="M34" s="23">
        <v>0</v>
      </c>
      <c r="N34" s="23">
        <v>23</v>
      </c>
      <c r="O34" s="24" t="s">
        <v>4</v>
      </c>
      <c r="P34" s="23" t="s">
        <v>7</v>
      </c>
      <c r="R34" t="str">
        <f t="shared" si="0"/>
        <v>yes</v>
      </c>
      <c r="U34" t="s">
        <v>5</v>
      </c>
      <c r="V34">
        <v>2.1351790480208304</v>
      </c>
      <c r="W34">
        <v>0.73649754500817355</v>
      </c>
      <c r="X34">
        <v>1.4000350106004305</v>
      </c>
      <c r="Y34">
        <v>3.0254610857294337</v>
      </c>
      <c r="Z34">
        <v>1.3651083874366619</v>
      </c>
      <c r="AA34">
        <v>1.4157821422461858</v>
      </c>
      <c r="AB34">
        <v>1.1928247006468824</v>
      </c>
      <c r="AC34">
        <v>1.8996599261345024</v>
      </c>
      <c r="AD34">
        <v>1.2123867336751264</v>
      </c>
      <c r="AF34">
        <f t="shared" ref="AF34:AN34" si="47">(AF17-AF18)/AF18</f>
        <v>-0.13387477076237883</v>
      </c>
      <c r="AG34">
        <f t="shared" si="47"/>
        <v>-6.2645011600928072E-2</v>
      </c>
      <c r="AH34">
        <f t="shared" si="47"/>
        <v>-0.18924302788844621</v>
      </c>
      <c r="AI34">
        <f t="shared" si="47"/>
        <v>0.18217054263565891</v>
      </c>
      <c r="AJ34">
        <f t="shared" si="47"/>
        <v>0.20882352941176471</v>
      </c>
      <c r="AK34">
        <f t="shared" si="47"/>
        <v>-0.11025641025641025</v>
      </c>
      <c r="AL34">
        <f t="shared" si="47"/>
        <v>0.60824742268041232</v>
      </c>
      <c r="AM34">
        <f t="shared" si="47"/>
        <v>-0.107981220657277</v>
      </c>
      <c r="AN34">
        <f t="shared" si="47"/>
        <v>1.1036269430051813</v>
      </c>
      <c r="AP34">
        <f t="shared" ref="AP34:AP38" si="48">(AF15-AF16)/AF16</f>
        <v>5.8582308142940832E-2</v>
      </c>
      <c r="AQ34">
        <f t="shared" si="46"/>
        <v>0.16222222222222221</v>
      </c>
      <c r="AR34">
        <f t="shared" si="46"/>
        <v>-0.28746928746928746</v>
      </c>
      <c r="AS34">
        <f t="shared" si="46"/>
        <v>7.5848303393213579E-2</v>
      </c>
      <c r="AT34">
        <f t="shared" si="46"/>
        <v>-0.10925925925925926</v>
      </c>
      <c r="AU34">
        <f t="shared" si="46"/>
        <v>0.24553571428571427</v>
      </c>
      <c r="AV34">
        <f t="shared" si="46"/>
        <v>3.0673076923076925</v>
      </c>
      <c r="AW34">
        <f t="shared" si="46"/>
        <v>1.9973368841544607E-2</v>
      </c>
      <c r="BH34">
        <v>0.35643212508884153</v>
      </c>
      <c r="BI34">
        <v>6.13107822410148E-2</v>
      </c>
      <c r="BJ34">
        <v>-0.2411764705882353</v>
      </c>
      <c r="BK34">
        <v>0.82242990654205606</v>
      </c>
      <c r="BL34">
        <v>-0.22826086956521738</v>
      </c>
      <c r="BM34">
        <v>-0.41603630862329805</v>
      </c>
    </row>
    <row r="35" spans="1:65" x14ac:dyDescent="0.35">
      <c r="A35" s="175"/>
      <c r="B35" s="180"/>
      <c r="C35" s="23" t="s">
        <v>25</v>
      </c>
      <c r="D35" s="23">
        <v>18</v>
      </c>
      <c r="E35" s="23">
        <v>2</v>
      </c>
      <c r="F35" s="23">
        <v>4</v>
      </c>
      <c r="G35" s="23">
        <v>2</v>
      </c>
      <c r="H35" s="23">
        <v>6</v>
      </c>
      <c r="I35" s="23">
        <v>3</v>
      </c>
      <c r="J35" s="23">
        <v>1</v>
      </c>
      <c r="K35" s="23">
        <v>4</v>
      </c>
      <c r="L35" s="23">
        <v>6</v>
      </c>
      <c r="M35" s="23">
        <v>0</v>
      </c>
      <c r="N35" s="23">
        <v>46</v>
      </c>
      <c r="O35" s="24" t="s">
        <v>4</v>
      </c>
      <c r="P35" s="23" t="s">
        <v>7</v>
      </c>
      <c r="R35" t="str">
        <f t="shared" si="0"/>
        <v>yes</v>
      </c>
      <c r="U35" t="s">
        <v>4</v>
      </c>
      <c r="V35">
        <v>0.6826328492066891</v>
      </c>
      <c r="W35">
        <v>-5.8418039490588262E-2</v>
      </c>
      <c r="X35">
        <v>0.31335117965208281</v>
      </c>
      <c r="Y35">
        <v>2.0545905978306847</v>
      </c>
      <c r="Z35">
        <v>1.489227866016666</v>
      </c>
      <c r="AA35">
        <v>0.98800572566181188</v>
      </c>
      <c r="AB35">
        <v>0.30217504678345053</v>
      </c>
      <c r="AC35">
        <v>1.0606060606060614</v>
      </c>
      <c r="AD35">
        <v>0.3088923820631107</v>
      </c>
      <c r="AF35">
        <f t="shared" ref="AF35:AN35" si="49">(AF18-AF19)/AF19</f>
        <v>0.35643212508884153</v>
      </c>
      <c r="AG35">
        <f t="shared" si="49"/>
        <v>-0.21493624772313297</v>
      </c>
      <c r="AH35">
        <f t="shared" si="49"/>
        <v>6.13107822410148E-2</v>
      </c>
      <c r="AI35">
        <f t="shared" si="49"/>
        <v>-0.2411764705882353</v>
      </c>
      <c r="AJ35">
        <f t="shared" si="49"/>
        <v>-0.52045133991537373</v>
      </c>
      <c r="AK35">
        <f t="shared" si="49"/>
        <v>0.82242990654205606</v>
      </c>
      <c r="AL35">
        <f t="shared" si="49"/>
        <v>-0.3590308370044053</v>
      </c>
      <c r="AM35">
        <f t="shared" si="49"/>
        <v>-0.22826086956521738</v>
      </c>
      <c r="AN35">
        <f t="shared" si="49"/>
        <v>-0.41603630862329805</v>
      </c>
      <c r="AP35">
        <f t="shared" si="48"/>
        <v>3.2667876588021776E-2</v>
      </c>
      <c r="AQ35">
        <f t="shared" si="46"/>
        <v>0.10565110565110565</v>
      </c>
      <c r="AR35">
        <f t="shared" si="46"/>
        <v>0.33442622950819673</v>
      </c>
      <c r="AS35">
        <f t="shared" si="46"/>
        <v>0.21897810218978103</v>
      </c>
      <c r="AT35">
        <f t="shared" si="46"/>
        <v>-0.22190201729106629</v>
      </c>
      <c r="AU35">
        <f t="shared" si="46"/>
        <v>-4.2735042735042736E-2</v>
      </c>
      <c r="AV35">
        <f t="shared" si="46"/>
        <v>-0.45263157894736844</v>
      </c>
      <c r="AW35">
        <f t="shared" si="46"/>
        <v>-7.5123152709359611E-2</v>
      </c>
      <c r="BH35">
        <v>-0.2467880085653105</v>
      </c>
      <c r="BI35">
        <v>-0.11918063314711359</v>
      </c>
      <c r="BJ35">
        <v>0.17850953206239167</v>
      </c>
      <c r="BK35">
        <v>0.35873015873015873</v>
      </c>
      <c r="BL35">
        <v>-9.2105263157894732E-2</v>
      </c>
      <c r="BM35">
        <v>-0.16329113924050634</v>
      </c>
    </row>
    <row r="36" spans="1:65" x14ac:dyDescent="0.35">
      <c r="A36" s="175"/>
      <c r="B36" s="180"/>
      <c r="C36" s="23" t="s">
        <v>26</v>
      </c>
      <c r="D36" s="23">
        <v>3</v>
      </c>
      <c r="E36" s="23">
        <v>0</v>
      </c>
      <c r="F36" s="23">
        <v>1</v>
      </c>
      <c r="G36" s="23">
        <v>0</v>
      </c>
      <c r="H36" s="23">
        <v>0</v>
      </c>
      <c r="I36" s="23">
        <v>0</v>
      </c>
      <c r="J36" s="23">
        <v>0</v>
      </c>
      <c r="K36" s="23">
        <v>0</v>
      </c>
      <c r="L36" s="23">
        <v>0</v>
      </c>
      <c r="M36" s="23">
        <v>0</v>
      </c>
      <c r="N36" s="23">
        <v>4</v>
      </c>
      <c r="O36" s="24" t="s">
        <v>4</v>
      </c>
      <c r="P36" s="23" t="s">
        <v>7</v>
      </c>
      <c r="R36" t="str">
        <f t="shared" si="0"/>
        <v>yes</v>
      </c>
      <c r="U36" t="s">
        <v>3</v>
      </c>
      <c r="V36">
        <v>1.6212868332240147</v>
      </c>
      <c r="W36">
        <v>2.3372677340196477E-2</v>
      </c>
      <c r="X36">
        <v>0.83536962056197928</v>
      </c>
      <c r="Y36">
        <v>2.1389911840196412</v>
      </c>
      <c r="Z36">
        <v>1.6838031885124072</v>
      </c>
      <c r="AA36">
        <v>0.97018024752887566</v>
      </c>
      <c r="AB36">
        <v>1.4976958525345563</v>
      </c>
      <c r="AC36">
        <v>1.2661385891598569</v>
      </c>
      <c r="AD36">
        <v>0.38473774629366098</v>
      </c>
      <c r="AF36">
        <f t="shared" ref="AF36:AN36" si="50">(AF19-AF20)/AF20</f>
        <v>-0.2467880085653105</v>
      </c>
      <c r="AG36">
        <f t="shared" si="50"/>
        <v>0.28873239436619719</v>
      </c>
      <c r="AH36">
        <f t="shared" si="50"/>
        <v>-0.11918063314711359</v>
      </c>
      <c r="AI36">
        <f t="shared" si="50"/>
        <v>0.17850953206239167</v>
      </c>
      <c r="AJ36">
        <f t="shared" si="50"/>
        <v>0.63364055299539168</v>
      </c>
      <c r="AK36">
        <f t="shared" si="50"/>
        <v>0.35873015873015873</v>
      </c>
      <c r="AL36">
        <f t="shared" si="50"/>
        <v>0.48366013071895425</v>
      </c>
      <c r="AM36">
        <f t="shared" si="50"/>
        <v>-9.2105263157894732E-2</v>
      </c>
      <c r="AN36">
        <f t="shared" si="50"/>
        <v>-0.16329113924050634</v>
      </c>
      <c r="AP36">
        <f t="shared" si="48"/>
        <v>-0.13387477076237883</v>
      </c>
      <c r="AQ36">
        <f t="shared" si="46"/>
        <v>-0.18924302788844621</v>
      </c>
      <c r="AR36">
        <f t="shared" si="46"/>
        <v>0.18217054263565891</v>
      </c>
      <c r="AS36">
        <f t="shared" si="46"/>
        <v>0.20882352941176471</v>
      </c>
      <c r="AT36">
        <f t="shared" si="46"/>
        <v>-0.11025641025641025</v>
      </c>
      <c r="AU36">
        <f t="shared" si="46"/>
        <v>0.60824742268041232</v>
      </c>
      <c r="AV36">
        <f t="shared" si="46"/>
        <v>-0.107981220657277</v>
      </c>
      <c r="AW36">
        <f t="shared" si="46"/>
        <v>1.1036269430051813</v>
      </c>
    </row>
    <row r="37" spans="1:65" x14ac:dyDescent="0.35">
      <c r="A37" s="175"/>
      <c r="B37" s="180"/>
      <c r="C37" s="23" t="s">
        <v>27</v>
      </c>
      <c r="D37" s="23">
        <v>7</v>
      </c>
      <c r="E37" s="23">
        <v>1</v>
      </c>
      <c r="F37" s="23">
        <v>0</v>
      </c>
      <c r="G37" s="23">
        <v>0</v>
      </c>
      <c r="H37" s="23">
        <v>0</v>
      </c>
      <c r="I37" s="23">
        <v>0</v>
      </c>
      <c r="J37" s="23">
        <v>0</v>
      </c>
      <c r="K37" s="23">
        <v>1</v>
      </c>
      <c r="L37" s="23">
        <v>0</v>
      </c>
      <c r="M37" s="23">
        <v>0</v>
      </c>
      <c r="N37" s="23">
        <v>9</v>
      </c>
      <c r="O37" s="24" t="s">
        <v>4</v>
      </c>
      <c r="P37" s="23" t="s">
        <v>7</v>
      </c>
      <c r="R37" t="str">
        <f t="shared" si="0"/>
        <v>yes</v>
      </c>
      <c r="U37" t="s">
        <v>2</v>
      </c>
      <c r="V37">
        <v>1.8539966879633214</v>
      </c>
      <c r="W37">
        <v>0.35182361909228888</v>
      </c>
      <c r="X37">
        <v>0.76523835390489126</v>
      </c>
      <c r="Y37">
        <v>2.6516333935695227</v>
      </c>
      <c r="Z37">
        <v>2.1412471825694892</v>
      </c>
      <c r="AA37">
        <v>0.86631589530480391</v>
      </c>
      <c r="AB37">
        <v>1.1384213261112532</v>
      </c>
      <c r="AC37">
        <v>1.4772525886731256</v>
      </c>
      <c r="AD37">
        <v>0.12189010354288876</v>
      </c>
      <c r="AP37">
        <f t="shared" si="48"/>
        <v>0.35643212508884153</v>
      </c>
      <c r="AQ37">
        <f t="shared" si="46"/>
        <v>6.13107822410148E-2</v>
      </c>
      <c r="AR37">
        <f t="shared" si="46"/>
        <v>-0.2411764705882353</v>
      </c>
      <c r="AS37">
        <f t="shared" si="46"/>
        <v>-0.52045133991537373</v>
      </c>
      <c r="AT37">
        <f t="shared" si="46"/>
        <v>0.82242990654205606</v>
      </c>
      <c r="AU37">
        <f t="shared" si="46"/>
        <v>-0.3590308370044053</v>
      </c>
      <c r="AV37">
        <f t="shared" si="46"/>
        <v>-0.22826086956521738</v>
      </c>
      <c r="AW37">
        <f t="shared" si="46"/>
        <v>-0.41603630862329805</v>
      </c>
    </row>
    <row r="38" spans="1:65" ht="15" thickBot="1" x14ac:dyDescent="0.4">
      <c r="A38" s="175"/>
      <c r="B38" s="196"/>
      <c r="C38" s="63" t="s">
        <v>61</v>
      </c>
      <c r="D38" s="63">
        <f>SUM(D32:D37)</f>
        <v>175</v>
      </c>
      <c r="E38" s="63">
        <f t="shared" ref="E38:M38" si="51">SUM(E32:E37)</f>
        <v>3</v>
      </c>
      <c r="F38" s="63">
        <f t="shared" si="51"/>
        <v>18</v>
      </c>
      <c r="G38" s="63">
        <f t="shared" si="51"/>
        <v>9</v>
      </c>
      <c r="H38" s="63">
        <f t="shared" si="51"/>
        <v>7</v>
      </c>
      <c r="I38" s="63">
        <f t="shared" si="51"/>
        <v>7</v>
      </c>
      <c r="J38" s="63">
        <f t="shared" si="51"/>
        <v>4</v>
      </c>
      <c r="K38" s="63">
        <f t="shared" si="51"/>
        <v>5</v>
      </c>
      <c r="L38" s="63">
        <f t="shared" si="51"/>
        <v>10</v>
      </c>
      <c r="M38" s="63">
        <f t="shared" si="51"/>
        <v>0</v>
      </c>
      <c r="N38" s="63">
        <f>SUM(N32:N37)</f>
        <v>238</v>
      </c>
      <c r="O38" s="64" t="s">
        <v>6</v>
      </c>
      <c r="P38" s="63" t="s">
        <v>7</v>
      </c>
      <c r="R38" t="str">
        <f t="shared" si="0"/>
        <v>yes</v>
      </c>
      <c r="U38" t="s">
        <v>1</v>
      </c>
      <c r="V38">
        <v>1.811163794589139</v>
      </c>
      <c r="W38">
        <v>9.3907735649720311E-2</v>
      </c>
      <c r="X38">
        <v>1.0124919397150753</v>
      </c>
      <c r="Y38">
        <v>2.382306717958349</v>
      </c>
      <c r="Z38">
        <v>2.2717402198242835</v>
      </c>
      <c r="AA38">
        <v>0.49000623031976154</v>
      </c>
      <c r="AB38">
        <v>1.6046459539884323</v>
      </c>
      <c r="AC38">
        <v>1.6214825534651842</v>
      </c>
      <c r="AD38">
        <v>0.1373678950390135</v>
      </c>
      <c r="AP38">
        <f t="shared" si="48"/>
        <v>-0.2467880085653105</v>
      </c>
      <c r="AQ38">
        <f t="shared" si="46"/>
        <v>-0.11918063314711359</v>
      </c>
      <c r="AR38">
        <f t="shared" si="46"/>
        <v>0.17850953206239167</v>
      </c>
      <c r="AS38">
        <f t="shared" si="46"/>
        <v>0.63364055299539168</v>
      </c>
      <c r="AT38">
        <f t="shared" si="46"/>
        <v>0.35873015873015873</v>
      </c>
      <c r="AU38">
        <f t="shared" si="46"/>
        <v>0.48366013071895425</v>
      </c>
      <c r="AV38">
        <f t="shared" si="46"/>
        <v>-9.2105263157894732E-2</v>
      </c>
      <c r="AW38">
        <f t="shared" si="46"/>
        <v>-0.16329113924050634</v>
      </c>
    </row>
    <row r="39" spans="1:65" x14ac:dyDescent="0.35">
      <c r="A39" s="175"/>
      <c r="B39" s="179" t="s">
        <v>8</v>
      </c>
      <c r="C39" s="23" t="s">
        <v>28</v>
      </c>
      <c r="D39" s="23">
        <v>845</v>
      </c>
      <c r="E39" s="23">
        <v>74</v>
      </c>
      <c r="F39" s="23">
        <v>85</v>
      </c>
      <c r="G39" s="23">
        <v>205</v>
      </c>
      <c r="H39" s="23">
        <v>98</v>
      </c>
      <c r="I39" s="23">
        <v>123</v>
      </c>
      <c r="J39" s="23">
        <v>117</v>
      </c>
      <c r="K39" s="23">
        <v>26</v>
      </c>
      <c r="L39" s="23">
        <v>128</v>
      </c>
      <c r="M39" s="23">
        <v>0</v>
      </c>
      <c r="N39" s="23">
        <v>1701</v>
      </c>
      <c r="O39" s="24" t="s">
        <v>4</v>
      </c>
      <c r="P39" s="23" t="s">
        <v>8</v>
      </c>
      <c r="R39" t="str">
        <f t="shared" si="0"/>
        <v>yes</v>
      </c>
      <c r="U39" t="s">
        <v>0</v>
      </c>
      <c r="V39">
        <v>1.9516862018413652</v>
      </c>
      <c r="W39">
        <v>8.2236842105263885E-2</v>
      </c>
      <c r="X39">
        <v>1.2149146276207641</v>
      </c>
      <c r="Y39">
        <v>2.203762638521793</v>
      </c>
      <c r="Z39">
        <v>2.4033116094490357</v>
      </c>
      <c r="AA39">
        <v>0.42444534632034836</v>
      </c>
      <c r="AB39">
        <v>2.5747903572542108</v>
      </c>
      <c r="AC39">
        <v>1.7093849354319572</v>
      </c>
      <c r="AD39">
        <v>0.35209764841448798</v>
      </c>
    </row>
    <row r="40" spans="1:65" x14ac:dyDescent="0.35">
      <c r="A40" s="175"/>
      <c r="B40" s="180"/>
      <c r="C40" s="23" t="s">
        <v>29</v>
      </c>
      <c r="D40" s="23">
        <v>298</v>
      </c>
      <c r="E40" s="23">
        <v>19</v>
      </c>
      <c r="F40" s="23">
        <v>16</v>
      </c>
      <c r="G40" s="23">
        <v>78</v>
      </c>
      <c r="H40" s="23">
        <v>16</v>
      </c>
      <c r="I40" s="23">
        <v>49</v>
      </c>
      <c r="J40" s="23">
        <v>34</v>
      </c>
      <c r="K40" s="23">
        <v>4</v>
      </c>
      <c r="L40" s="23">
        <v>50</v>
      </c>
      <c r="M40" s="23">
        <v>0</v>
      </c>
      <c r="N40" s="23">
        <v>564</v>
      </c>
      <c r="O40" s="24" t="s">
        <v>4</v>
      </c>
      <c r="P40" s="23" t="s">
        <v>8</v>
      </c>
      <c r="R40" t="str">
        <f t="shared" si="0"/>
        <v>yes</v>
      </c>
    </row>
    <row r="41" spans="1:65" x14ac:dyDescent="0.35">
      <c r="A41" s="175"/>
      <c r="B41" s="180"/>
      <c r="C41" s="23" t="s">
        <v>30</v>
      </c>
      <c r="D41" s="23">
        <v>79</v>
      </c>
      <c r="E41" s="23">
        <v>9</v>
      </c>
      <c r="F41" s="23">
        <v>18</v>
      </c>
      <c r="G41" s="23">
        <v>16</v>
      </c>
      <c r="H41" s="23">
        <v>9</v>
      </c>
      <c r="I41" s="23">
        <v>26</v>
      </c>
      <c r="J41" s="23">
        <v>45</v>
      </c>
      <c r="K41" s="23">
        <v>9</v>
      </c>
      <c r="L41" s="23">
        <v>23</v>
      </c>
      <c r="M41" s="23">
        <v>0</v>
      </c>
      <c r="N41" s="23">
        <v>234</v>
      </c>
      <c r="O41" s="24" t="s">
        <v>4</v>
      </c>
      <c r="P41" s="23" t="s">
        <v>8</v>
      </c>
      <c r="R41" t="str">
        <f t="shared" si="0"/>
        <v>yes</v>
      </c>
      <c r="V41">
        <f t="shared" ref="V41:AD41" si="52">PEARSON(V33:V39,V4:V10)</f>
        <v>0.70306371758982023</v>
      </c>
      <c r="W41">
        <f t="shared" si="52"/>
        <v>0.19700003121424653</v>
      </c>
      <c r="X41">
        <f t="shared" si="52"/>
        <v>0.76525805393231783</v>
      </c>
      <c r="Y41">
        <f t="shared" si="52"/>
        <v>-0.52175114927999444</v>
      </c>
      <c r="Z41">
        <f t="shared" si="52"/>
        <v>2.5225972215264118E-2</v>
      </c>
      <c r="AA41">
        <f t="shared" si="52"/>
        <v>0.20378166057610392</v>
      </c>
      <c r="AB41">
        <f t="shared" si="52"/>
        <v>-4.4287418178458E-2</v>
      </c>
      <c r="AC41">
        <f t="shared" si="52"/>
        <v>0.96807032702516693</v>
      </c>
      <c r="AD41">
        <f t="shared" si="52"/>
        <v>4.3383318320027807E-2</v>
      </c>
    </row>
    <row r="42" spans="1:65" x14ac:dyDescent="0.35">
      <c r="A42" s="175"/>
      <c r="B42" s="180"/>
      <c r="C42" s="23" t="s">
        <v>31</v>
      </c>
      <c r="D42" s="23">
        <v>4</v>
      </c>
      <c r="E42" s="23">
        <v>1</v>
      </c>
      <c r="F42" s="23">
        <v>0</v>
      </c>
      <c r="G42" s="23">
        <v>0</v>
      </c>
      <c r="H42" s="23">
        <v>1</v>
      </c>
      <c r="I42" s="23">
        <v>0</v>
      </c>
      <c r="J42" s="23">
        <v>4</v>
      </c>
      <c r="K42" s="23">
        <v>0</v>
      </c>
      <c r="L42" s="23">
        <v>5</v>
      </c>
      <c r="M42" s="23">
        <v>0</v>
      </c>
      <c r="N42" s="23">
        <v>15</v>
      </c>
      <c r="O42" s="24" t="s">
        <v>4</v>
      </c>
      <c r="P42" s="23" t="s">
        <v>8</v>
      </c>
      <c r="R42" t="str">
        <f t="shared" si="0"/>
        <v>yes</v>
      </c>
    </row>
    <row r="43" spans="1:65" x14ac:dyDescent="0.35">
      <c r="A43" s="175"/>
      <c r="B43" s="180"/>
      <c r="C43" s="23" t="s">
        <v>32</v>
      </c>
      <c r="D43" s="23">
        <v>1406</v>
      </c>
      <c r="E43" s="23">
        <v>289</v>
      </c>
      <c r="F43" s="23">
        <v>164</v>
      </c>
      <c r="G43" s="23">
        <v>331</v>
      </c>
      <c r="H43" s="23">
        <v>259</v>
      </c>
      <c r="I43" s="23">
        <v>226</v>
      </c>
      <c r="J43" s="23">
        <v>195</v>
      </c>
      <c r="K43" s="23">
        <v>32</v>
      </c>
      <c r="L43" s="23">
        <v>379</v>
      </c>
      <c r="M43" s="23">
        <v>0</v>
      </c>
      <c r="N43" s="23">
        <v>3281</v>
      </c>
      <c r="O43" s="24" t="s">
        <v>4</v>
      </c>
      <c r="P43" s="23" t="s">
        <v>8</v>
      </c>
      <c r="R43" t="str">
        <f t="shared" si="0"/>
        <v>yes</v>
      </c>
      <c r="V43" s="145" t="s">
        <v>10</v>
      </c>
      <c r="W43" s="145" t="s">
        <v>11</v>
      </c>
      <c r="X43" s="145" t="s">
        <v>12</v>
      </c>
      <c r="Y43" s="145" t="s">
        <v>13</v>
      </c>
      <c r="Z43" s="145" t="s">
        <v>14</v>
      </c>
      <c r="AA43" s="145" t="s">
        <v>15</v>
      </c>
      <c r="AB43" s="145" t="s">
        <v>16</v>
      </c>
      <c r="AC43" s="145" t="s">
        <v>17</v>
      </c>
      <c r="AD43" s="145" t="s">
        <v>18</v>
      </c>
      <c r="AE43" s="145" t="s">
        <v>20</v>
      </c>
    </row>
    <row r="44" spans="1:65" x14ac:dyDescent="0.35">
      <c r="A44" s="175"/>
      <c r="B44" s="180"/>
      <c r="C44" s="23" t="s">
        <v>33</v>
      </c>
      <c r="D44" s="23">
        <v>399</v>
      </c>
      <c r="E44" s="23">
        <v>62</v>
      </c>
      <c r="F44" s="23">
        <v>118</v>
      </c>
      <c r="G44" s="23">
        <v>123</v>
      </c>
      <c r="H44" s="23">
        <v>52</v>
      </c>
      <c r="I44" s="23">
        <v>70</v>
      </c>
      <c r="J44" s="23">
        <v>29</v>
      </c>
      <c r="K44" s="23">
        <v>20</v>
      </c>
      <c r="L44" s="23">
        <v>78</v>
      </c>
      <c r="M44" s="23">
        <v>0</v>
      </c>
      <c r="N44" s="23">
        <v>951</v>
      </c>
      <c r="O44" s="24" t="s">
        <v>4</v>
      </c>
      <c r="P44" s="23" t="s">
        <v>8</v>
      </c>
      <c r="R44" t="str">
        <f t="shared" si="0"/>
        <v>yes</v>
      </c>
      <c r="U44" s="145" t="s">
        <v>76</v>
      </c>
      <c r="V44" s="156">
        <f>AF14-AF20</f>
        <v>1092</v>
      </c>
      <c r="W44" s="156">
        <f t="shared" ref="W44:AD44" si="53">AG14-AG20</f>
        <v>112</v>
      </c>
      <c r="X44" s="156">
        <f t="shared" si="53"/>
        <v>33</v>
      </c>
      <c r="Y44" s="156">
        <f t="shared" si="53"/>
        <v>-3</v>
      </c>
      <c r="Z44" s="156">
        <f t="shared" si="53"/>
        <v>50</v>
      </c>
      <c r="AA44" s="156">
        <f t="shared" si="53"/>
        <v>149</v>
      </c>
      <c r="AB44" s="156">
        <f t="shared" si="53"/>
        <v>268</v>
      </c>
      <c r="AC44" s="156">
        <f t="shared" si="53"/>
        <v>290</v>
      </c>
      <c r="AD44" s="156">
        <f t="shared" si="53"/>
        <v>-235</v>
      </c>
      <c r="AE44" s="157">
        <f>SUM(V44:AD44)</f>
        <v>1756</v>
      </c>
    </row>
    <row r="45" spans="1:65" x14ac:dyDescent="0.35">
      <c r="A45" s="175"/>
      <c r="B45" s="180"/>
      <c r="C45" s="23" t="s">
        <v>34</v>
      </c>
      <c r="D45" s="23">
        <v>383</v>
      </c>
      <c r="E45" s="23">
        <v>180</v>
      </c>
      <c r="F45" s="23">
        <v>49</v>
      </c>
      <c r="G45" s="23">
        <v>61</v>
      </c>
      <c r="H45" s="23">
        <v>66</v>
      </c>
      <c r="I45" s="23">
        <v>46</v>
      </c>
      <c r="J45" s="23">
        <v>24</v>
      </c>
      <c r="K45" s="23">
        <v>13</v>
      </c>
      <c r="L45" s="23">
        <v>88</v>
      </c>
      <c r="M45" s="23">
        <v>0</v>
      </c>
      <c r="N45" s="23">
        <v>910</v>
      </c>
      <c r="O45" s="24" t="s">
        <v>4</v>
      </c>
      <c r="P45" s="23" t="s">
        <v>8</v>
      </c>
      <c r="R45" t="str">
        <f t="shared" si="0"/>
        <v>yes</v>
      </c>
      <c r="U45" s="145" t="s">
        <v>77</v>
      </c>
      <c r="V45" s="156">
        <f>AF4-AF10</f>
        <v>35</v>
      </c>
      <c r="W45" s="156">
        <f t="shared" ref="W45:AD45" si="54">AG4-AG10</f>
        <v>3</v>
      </c>
      <c r="X45" s="156">
        <f t="shared" si="54"/>
        <v>-2</v>
      </c>
      <c r="Y45" s="156">
        <f t="shared" si="54"/>
        <v>12</v>
      </c>
      <c r="Z45" s="156">
        <f t="shared" si="54"/>
        <v>-2</v>
      </c>
      <c r="AA45" s="156">
        <f t="shared" si="54"/>
        <v>-1</v>
      </c>
      <c r="AB45" s="156">
        <f t="shared" si="54"/>
        <v>2</v>
      </c>
      <c r="AC45" s="156">
        <f t="shared" si="54"/>
        <v>5</v>
      </c>
      <c r="AD45" s="156">
        <f t="shared" si="54"/>
        <v>4</v>
      </c>
      <c r="AE45" s="157">
        <f t="shared" ref="AE45:AE46" si="55">SUM(V45:AD45)</f>
        <v>56</v>
      </c>
    </row>
    <row r="46" spans="1:65" ht="15" thickBot="1" x14ac:dyDescent="0.4">
      <c r="A46" s="53"/>
      <c r="B46" s="196"/>
      <c r="C46" s="77" t="s">
        <v>61</v>
      </c>
      <c r="D46" s="63">
        <f>SUM(D39:D45)</f>
        <v>3414</v>
      </c>
      <c r="E46" s="63">
        <f t="shared" ref="E46:M46" si="56">SUM(E39:E45)</f>
        <v>634</v>
      </c>
      <c r="F46" s="63">
        <f t="shared" si="56"/>
        <v>450</v>
      </c>
      <c r="G46" s="63">
        <f t="shared" si="56"/>
        <v>814</v>
      </c>
      <c r="H46" s="63">
        <f t="shared" si="56"/>
        <v>501</v>
      </c>
      <c r="I46" s="63">
        <f t="shared" si="56"/>
        <v>540</v>
      </c>
      <c r="J46" s="63">
        <f t="shared" si="56"/>
        <v>448</v>
      </c>
      <c r="K46" s="63">
        <f t="shared" si="56"/>
        <v>104</v>
      </c>
      <c r="L46" s="63">
        <f t="shared" si="56"/>
        <v>751</v>
      </c>
      <c r="M46" s="63">
        <f t="shared" si="56"/>
        <v>0</v>
      </c>
      <c r="N46" s="63">
        <f>SUM(N39:N45)</f>
        <v>7656</v>
      </c>
      <c r="O46" s="64" t="s">
        <v>6</v>
      </c>
      <c r="P46" s="63" t="s">
        <v>8</v>
      </c>
      <c r="R46" t="str">
        <f t="shared" si="0"/>
        <v>yes</v>
      </c>
      <c r="U46" s="145" t="s">
        <v>78</v>
      </c>
      <c r="V46" s="158">
        <f>SUM(V44:V45)</f>
        <v>1127</v>
      </c>
      <c r="W46" s="158">
        <f t="shared" ref="W46:AD46" si="57">SUM(W44:W45)</f>
        <v>115</v>
      </c>
      <c r="X46" s="158">
        <f t="shared" si="57"/>
        <v>31</v>
      </c>
      <c r="Y46" s="158">
        <f t="shared" si="57"/>
        <v>9</v>
      </c>
      <c r="Z46" s="158">
        <f t="shared" si="57"/>
        <v>48</v>
      </c>
      <c r="AA46" s="158">
        <f t="shared" si="57"/>
        <v>148</v>
      </c>
      <c r="AB46" s="158">
        <f t="shared" si="57"/>
        <v>270</v>
      </c>
      <c r="AC46" s="158">
        <f t="shared" si="57"/>
        <v>295</v>
      </c>
      <c r="AD46" s="158">
        <f t="shared" si="57"/>
        <v>-231</v>
      </c>
      <c r="AE46" s="157">
        <f t="shared" si="55"/>
        <v>1812</v>
      </c>
    </row>
    <row r="47" spans="1:65" x14ac:dyDescent="0.35">
      <c r="A47" s="176" t="s">
        <v>3</v>
      </c>
      <c r="B47" s="177" t="s">
        <v>7</v>
      </c>
      <c r="C47" s="28" t="s">
        <v>22</v>
      </c>
      <c r="D47" s="28">
        <v>79</v>
      </c>
      <c r="E47" s="28">
        <v>0</v>
      </c>
      <c r="F47" s="28">
        <v>8</v>
      </c>
      <c r="G47" s="28">
        <v>9</v>
      </c>
      <c r="H47" s="28">
        <v>3</v>
      </c>
      <c r="I47" s="28">
        <v>4</v>
      </c>
      <c r="J47" s="28">
        <v>6</v>
      </c>
      <c r="K47" s="28">
        <v>0</v>
      </c>
      <c r="L47" s="28">
        <v>2</v>
      </c>
      <c r="M47" s="28">
        <v>0</v>
      </c>
      <c r="N47" s="28">
        <v>111</v>
      </c>
      <c r="O47" s="31" t="s">
        <v>3</v>
      </c>
      <c r="P47" s="28" t="s">
        <v>7</v>
      </c>
      <c r="R47" t="str">
        <f t="shared" si="0"/>
        <v>yes</v>
      </c>
      <c r="AF47" t="s">
        <v>7</v>
      </c>
      <c r="AG47" t="s">
        <v>125</v>
      </c>
      <c r="AO47" t="s">
        <v>7</v>
      </c>
      <c r="AP47" t="s">
        <v>125</v>
      </c>
      <c r="AS47" t="s">
        <v>126</v>
      </c>
    </row>
    <row r="48" spans="1:65" x14ac:dyDescent="0.35">
      <c r="A48" s="176"/>
      <c r="B48" s="178"/>
      <c r="C48" s="28" t="s">
        <v>23</v>
      </c>
      <c r="D48" s="28">
        <v>39</v>
      </c>
      <c r="E48" s="28">
        <v>0</v>
      </c>
      <c r="F48" s="28">
        <v>6</v>
      </c>
      <c r="G48" s="28">
        <v>3</v>
      </c>
      <c r="H48" s="28">
        <v>0</v>
      </c>
      <c r="I48" s="28">
        <v>4</v>
      </c>
      <c r="J48" s="28">
        <v>0</v>
      </c>
      <c r="K48" s="28">
        <v>0</v>
      </c>
      <c r="L48" s="28">
        <v>3</v>
      </c>
      <c r="M48" s="28">
        <v>0</v>
      </c>
      <c r="N48" s="28">
        <v>55</v>
      </c>
      <c r="O48" s="31" t="s">
        <v>3</v>
      </c>
      <c r="P48" s="28" t="s">
        <v>7</v>
      </c>
      <c r="R48" t="str">
        <f t="shared" si="0"/>
        <v>yes</v>
      </c>
      <c r="AE48" t="s">
        <v>6</v>
      </c>
      <c r="AF48">
        <f>PEARSON(V33:AD33,AF23:AN23)</f>
        <v>0.10318565929154656</v>
      </c>
      <c r="AG48">
        <f>PEARSON(V33:AD33,AF31:AN31)</f>
        <v>0.40233770876309799</v>
      </c>
      <c r="AK48">
        <f>ROUND(AF48,2)</f>
        <v>0.1</v>
      </c>
      <c r="AL48">
        <f>ROUND(AG48,2)</f>
        <v>0.4</v>
      </c>
      <c r="AN48" t="s">
        <v>6</v>
      </c>
      <c r="AO48">
        <f>PEARSON(AQ5:AX5,AP23:AW23)</f>
        <v>0.34709377762253929</v>
      </c>
      <c r="AP48">
        <f>PEARSON(AQ5:AX5,AP33:AW33)</f>
        <v>0.45471674712763605</v>
      </c>
    </row>
    <row r="49" spans="1:42" x14ac:dyDescent="0.35">
      <c r="A49" s="176"/>
      <c r="B49" s="178"/>
      <c r="C49" s="28" t="s">
        <v>24</v>
      </c>
      <c r="D49" s="28">
        <v>11</v>
      </c>
      <c r="E49" s="28">
        <v>0</v>
      </c>
      <c r="F49" s="28">
        <v>0</v>
      </c>
      <c r="G49" s="28">
        <v>0</v>
      </c>
      <c r="H49" s="28">
        <v>0</v>
      </c>
      <c r="I49" s="28">
        <v>0</v>
      </c>
      <c r="J49" s="28">
        <v>0</v>
      </c>
      <c r="K49" s="28">
        <v>0</v>
      </c>
      <c r="L49" s="28">
        <v>2</v>
      </c>
      <c r="M49" s="28">
        <v>0</v>
      </c>
      <c r="N49" s="28">
        <v>13</v>
      </c>
      <c r="O49" s="31" t="s">
        <v>3</v>
      </c>
      <c r="P49" s="28" t="s">
        <v>7</v>
      </c>
      <c r="R49" t="str">
        <f t="shared" si="0"/>
        <v>yes</v>
      </c>
      <c r="AE49" t="s">
        <v>5</v>
      </c>
      <c r="AF49">
        <f t="shared" ref="AF49:AF53" si="58">PEARSON(V34:AD34,AF24:AN24)</f>
        <v>-0.23875320736063396</v>
      </c>
      <c r="AG49">
        <f t="shared" ref="AG49:AG53" si="59">PEARSON(V34:AD34,AF32:AN32)</f>
        <v>7.7599279949237987E-2</v>
      </c>
      <c r="AK49">
        <f t="shared" ref="AK49:AK53" si="60">ROUND(AF49,2)</f>
        <v>-0.24</v>
      </c>
      <c r="AL49">
        <f t="shared" ref="AL49:AL53" si="61">ROUND(AG49,2)</f>
        <v>0.08</v>
      </c>
      <c r="AN49" t="s">
        <v>5</v>
      </c>
      <c r="AO49">
        <f t="shared" ref="AO49:AO53" si="62">PEARSON(AQ6:AX6,AP24:AW24)</f>
        <v>1.2708510985036933E-2</v>
      </c>
      <c r="AP49">
        <f t="shared" ref="AP49:AP53" si="63">PEARSON(AQ6:AX6,AP34:AW34)</f>
        <v>1.2708510985036933E-2</v>
      </c>
    </row>
    <row r="50" spans="1:42" x14ac:dyDescent="0.35">
      <c r="A50" s="176"/>
      <c r="B50" s="178"/>
      <c r="C50" s="28" t="s">
        <v>25</v>
      </c>
      <c r="D50" s="28">
        <v>7</v>
      </c>
      <c r="E50" s="28">
        <v>0</v>
      </c>
      <c r="F50" s="28">
        <v>2</v>
      </c>
      <c r="G50" s="28">
        <v>3</v>
      </c>
      <c r="H50" s="28">
        <v>1</v>
      </c>
      <c r="I50" s="28">
        <v>2</v>
      </c>
      <c r="J50" s="28">
        <v>0</v>
      </c>
      <c r="K50" s="28">
        <v>2</v>
      </c>
      <c r="L50" s="28">
        <v>3</v>
      </c>
      <c r="M50" s="28">
        <v>0</v>
      </c>
      <c r="N50" s="28">
        <v>20</v>
      </c>
      <c r="O50" s="31" t="s">
        <v>3</v>
      </c>
      <c r="P50" s="28" t="s">
        <v>7</v>
      </c>
      <c r="R50" t="str">
        <f t="shared" si="0"/>
        <v>yes</v>
      </c>
      <c r="AE50" t="s">
        <v>4</v>
      </c>
      <c r="AF50">
        <f t="shared" si="58"/>
        <v>4.1583747327880319E-3</v>
      </c>
      <c r="AG50">
        <f t="shared" si="59"/>
        <v>-4.4077772797484469E-2</v>
      </c>
      <c r="AK50">
        <f t="shared" si="60"/>
        <v>0</v>
      </c>
      <c r="AL50">
        <f t="shared" si="61"/>
        <v>-0.04</v>
      </c>
      <c r="AN50" t="s">
        <v>4</v>
      </c>
      <c r="AO50">
        <f t="shared" si="62"/>
        <v>0.38435692703666335</v>
      </c>
      <c r="AP50">
        <f t="shared" si="63"/>
        <v>0.38435692703666335</v>
      </c>
    </row>
    <row r="51" spans="1:42" x14ac:dyDescent="0.35">
      <c r="A51" s="176"/>
      <c r="B51" s="178"/>
      <c r="C51" s="28" t="s">
        <v>26</v>
      </c>
      <c r="D51" s="28">
        <v>2</v>
      </c>
      <c r="E51" s="28">
        <v>2</v>
      </c>
      <c r="F51" s="28">
        <v>0</v>
      </c>
      <c r="G51" s="28">
        <v>0</v>
      </c>
      <c r="H51" s="28">
        <v>0</v>
      </c>
      <c r="I51" s="28">
        <v>0</v>
      </c>
      <c r="J51" s="28">
        <v>1</v>
      </c>
      <c r="K51" s="28">
        <v>0</v>
      </c>
      <c r="L51" s="28">
        <v>0</v>
      </c>
      <c r="M51" s="28">
        <v>0</v>
      </c>
      <c r="N51" s="28">
        <v>5</v>
      </c>
      <c r="O51" s="31" t="s">
        <v>3</v>
      </c>
      <c r="P51" s="28" t="s">
        <v>7</v>
      </c>
      <c r="R51" t="str">
        <f t="shared" si="0"/>
        <v>yes</v>
      </c>
      <c r="AE51" t="s">
        <v>3</v>
      </c>
      <c r="AF51">
        <f t="shared" si="58"/>
        <v>0.32467158550800501</v>
      </c>
      <c r="AG51">
        <f t="shared" si="59"/>
        <v>-0.1201341573161654</v>
      </c>
      <c r="AK51">
        <f t="shared" si="60"/>
        <v>0.32</v>
      </c>
      <c r="AL51">
        <f t="shared" si="61"/>
        <v>-0.12</v>
      </c>
      <c r="AN51" t="s">
        <v>3</v>
      </c>
      <c r="AO51">
        <f t="shared" si="62"/>
        <v>-0.32459900894798049</v>
      </c>
      <c r="AP51">
        <f t="shared" si="63"/>
        <v>-0.32459900894798049</v>
      </c>
    </row>
    <row r="52" spans="1:42" x14ac:dyDescent="0.35">
      <c r="A52" s="176"/>
      <c r="B52" s="178"/>
      <c r="C52" s="28" t="s">
        <v>27</v>
      </c>
      <c r="D52" s="28">
        <v>7</v>
      </c>
      <c r="E52" s="28">
        <v>0</v>
      </c>
      <c r="F52" s="28">
        <v>0</v>
      </c>
      <c r="G52" s="28">
        <v>1</v>
      </c>
      <c r="H52" s="28">
        <v>0</v>
      </c>
      <c r="I52" s="28">
        <v>0</v>
      </c>
      <c r="J52" s="28">
        <v>0</v>
      </c>
      <c r="K52" s="28">
        <v>0</v>
      </c>
      <c r="L52" s="28">
        <v>0</v>
      </c>
      <c r="M52" s="28">
        <v>0</v>
      </c>
      <c r="N52" s="28">
        <v>8</v>
      </c>
      <c r="O52" s="31" t="s">
        <v>3</v>
      </c>
      <c r="P52" s="28" t="s">
        <v>7</v>
      </c>
      <c r="R52" t="str">
        <f t="shared" si="0"/>
        <v>yes</v>
      </c>
      <c r="AE52" t="s">
        <v>2</v>
      </c>
      <c r="AF52">
        <f t="shared" si="58"/>
        <v>-8.7356221153866292E-2</v>
      </c>
      <c r="AG52">
        <f t="shared" si="59"/>
        <v>-9.4086816613768123E-2</v>
      </c>
      <c r="AK52">
        <f t="shared" si="60"/>
        <v>-0.09</v>
      </c>
      <c r="AL52">
        <f t="shared" si="61"/>
        <v>-0.09</v>
      </c>
      <c r="AN52" t="s">
        <v>2</v>
      </c>
      <c r="AO52">
        <f t="shared" si="62"/>
        <v>-0.15563688702301753</v>
      </c>
      <c r="AP52">
        <f t="shared" si="63"/>
        <v>-0.15563688702301753</v>
      </c>
    </row>
    <row r="53" spans="1:42" ht="15" thickBot="1" x14ac:dyDescent="0.4">
      <c r="A53" s="176"/>
      <c r="B53" s="195"/>
      <c r="C53" s="65" t="s">
        <v>61</v>
      </c>
      <c r="D53" s="65">
        <f>SUM(D47:D52)</f>
        <v>145</v>
      </c>
      <c r="E53" s="65">
        <f t="shared" ref="E53:M53" si="64">SUM(E47:E52)</f>
        <v>2</v>
      </c>
      <c r="F53" s="65">
        <f t="shared" si="64"/>
        <v>16</v>
      </c>
      <c r="G53" s="65">
        <f t="shared" si="64"/>
        <v>16</v>
      </c>
      <c r="H53" s="65">
        <f t="shared" si="64"/>
        <v>4</v>
      </c>
      <c r="I53" s="65">
        <f t="shared" si="64"/>
        <v>10</v>
      </c>
      <c r="J53" s="65">
        <f t="shared" si="64"/>
        <v>7</v>
      </c>
      <c r="K53" s="65">
        <f t="shared" si="64"/>
        <v>2</v>
      </c>
      <c r="L53" s="65">
        <f t="shared" si="64"/>
        <v>10</v>
      </c>
      <c r="M53" s="65">
        <f t="shared" si="64"/>
        <v>0</v>
      </c>
      <c r="N53" s="65">
        <f>SUM(N47:N52)</f>
        <v>212</v>
      </c>
      <c r="O53" s="66" t="s">
        <v>6</v>
      </c>
      <c r="P53" s="65" t="s">
        <v>7</v>
      </c>
      <c r="R53" t="str">
        <f t="shared" si="0"/>
        <v>yes</v>
      </c>
      <c r="AE53" t="s">
        <v>1</v>
      </c>
      <c r="AF53">
        <f t="shared" si="58"/>
        <v>-0.16383732029982492</v>
      </c>
      <c r="AG53">
        <f t="shared" si="59"/>
        <v>0.19332889199565828</v>
      </c>
      <c r="AK53">
        <f t="shared" si="60"/>
        <v>-0.16</v>
      </c>
      <c r="AL53">
        <f t="shared" si="61"/>
        <v>0.19</v>
      </c>
      <c r="AN53" t="s">
        <v>1</v>
      </c>
      <c r="AO53">
        <f t="shared" si="62"/>
        <v>0.32714569542292743</v>
      </c>
      <c r="AP53">
        <f t="shared" si="63"/>
        <v>0.32714569542292743</v>
      </c>
    </row>
    <row r="54" spans="1:42" x14ac:dyDescent="0.35">
      <c r="A54" s="176"/>
      <c r="B54" s="177" t="s">
        <v>8</v>
      </c>
      <c r="C54" s="28" t="s">
        <v>28</v>
      </c>
      <c r="D54" s="28">
        <v>777</v>
      </c>
      <c r="E54" s="28">
        <v>79</v>
      </c>
      <c r="F54" s="28">
        <v>121</v>
      </c>
      <c r="G54" s="28">
        <v>129</v>
      </c>
      <c r="H54" s="28">
        <v>103</v>
      </c>
      <c r="I54" s="28">
        <v>206</v>
      </c>
      <c r="J54" s="28">
        <v>117</v>
      </c>
      <c r="K54" s="28">
        <v>32</v>
      </c>
      <c r="L54" s="28">
        <v>241</v>
      </c>
      <c r="M54" s="28">
        <v>0</v>
      </c>
      <c r="N54" s="28">
        <v>1805</v>
      </c>
      <c r="O54" s="31" t="s">
        <v>3</v>
      </c>
      <c r="P54" s="28" t="s">
        <v>8</v>
      </c>
      <c r="R54" t="str">
        <f t="shared" si="0"/>
        <v>yes</v>
      </c>
    </row>
    <row r="55" spans="1:42" x14ac:dyDescent="0.35">
      <c r="A55" s="176"/>
      <c r="B55" s="178"/>
      <c r="C55" s="28" t="s">
        <v>29</v>
      </c>
      <c r="D55" s="28">
        <v>211</v>
      </c>
      <c r="E55" s="28">
        <v>10</v>
      </c>
      <c r="F55" s="28">
        <v>22</v>
      </c>
      <c r="G55" s="28">
        <v>19</v>
      </c>
      <c r="H55" s="28">
        <v>19</v>
      </c>
      <c r="I55" s="28">
        <v>11</v>
      </c>
      <c r="J55" s="28">
        <v>46</v>
      </c>
      <c r="K55" s="28">
        <v>1</v>
      </c>
      <c r="L55" s="28">
        <v>68</v>
      </c>
      <c r="M55" s="28">
        <v>0</v>
      </c>
      <c r="N55" s="28">
        <v>407</v>
      </c>
      <c r="O55" s="31" t="s">
        <v>3</v>
      </c>
      <c r="P55" s="28" t="s">
        <v>8</v>
      </c>
      <c r="R55" t="str">
        <f t="shared" si="0"/>
        <v>yes</v>
      </c>
      <c r="U55" s="145" t="s">
        <v>45</v>
      </c>
      <c r="V55" s="145" t="s">
        <v>6</v>
      </c>
      <c r="W55" s="145" t="s">
        <v>5</v>
      </c>
      <c r="X55" s="145" t="s">
        <v>4</v>
      </c>
      <c r="Y55" s="145" t="s">
        <v>3</v>
      </c>
      <c r="Z55" s="145" t="s">
        <v>2</v>
      </c>
      <c r="AA55" s="145" t="s">
        <v>1</v>
      </c>
      <c r="AC55" s="145"/>
      <c r="AD55" s="145"/>
      <c r="AE55" s="145"/>
      <c r="AF55" s="145"/>
      <c r="AG55" s="145"/>
      <c r="AH55" s="145"/>
      <c r="AI55" s="145"/>
    </row>
    <row r="56" spans="1:42" x14ac:dyDescent="0.35">
      <c r="A56" s="176"/>
      <c r="B56" s="178"/>
      <c r="C56" s="28" t="s">
        <v>30</v>
      </c>
      <c r="D56" s="28">
        <v>47</v>
      </c>
      <c r="E56" s="28">
        <v>16</v>
      </c>
      <c r="F56" s="28">
        <v>19</v>
      </c>
      <c r="G56" s="28">
        <v>9</v>
      </c>
      <c r="H56" s="28">
        <v>8</v>
      </c>
      <c r="I56" s="28">
        <v>41</v>
      </c>
      <c r="J56" s="28">
        <v>8</v>
      </c>
      <c r="K56" s="28">
        <v>6</v>
      </c>
      <c r="L56" s="28">
        <v>20</v>
      </c>
      <c r="M56" s="28">
        <v>0</v>
      </c>
      <c r="N56" s="28">
        <v>174</v>
      </c>
      <c r="O56" s="31" t="s">
        <v>3</v>
      </c>
      <c r="P56" s="28" t="s">
        <v>8</v>
      </c>
      <c r="R56" t="str">
        <f t="shared" si="0"/>
        <v>yes</v>
      </c>
      <c r="U56" s="145" t="s">
        <v>123</v>
      </c>
      <c r="V56" s="146">
        <v>0.1</v>
      </c>
      <c r="W56" s="146">
        <v>-0.24</v>
      </c>
      <c r="X56" s="146">
        <v>0</v>
      </c>
      <c r="Y56" s="146">
        <v>0.32</v>
      </c>
      <c r="Z56" s="146">
        <v>-0.09</v>
      </c>
      <c r="AA56" s="146">
        <v>-0.16</v>
      </c>
      <c r="AC56" s="145"/>
      <c r="AD56" s="146"/>
      <c r="AE56" s="146"/>
      <c r="AF56" s="146"/>
      <c r="AG56" s="146"/>
      <c r="AH56" s="146"/>
      <c r="AI56" s="146"/>
    </row>
    <row r="57" spans="1:42" x14ac:dyDescent="0.35">
      <c r="A57" s="176"/>
      <c r="B57" s="178"/>
      <c r="C57" s="28" t="s">
        <v>31</v>
      </c>
      <c r="D57" s="28">
        <v>11</v>
      </c>
      <c r="E57" s="28">
        <v>0</v>
      </c>
      <c r="F57" s="28">
        <v>0</v>
      </c>
      <c r="G57" s="28">
        <v>1</v>
      </c>
      <c r="H57" s="28">
        <v>1</v>
      </c>
      <c r="I57" s="28">
        <v>1</v>
      </c>
      <c r="J57" s="28">
        <v>19</v>
      </c>
      <c r="K57" s="28">
        <v>0</v>
      </c>
      <c r="L57" s="28">
        <v>4</v>
      </c>
      <c r="M57" s="28">
        <v>0</v>
      </c>
      <c r="N57" s="28">
        <v>37</v>
      </c>
      <c r="O57" s="31" t="s">
        <v>3</v>
      </c>
      <c r="P57" s="28" t="s">
        <v>8</v>
      </c>
      <c r="R57" t="str">
        <f t="shared" si="0"/>
        <v>yes</v>
      </c>
      <c r="U57" s="145" t="s">
        <v>124</v>
      </c>
      <c r="V57" s="146">
        <v>0.4</v>
      </c>
      <c r="W57" s="146">
        <v>0.08</v>
      </c>
      <c r="X57" s="146">
        <v>-0.04</v>
      </c>
      <c r="Y57" s="146">
        <v>-0.12</v>
      </c>
      <c r="Z57" s="146">
        <v>-0.09</v>
      </c>
      <c r="AA57" s="146">
        <v>0.19</v>
      </c>
      <c r="AC57" s="145"/>
      <c r="AD57" s="146"/>
      <c r="AE57" s="146"/>
      <c r="AF57" s="146"/>
      <c r="AG57" s="146"/>
      <c r="AH57" s="146"/>
      <c r="AI57" s="146"/>
    </row>
    <row r="58" spans="1:42" x14ac:dyDescent="0.35">
      <c r="A58" s="176"/>
      <c r="B58" s="178"/>
      <c r="C58" s="28" t="s">
        <v>32</v>
      </c>
      <c r="D58" s="28">
        <v>1297</v>
      </c>
      <c r="E58" s="28">
        <v>236</v>
      </c>
      <c r="F58" s="28">
        <v>170</v>
      </c>
      <c r="G58" s="28">
        <v>288</v>
      </c>
      <c r="H58" s="28">
        <v>173</v>
      </c>
      <c r="I58" s="28">
        <v>252</v>
      </c>
      <c r="J58" s="28">
        <v>188</v>
      </c>
      <c r="K58" s="28">
        <v>56</v>
      </c>
      <c r="L58" s="28">
        <v>289</v>
      </c>
      <c r="M58" s="28">
        <v>0</v>
      </c>
      <c r="N58" s="28">
        <v>2949</v>
      </c>
      <c r="O58" s="31" t="s">
        <v>3</v>
      </c>
      <c r="P58" s="28" t="s">
        <v>8</v>
      </c>
      <c r="R58" t="str">
        <f t="shared" si="0"/>
        <v>yes</v>
      </c>
    </row>
    <row r="59" spans="1:42" x14ac:dyDescent="0.35">
      <c r="A59" s="176"/>
      <c r="B59" s="178"/>
      <c r="C59" s="28" t="s">
        <v>33</v>
      </c>
      <c r="D59" s="28">
        <v>445</v>
      </c>
      <c r="E59" s="28">
        <v>44</v>
      </c>
      <c r="F59" s="28">
        <v>55</v>
      </c>
      <c r="G59" s="28">
        <v>132</v>
      </c>
      <c r="H59" s="28">
        <v>53</v>
      </c>
      <c r="I59" s="28">
        <v>141</v>
      </c>
      <c r="J59" s="28">
        <v>57</v>
      </c>
      <c r="K59" s="28">
        <v>48</v>
      </c>
      <c r="L59" s="28">
        <v>163</v>
      </c>
      <c r="M59" s="28">
        <v>0</v>
      </c>
      <c r="N59" s="28">
        <v>1138</v>
      </c>
      <c r="O59" s="31" t="s">
        <v>3</v>
      </c>
      <c r="P59" s="28" t="s">
        <v>8</v>
      </c>
      <c r="R59" t="str">
        <f t="shared" si="0"/>
        <v>yes</v>
      </c>
      <c r="U59" s="145" t="s">
        <v>45</v>
      </c>
      <c r="V59" s="145" t="s">
        <v>6</v>
      </c>
      <c r="W59" s="145" t="s">
        <v>5</v>
      </c>
      <c r="X59" s="145" t="s">
        <v>4</v>
      </c>
      <c r="Y59" s="145" t="s">
        <v>3</v>
      </c>
      <c r="Z59" s="145" t="s">
        <v>2</v>
      </c>
      <c r="AA59" s="145" t="s">
        <v>1</v>
      </c>
      <c r="AC59" s="145"/>
      <c r="AD59" s="145"/>
      <c r="AE59" s="145"/>
      <c r="AF59" s="145"/>
      <c r="AG59" s="145"/>
      <c r="AH59" s="145"/>
      <c r="AI59" s="145"/>
    </row>
    <row r="60" spans="1:42" x14ac:dyDescent="0.35">
      <c r="A60" s="176"/>
      <c r="B60" s="178"/>
      <c r="C60" s="28" t="s">
        <v>34</v>
      </c>
      <c r="D60" s="28">
        <v>518</v>
      </c>
      <c r="E60" s="28">
        <v>19</v>
      </c>
      <c r="F60" s="28">
        <v>20</v>
      </c>
      <c r="G60" s="28">
        <v>32</v>
      </c>
      <c r="H60" s="28">
        <v>54</v>
      </c>
      <c r="I60" s="28">
        <v>42</v>
      </c>
      <c r="J60" s="28">
        <v>33</v>
      </c>
      <c r="K60" s="28">
        <v>47</v>
      </c>
      <c r="L60" s="28">
        <v>27</v>
      </c>
      <c r="M60" s="28">
        <v>0</v>
      </c>
      <c r="N60" s="28">
        <v>792</v>
      </c>
      <c r="O60" s="31" t="s">
        <v>3</v>
      </c>
      <c r="P60" s="28" t="s">
        <v>8</v>
      </c>
      <c r="R60" t="str">
        <f t="shared" si="0"/>
        <v>yes</v>
      </c>
      <c r="U60" s="145" t="s">
        <v>123</v>
      </c>
      <c r="V60" s="146">
        <v>0.1</v>
      </c>
      <c r="W60" s="146">
        <v>-0.24</v>
      </c>
      <c r="X60" s="146">
        <v>0</v>
      </c>
      <c r="Y60" s="146">
        <v>0.32</v>
      </c>
      <c r="Z60" s="146">
        <v>-0.09</v>
      </c>
      <c r="AA60" s="146">
        <v>-0.16</v>
      </c>
      <c r="AC60" s="145"/>
      <c r="AD60" s="146"/>
      <c r="AE60" s="146"/>
      <c r="AF60" s="146"/>
      <c r="AG60" s="146"/>
      <c r="AH60" s="146"/>
      <c r="AI60" s="146"/>
    </row>
    <row r="61" spans="1:42" ht="15" thickBot="1" x14ac:dyDescent="0.4">
      <c r="A61" s="54"/>
      <c r="B61" s="195"/>
      <c r="C61" s="76" t="s">
        <v>61</v>
      </c>
      <c r="D61" s="65">
        <f>SUM(D54:D60)</f>
        <v>3306</v>
      </c>
      <c r="E61" s="65">
        <f t="shared" ref="E61:M61" si="65">SUM(E54:E60)</f>
        <v>404</v>
      </c>
      <c r="F61" s="65">
        <f t="shared" si="65"/>
        <v>407</v>
      </c>
      <c r="G61" s="65">
        <f t="shared" si="65"/>
        <v>610</v>
      </c>
      <c r="H61" s="65">
        <f t="shared" si="65"/>
        <v>411</v>
      </c>
      <c r="I61" s="65">
        <f t="shared" si="65"/>
        <v>694</v>
      </c>
      <c r="J61" s="65">
        <f t="shared" si="65"/>
        <v>468</v>
      </c>
      <c r="K61" s="65">
        <f t="shared" si="65"/>
        <v>190</v>
      </c>
      <c r="L61" s="65">
        <f t="shared" si="65"/>
        <v>812</v>
      </c>
      <c r="M61" s="65">
        <f t="shared" si="65"/>
        <v>0</v>
      </c>
      <c r="N61" s="65">
        <f>SUM(N54:N60)</f>
        <v>7302</v>
      </c>
      <c r="O61" s="66" t="s">
        <v>6</v>
      </c>
      <c r="P61" s="65" t="s">
        <v>8</v>
      </c>
      <c r="R61" t="str">
        <f t="shared" si="0"/>
        <v>yes</v>
      </c>
      <c r="U61" s="145" t="s">
        <v>124</v>
      </c>
      <c r="V61" s="146">
        <v>0.4</v>
      </c>
      <c r="W61" s="146">
        <v>0.08</v>
      </c>
      <c r="X61" s="146">
        <v>-0.04</v>
      </c>
      <c r="Y61" s="146">
        <v>-0.12</v>
      </c>
      <c r="Z61" s="146">
        <v>-0.09</v>
      </c>
      <c r="AA61" s="146">
        <v>0.19</v>
      </c>
      <c r="AC61" s="145"/>
      <c r="AD61" s="146"/>
      <c r="AE61" s="146"/>
      <c r="AF61" s="146"/>
      <c r="AG61" s="146"/>
      <c r="AH61" s="146"/>
      <c r="AI61" s="146"/>
    </row>
    <row r="62" spans="1:42" x14ac:dyDescent="0.35">
      <c r="A62" s="173" t="s">
        <v>2</v>
      </c>
      <c r="B62" s="171" t="s">
        <v>7</v>
      </c>
      <c r="C62" s="33" t="s">
        <v>22</v>
      </c>
      <c r="D62" s="33">
        <v>86</v>
      </c>
      <c r="E62" s="33">
        <v>0</v>
      </c>
      <c r="F62" s="33">
        <v>8</v>
      </c>
      <c r="G62" s="33">
        <v>2</v>
      </c>
      <c r="H62" s="33">
        <v>2</v>
      </c>
      <c r="I62" s="33">
        <v>2</v>
      </c>
      <c r="J62" s="33">
        <v>0</v>
      </c>
      <c r="K62" s="33">
        <v>2</v>
      </c>
      <c r="L62" s="33">
        <v>1</v>
      </c>
      <c r="M62" s="33">
        <v>0</v>
      </c>
      <c r="N62" s="33">
        <v>103</v>
      </c>
      <c r="O62" s="34" t="s">
        <v>2</v>
      </c>
      <c r="P62" s="33" t="s">
        <v>7</v>
      </c>
      <c r="R62" t="str">
        <f t="shared" si="0"/>
        <v>yes</v>
      </c>
    </row>
    <row r="63" spans="1:42" x14ac:dyDescent="0.35">
      <c r="A63" s="173"/>
      <c r="B63" s="172"/>
      <c r="C63" s="33" t="s">
        <v>23</v>
      </c>
      <c r="D63" s="33">
        <v>43</v>
      </c>
      <c r="E63" s="33">
        <v>0</v>
      </c>
      <c r="F63" s="33">
        <v>0</v>
      </c>
      <c r="G63" s="33">
        <v>2</v>
      </c>
      <c r="H63" s="33">
        <v>1</v>
      </c>
      <c r="I63" s="33">
        <v>3</v>
      </c>
      <c r="J63" s="33">
        <v>0</v>
      </c>
      <c r="K63" s="33">
        <v>1</v>
      </c>
      <c r="L63" s="33">
        <v>0</v>
      </c>
      <c r="M63" s="33">
        <v>0</v>
      </c>
      <c r="N63" s="33">
        <v>50</v>
      </c>
      <c r="O63" s="34" t="s">
        <v>2</v>
      </c>
      <c r="P63" s="33" t="s">
        <v>7</v>
      </c>
      <c r="R63" t="str">
        <f t="shared" si="0"/>
        <v>yes</v>
      </c>
    </row>
    <row r="64" spans="1:42" ht="15" thickBot="1" x14ac:dyDescent="0.4">
      <c r="A64" s="173"/>
      <c r="B64" s="172"/>
      <c r="C64" s="33" t="s">
        <v>24</v>
      </c>
      <c r="D64" s="33">
        <v>24</v>
      </c>
      <c r="E64" s="33">
        <v>0</v>
      </c>
      <c r="F64" s="33">
        <v>0</v>
      </c>
      <c r="G64" s="33">
        <v>0</v>
      </c>
      <c r="H64" s="33">
        <v>0</v>
      </c>
      <c r="I64" s="33">
        <v>1</v>
      </c>
      <c r="J64" s="33">
        <v>0</v>
      </c>
      <c r="K64" s="33">
        <v>0</v>
      </c>
      <c r="L64" s="33">
        <v>0</v>
      </c>
      <c r="M64" s="33">
        <v>0</v>
      </c>
      <c r="N64" s="33">
        <v>25</v>
      </c>
      <c r="O64" s="34" t="s">
        <v>2</v>
      </c>
      <c r="P64" s="33" t="s">
        <v>7</v>
      </c>
      <c r="R64" t="str">
        <f t="shared" si="0"/>
        <v>yes</v>
      </c>
    </row>
    <row r="65" spans="1:30" x14ac:dyDescent="0.35">
      <c r="A65" s="173"/>
      <c r="B65" s="172"/>
      <c r="C65" s="33" t="s">
        <v>25</v>
      </c>
      <c r="D65" s="33">
        <v>21</v>
      </c>
      <c r="E65" s="33">
        <v>11</v>
      </c>
      <c r="F65" s="33">
        <v>4</v>
      </c>
      <c r="G65" s="33">
        <v>2</v>
      </c>
      <c r="H65" s="33">
        <v>8</v>
      </c>
      <c r="I65" s="33">
        <v>2</v>
      </c>
      <c r="J65" s="33">
        <v>2</v>
      </c>
      <c r="K65" s="33">
        <v>2</v>
      </c>
      <c r="L65" s="33">
        <v>4</v>
      </c>
      <c r="M65" s="33">
        <v>0</v>
      </c>
      <c r="N65" s="33">
        <v>56</v>
      </c>
      <c r="O65" s="34" t="s">
        <v>2</v>
      </c>
      <c r="P65" s="33" t="s">
        <v>7</v>
      </c>
      <c r="R65" t="str">
        <f t="shared" si="0"/>
        <v>yes</v>
      </c>
      <c r="U65" s="205" t="s">
        <v>140</v>
      </c>
      <c r="V65" s="206"/>
      <c r="W65" s="206"/>
      <c r="X65" s="206"/>
      <c r="Y65" s="206"/>
      <c r="Z65" s="206"/>
      <c r="AA65" s="206"/>
      <c r="AB65" s="206"/>
      <c r="AC65" s="206"/>
      <c r="AD65" s="207"/>
    </row>
    <row r="66" spans="1:30" x14ac:dyDescent="0.35">
      <c r="A66" s="173"/>
      <c r="B66" s="172"/>
      <c r="C66" s="33" t="s">
        <v>26</v>
      </c>
      <c r="D66" s="33">
        <v>0</v>
      </c>
      <c r="E66" s="33">
        <v>1</v>
      </c>
      <c r="F66" s="33">
        <v>0</v>
      </c>
      <c r="G66" s="33">
        <v>0</v>
      </c>
      <c r="H66" s="33">
        <v>0</v>
      </c>
      <c r="I66" s="33">
        <v>0</v>
      </c>
      <c r="J66" s="33">
        <v>1</v>
      </c>
      <c r="K66" s="33">
        <v>0</v>
      </c>
      <c r="L66" s="33">
        <v>0</v>
      </c>
      <c r="M66" s="33">
        <v>0</v>
      </c>
      <c r="N66" s="33">
        <v>2</v>
      </c>
      <c r="O66" s="34" t="s">
        <v>2</v>
      </c>
      <c r="P66" s="33" t="s">
        <v>7</v>
      </c>
      <c r="R66" t="str">
        <f t="shared" si="0"/>
        <v>yes</v>
      </c>
      <c r="U66" s="208"/>
      <c r="V66" s="209"/>
      <c r="W66" s="209"/>
      <c r="X66" s="209"/>
      <c r="Y66" s="209"/>
      <c r="Z66" s="209"/>
      <c r="AA66" s="209"/>
      <c r="AB66" s="209"/>
      <c r="AC66" s="209"/>
      <c r="AD66" s="210"/>
    </row>
    <row r="67" spans="1:30" x14ac:dyDescent="0.35">
      <c r="A67" s="173"/>
      <c r="B67" s="172"/>
      <c r="C67" s="33" t="s">
        <v>27</v>
      </c>
      <c r="D67" s="33">
        <v>18</v>
      </c>
      <c r="E67" s="33">
        <v>0</v>
      </c>
      <c r="F67" s="33">
        <v>0</v>
      </c>
      <c r="G67" s="33">
        <v>0</v>
      </c>
      <c r="H67" s="33">
        <v>0</v>
      </c>
      <c r="I67" s="33">
        <v>0</v>
      </c>
      <c r="J67" s="33">
        <v>0</v>
      </c>
      <c r="K67" s="33">
        <v>0</v>
      </c>
      <c r="L67" s="33">
        <v>0</v>
      </c>
      <c r="M67" s="33">
        <v>0</v>
      </c>
      <c r="N67" s="33">
        <v>18</v>
      </c>
      <c r="O67" s="34" t="s">
        <v>2</v>
      </c>
      <c r="P67" s="33" t="s">
        <v>7</v>
      </c>
      <c r="R67" t="str">
        <f t="shared" ref="R67:R91" si="66">IF(C67=C82, "yes", "n")</f>
        <v>yes</v>
      </c>
      <c r="U67" t="s">
        <v>45</v>
      </c>
      <c r="V67" s="1" t="s">
        <v>10</v>
      </c>
      <c r="W67" s="1" t="s">
        <v>11</v>
      </c>
      <c r="X67" s="1" t="s">
        <v>12</v>
      </c>
      <c r="Y67" s="1" t="s">
        <v>13</v>
      </c>
      <c r="Z67" s="1" t="s">
        <v>14</v>
      </c>
      <c r="AA67" s="1" t="s">
        <v>15</v>
      </c>
      <c r="AB67" s="1" t="s">
        <v>16</v>
      </c>
      <c r="AC67" s="1" t="s">
        <v>17</v>
      </c>
      <c r="AD67" s="1" t="s">
        <v>18</v>
      </c>
    </row>
    <row r="68" spans="1:30" ht="15" thickBot="1" x14ac:dyDescent="0.4">
      <c r="A68" s="173"/>
      <c r="B68" s="189"/>
      <c r="C68" s="67" t="s">
        <v>61</v>
      </c>
      <c r="D68" s="67">
        <f>SUM(D62:D67)</f>
        <v>192</v>
      </c>
      <c r="E68" s="67">
        <f t="shared" ref="E68:M68" si="67">SUM(E62:E67)</f>
        <v>12</v>
      </c>
      <c r="F68" s="67">
        <f t="shared" si="67"/>
        <v>12</v>
      </c>
      <c r="G68" s="67">
        <f t="shared" si="67"/>
        <v>6</v>
      </c>
      <c r="H68" s="67">
        <f t="shared" si="67"/>
        <v>11</v>
      </c>
      <c r="I68" s="67">
        <f t="shared" si="67"/>
        <v>8</v>
      </c>
      <c r="J68" s="67">
        <f t="shared" si="67"/>
        <v>3</v>
      </c>
      <c r="K68" s="67">
        <f t="shared" si="67"/>
        <v>5</v>
      </c>
      <c r="L68" s="67">
        <f t="shared" si="67"/>
        <v>5</v>
      </c>
      <c r="M68" s="67">
        <f t="shared" si="67"/>
        <v>0</v>
      </c>
      <c r="N68" s="67">
        <f>SUM(N62:N67)</f>
        <v>254</v>
      </c>
      <c r="O68" s="68" t="s">
        <v>6</v>
      </c>
      <c r="P68" s="67" t="s">
        <v>7</v>
      </c>
      <c r="R68" t="str">
        <f t="shared" si="66"/>
        <v>yes</v>
      </c>
      <c r="U68">
        <v>2027</v>
      </c>
      <c r="V68">
        <f t="shared" ref="V68:V70" si="68">FORECAST(U68,V69:V75,U69:U75)</f>
        <v>5537.3065389420372</v>
      </c>
      <c r="W68">
        <f t="shared" ref="W68:W70" si="69">FORECAST(V68,W69:W75,V69:V75)</f>
        <v>539.83669333110186</v>
      </c>
      <c r="X68">
        <f t="shared" ref="X68:X70" si="70">FORECAST(W68,X69:X75,W69:W75)</f>
        <v>502.62899794884953</v>
      </c>
      <c r="Y68">
        <f t="shared" ref="Y68:Y70" si="71">FORECAST(X68,Y69:Y75,X69:X75)</f>
        <v>650.5724621859423</v>
      </c>
      <c r="Z68">
        <f t="shared" ref="Z68:Z70" si="72">FORECAST(Y68,Z69:Z75,Y69:Y75)</f>
        <v>490.85960530927014</v>
      </c>
      <c r="AA68">
        <f t="shared" ref="AA68:AA70" si="73">FORECAST(Z68,AA69:AA75,Z69:Z75)</f>
        <v>562.66298375919473</v>
      </c>
      <c r="AB68">
        <f t="shared" ref="AB68:AB70" si="74">FORECAST(AA68,AB69:AB75,AA69:AA75)</f>
        <v>492.56169312220857</v>
      </c>
      <c r="AC68">
        <f t="shared" ref="AC68:AC70" si="75">FORECAST(AB68,AC69:AC75,AB69:AB75)</f>
        <v>321.47815313151466</v>
      </c>
      <c r="AD68">
        <f t="shared" ref="AD68:AD70" si="76">FORECAST(AC68,AD69:AD75,AC69:AC75)</f>
        <v>707.59545238822693</v>
      </c>
    </row>
    <row r="69" spans="1:30" x14ac:dyDescent="0.35">
      <c r="A69" s="173"/>
      <c r="B69" s="171" t="s">
        <v>8</v>
      </c>
      <c r="C69" s="33" t="s">
        <v>28</v>
      </c>
      <c r="D69" s="33">
        <v>974</v>
      </c>
      <c r="E69" s="33">
        <v>96</v>
      </c>
      <c r="F69" s="33">
        <v>112</v>
      </c>
      <c r="G69" s="33">
        <v>89</v>
      </c>
      <c r="H69" s="33">
        <v>45</v>
      </c>
      <c r="I69" s="33">
        <v>104</v>
      </c>
      <c r="J69" s="33">
        <v>62</v>
      </c>
      <c r="K69" s="33">
        <v>33</v>
      </c>
      <c r="L69" s="33">
        <v>100</v>
      </c>
      <c r="M69" s="33">
        <v>0</v>
      </c>
      <c r="N69" s="33">
        <v>1615</v>
      </c>
      <c r="O69" s="34" t="s">
        <v>2</v>
      </c>
      <c r="P69" s="33" t="s">
        <v>8</v>
      </c>
      <c r="R69" t="str">
        <f t="shared" si="66"/>
        <v>yes</v>
      </c>
      <c r="U69">
        <v>2026</v>
      </c>
      <c r="V69">
        <f t="shared" si="68"/>
        <v>5100.0466472302796</v>
      </c>
      <c r="W69">
        <f t="shared" si="69"/>
        <v>535.82310887508345</v>
      </c>
      <c r="X69">
        <f t="shared" si="70"/>
        <v>505.9236051998065</v>
      </c>
      <c r="Y69">
        <f t="shared" si="71"/>
        <v>633.12406914246026</v>
      </c>
      <c r="Z69">
        <f t="shared" si="72"/>
        <v>473.06767484655779</v>
      </c>
      <c r="AA69">
        <f t="shared" si="73"/>
        <v>591.32290330449325</v>
      </c>
      <c r="AB69">
        <f t="shared" si="74"/>
        <v>467.41496028755307</v>
      </c>
      <c r="AC69">
        <f t="shared" si="75"/>
        <v>308.13724520551983</v>
      </c>
      <c r="AD69">
        <f t="shared" si="76"/>
        <v>668.09683391264844</v>
      </c>
    </row>
    <row r="70" spans="1:30" x14ac:dyDescent="0.35">
      <c r="A70" s="173"/>
      <c r="B70" s="172"/>
      <c r="C70" s="33" t="s">
        <v>29</v>
      </c>
      <c r="D70" s="33">
        <v>314</v>
      </c>
      <c r="E70" s="33">
        <v>23</v>
      </c>
      <c r="F70" s="33">
        <v>28</v>
      </c>
      <c r="G70" s="33">
        <v>15</v>
      </c>
      <c r="H70" s="33">
        <v>18</v>
      </c>
      <c r="I70" s="33">
        <v>19</v>
      </c>
      <c r="J70" s="33">
        <v>48</v>
      </c>
      <c r="K70" s="33">
        <v>13</v>
      </c>
      <c r="L70" s="33">
        <v>35</v>
      </c>
      <c r="M70" s="33">
        <v>0</v>
      </c>
      <c r="N70" s="33">
        <v>513</v>
      </c>
      <c r="O70" s="34" t="s">
        <v>2</v>
      </c>
      <c r="P70" s="33" t="s">
        <v>8</v>
      </c>
      <c r="R70" t="str">
        <f t="shared" si="66"/>
        <v>yes</v>
      </c>
      <c r="U70">
        <v>2025</v>
      </c>
      <c r="V70">
        <f t="shared" si="68"/>
        <v>4925.2244897959172</v>
      </c>
      <c r="W70">
        <f t="shared" si="69"/>
        <v>530.94210365926403</v>
      </c>
      <c r="X70">
        <f t="shared" si="70"/>
        <v>505.63641075571991</v>
      </c>
      <c r="Y70">
        <f t="shared" si="71"/>
        <v>640.56220734027136</v>
      </c>
      <c r="Z70">
        <f t="shared" si="72"/>
        <v>504.09543915632537</v>
      </c>
      <c r="AA70">
        <f t="shared" si="73"/>
        <v>572.83674461628516</v>
      </c>
      <c r="AB70">
        <f t="shared" si="74"/>
        <v>466.23655165953488</v>
      </c>
      <c r="AC70">
        <f t="shared" si="75"/>
        <v>305.31075217581127</v>
      </c>
      <c r="AD70">
        <f t="shared" si="76"/>
        <v>668.76107849566461</v>
      </c>
    </row>
    <row r="71" spans="1:30" x14ac:dyDescent="0.35">
      <c r="A71" s="173"/>
      <c r="B71" s="172"/>
      <c r="C71" s="33" t="s">
        <v>30</v>
      </c>
      <c r="D71" s="33">
        <v>73</v>
      </c>
      <c r="E71" s="33">
        <v>6</v>
      </c>
      <c r="F71" s="33">
        <v>6</v>
      </c>
      <c r="G71" s="33">
        <v>11</v>
      </c>
      <c r="H71" s="33">
        <v>17</v>
      </c>
      <c r="I71" s="33">
        <v>29</v>
      </c>
      <c r="J71" s="33">
        <v>8</v>
      </c>
      <c r="K71" s="33">
        <v>7</v>
      </c>
      <c r="L71" s="33">
        <v>28</v>
      </c>
      <c r="M71" s="33">
        <v>0</v>
      </c>
      <c r="N71" s="33">
        <v>185</v>
      </c>
      <c r="O71" s="34" t="s">
        <v>2</v>
      </c>
      <c r="P71" s="33" t="s">
        <v>8</v>
      </c>
      <c r="R71" t="str">
        <f t="shared" si="66"/>
        <v>yes</v>
      </c>
      <c r="U71">
        <v>2024</v>
      </c>
      <c r="V71">
        <f>FORECAST(U71,V72:V78,U72:U78)</f>
        <v>4500.1428571428987</v>
      </c>
      <c r="W71">
        <f t="shared" ref="W71:AD71" si="77">FORECAST(V71,W72:W78,V72:V78)</f>
        <v>518.30776237579084</v>
      </c>
      <c r="X71">
        <f t="shared" si="77"/>
        <v>511.09768631490658</v>
      </c>
      <c r="Y71">
        <f t="shared" si="77"/>
        <v>634.00346027995874</v>
      </c>
      <c r="Z71">
        <f t="shared" si="77"/>
        <v>496.65214127422882</v>
      </c>
      <c r="AA71">
        <f t="shared" si="77"/>
        <v>542.7974278801986</v>
      </c>
      <c r="AB71">
        <f t="shared" si="77"/>
        <v>446.14986709753668</v>
      </c>
      <c r="AC71">
        <f t="shared" si="77"/>
        <v>305.57718880662298</v>
      </c>
      <c r="AD71">
        <f t="shared" si="77"/>
        <v>685.42761910271383</v>
      </c>
    </row>
    <row r="72" spans="1:30" x14ac:dyDescent="0.35">
      <c r="A72" s="173"/>
      <c r="B72" s="172"/>
      <c r="C72" s="33" t="s">
        <v>31</v>
      </c>
      <c r="D72" s="33">
        <v>14</v>
      </c>
      <c r="E72" s="33">
        <v>3</v>
      </c>
      <c r="F72" s="33">
        <v>0</v>
      </c>
      <c r="G72" s="33">
        <v>0</v>
      </c>
      <c r="H72" s="33">
        <v>2</v>
      </c>
      <c r="I72" s="33">
        <v>1</v>
      </c>
      <c r="J72" s="33">
        <v>0</v>
      </c>
      <c r="K72" s="33">
        <v>0</v>
      </c>
      <c r="L72" s="33">
        <v>0</v>
      </c>
      <c r="M72" s="33">
        <v>0</v>
      </c>
      <c r="N72" s="33">
        <v>20</v>
      </c>
      <c r="O72" s="34" t="s">
        <v>2</v>
      </c>
      <c r="P72" s="33" t="s">
        <v>8</v>
      </c>
      <c r="R72" t="str">
        <f t="shared" si="66"/>
        <v>yes</v>
      </c>
      <c r="U72">
        <v>2023</v>
      </c>
      <c r="V72">
        <v>5076</v>
      </c>
      <c r="W72">
        <v>545</v>
      </c>
      <c r="X72">
        <v>579</v>
      </c>
      <c r="Y72">
        <v>598</v>
      </c>
      <c r="Z72">
        <v>493</v>
      </c>
      <c r="AA72">
        <v>480</v>
      </c>
      <c r="AB72">
        <v>576</v>
      </c>
      <c r="AC72">
        <v>603</v>
      </c>
      <c r="AD72">
        <v>571</v>
      </c>
    </row>
    <row r="73" spans="1:30" x14ac:dyDescent="0.35">
      <c r="A73" s="173"/>
      <c r="B73" s="172"/>
      <c r="C73" s="33" t="s">
        <v>32</v>
      </c>
      <c r="D73" s="33">
        <v>1669</v>
      </c>
      <c r="E73" s="33">
        <v>220</v>
      </c>
      <c r="F73" s="33">
        <v>258</v>
      </c>
      <c r="G73" s="33">
        <v>200</v>
      </c>
      <c r="H73" s="33">
        <v>192</v>
      </c>
      <c r="I73" s="33">
        <v>445</v>
      </c>
      <c r="J73" s="33">
        <v>107</v>
      </c>
      <c r="K73" s="33">
        <v>93</v>
      </c>
      <c r="L73" s="33">
        <v>161</v>
      </c>
      <c r="M73" s="33">
        <v>0</v>
      </c>
      <c r="N73" s="33">
        <v>3345</v>
      </c>
      <c r="O73" s="34" t="s">
        <v>2</v>
      </c>
      <c r="P73" s="33" t="s">
        <v>8</v>
      </c>
      <c r="R73" t="str">
        <f t="shared" si="66"/>
        <v>yes</v>
      </c>
      <c r="U73">
        <v>2022</v>
      </c>
      <c r="V73">
        <v>3816</v>
      </c>
      <c r="W73">
        <v>628</v>
      </c>
      <c r="X73">
        <v>532</v>
      </c>
      <c r="Y73">
        <v>595</v>
      </c>
      <c r="Z73">
        <v>546</v>
      </c>
      <c r="AA73">
        <v>501</v>
      </c>
      <c r="AB73">
        <v>565</v>
      </c>
      <c r="AC73">
        <v>427</v>
      </c>
      <c r="AD73">
        <v>777</v>
      </c>
    </row>
    <row r="74" spans="1:30" x14ac:dyDescent="0.35">
      <c r="A74" s="173"/>
      <c r="B74" s="172"/>
      <c r="C74" s="33" t="s">
        <v>33</v>
      </c>
      <c r="D74" s="33">
        <v>436</v>
      </c>
      <c r="E74" s="33">
        <v>48</v>
      </c>
      <c r="F74" s="33">
        <v>77</v>
      </c>
      <c r="G74" s="33">
        <v>88</v>
      </c>
      <c r="H74" s="33">
        <v>47</v>
      </c>
      <c r="I74" s="33">
        <v>146</v>
      </c>
      <c r="J74" s="33">
        <v>49</v>
      </c>
      <c r="K74" s="33">
        <v>36</v>
      </c>
      <c r="L74" s="33">
        <v>36</v>
      </c>
      <c r="M74" s="33">
        <v>0</v>
      </c>
      <c r="N74" s="33">
        <v>963</v>
      </c>
      <c r="O74" s="34" t="s">
        <v>2</v>
      </c>
      <c r="P74" s="33" t="s">
        <v>8</v>
      </c>
      <c r="R74" t="str">
        <f t="shared" si="66"/>
        <v>yes</v>
      </c>
      <c r="U74">
        <v>2021</v>
      </c>
      <c r="V74">
        <v>3589</v>
      </c>
      <c r="W74">
        <v>637</v>
      </c>
      <c r="X74">
        <v>468</v>
      </c>
      <c r="Y74">
        <v>823</v>
      </c>
      <c r="Z74">
        <v>508</v>
      </c>
      <c r="AA74">
        <v>547</v>
      </c>
      <c r="AB74">
        <v>452</v>
      </c>
      <c r="AC74">
        <v>109</v>
      </c>
      <c r="AD74">
        <v>761</v>
      </c>
    </row>
    <row r="75" spans="1:30" x14ac:dyDescent="0.35">
      <c r="A75" s="173"/>
      <c r="B75" s="172"/>
      <c r="C75" s="33" t="s">
        <v>34</v>
      </c>
      <c r="D75" s="33">
        <v>337</v>
      </c>
      <c r="E75" s="33">
        <v>35</v>
      </c>
      <c r="F75" s="33">
        <v>21</v>
      </c>
      <c r="G75" s="33">
        <v>113</v>
      </c>
      <c r="H75" s="33">
        <v>19</v>
      </c>
      <c r="I75" s="33">
        <v>36</v>
      </c>
      <c r="J75" s="33">
        <v>17</v>
      </c>
      <c r="K75" s="33">
        <v>31</v>
      </c>
      <c r="L75" s="33">
        <v>26</v>
      </c>
      <c r="M75" s="33">
        <v>0</v>
      </c>
      <c r="N75" s="33">
        <v>635</v>
      </c>
      <c r="O75" s="34" t="s">
        <v>2</v>
      </c>
      <c r="P75" s="33" t="s">
        <v>8</v>
      </c>
      <c r="R75" t="str">
        <f t="shared" si="66"/>
        <v>yes</v>
      </c>
      <c r="U75">
        <v>2020</v>
      </c>
      <c r="V75">
        <v>3451</v>
      </c>
      <c r="W75">
        <v>406</v>
      </c>
      <c r="X75">
        <v>423</v>
      </c>
      <c r="Y75">
        <v>626</v>
      </c>
      <c r="Z75">
        <v>415</v>
      </c>
      <c r="AA75">
        <v>704</v>
      </c>
      <c r="AB75">
        <v>475</v>
      </c>
      <c r="AC75">
        <v>192</v>
      </c>
      <c r="AD75">
        <v>822</v>
      </c>
    </row>
    <row r="76" spans="1:30" ht="15" thickBot="1" x14ac:dyDescent="0.4">
      <c r="A76" s="55"/>
      <c r="B76" s="189"/>
      <c r="C76" s="75" t="s">
        <v>61</v>
      </c>
      <c r="D76" s="67">
        <f>SUM(D69:D75)</f>
        <v>3817</v>
      </c>
      <c r="E76" s="67">
        <f t="shared" ref="E76:M76" si="78">SUM(E69:E75)</f>
        <v>431</v>
      </c>
      <c r="F76" s="67">
        <f t="shared" si="78"/>
        <v>502</v>
      </c>
      <c r="G76" s="67">
        <f t="shared" si="78"/>
        <v>516</v>
      </c>
      <c r="H76" s="67">
        <f t="shared" si="78"/>
        <v>340</v>
      </c>
      <c r="I76" s="67">
        <f t="shared" si="78"/>
        <v>780</v>
      </c>
      <c r="J76" s="67">
        <f t="shared" si="78"/>
        <v>291</v>
      </c>
      <c r="K76" s="67">
        <f t="shared" si="78"/>
        <v>213</v>
      </c>
      <c r="L76" s="67">
        <f t="shared" si="78"/>
        <v>386</v>
      </c>
      <c r="M76" s="67">
        <f t="shared" si="78"/>
        <v>0</v>
      </c>
      <c r="N76" s="67">
        <f>SUM(N69:N75)</f>
        <v>7276</v>
      </c>
      <c r="O76" s="68" t="s">
        <v>6</v>
      </c>
      <c r="P76" s="67" t="s">
        <v>8</v>
      </c>
      <c r="R76" t="str">
        <f t="shared" si="66"/>
        <v>yes</v>
      </c>
      <c r="U76">
        <v>2019</v>
      </c>
      <c r="V76">
        <v>4009</v>
      </c>
      <c r="W76">
        <v>443</v>
      </c>
      <c r="X76">
        <v>514</v>
      </c>
      <c r="Y76">
        <v>522</v>
      </c>
      <c r="Z76">
        <v>351</v>
      </c>
      <c r="AA76">
        <v>788</v>
      </c>
      <c r="AB76">
        <v>294</v>
      </c>
      <c r="AC76">
        <v>218</v>
      </c>
      <c r="AD76">
        <v>391</v>
      </c>
    </row>
    <row r="77" spans="1:30" x14ac:dyDescent="0.35">
      <c r="A77" s="174" t="s">
        <v>1</v>
      </c>
      <c r="B77" s="169" t="s">
        <v>7</v>
      </c>
      <c r="C77" s="45" t="s">
        <v>22</v>
      </c>
      <c r="D77" s="45">
        <v>45</v>
      </c>
      <c r="E77" s="45">
        <v>0</v>
      </c>
      <c r="F77" s="45">
        <v>8</v>
      </c>
      <c r="G77" s="45">
        <v>0</v>
      </c>
      <c r="H77" s="45">
        <v>0</v>
      </c>
      <c r="I77" s="45">
        <v>6</v>
      </c>
      <c r="J77" s="45">
        <v>0</v>
      </c>
      <c r="K77" s="45">
        <v>1</v>
      </c>
      <c r="L77" s="45">
        <v>4</v>
      </c>
      <c r="M77" s="45">
        <v>0</v>
      </c>
      <c r="N77" s="45">
        <v>64</v>
      </c>
      <c r="O77" s="46" t="s">
        <v>1</v>
      </c>
      <c r="P77" s="45" t="s">
        <v>7</v>
      </c>
      <c r="R77" t="str">
        <f t="shared" si="66"/>
        <v>yes</v>
      </c>
      <c r="U77">
        <v>2018</v>
      </c>
      <c r="V77">
        <v>2982</v>
      </c>
      <c r="W77">
        <v>552</v>
      </c>
      <c r="X77">
        <v>515</v>
      </c>
      <c r="Y77">
        <v>684</v>
      </c>
      <c r="Z77">
        <v>718</v>
      </c>
      <c r="AA77">
        <v>448</v>
      </c>
      <c r="AB77">
        <v>455</v>
      </c>
      <c r="AC77">
        <v>282</v>
      </c>
      <c r="AD77">
        <v>674</v>
      </c>
    </row>
    <row r="78" spans="1:30" ht="15" thickBot="1" x14ac:dyDescent="0.4">
      <c r="A78" s="174"/>
      <c r="B78" s="170"/>
      <c r="C78" s="45" t="s">
        <v>23</v>
      </c>
      <c r="D78" s="45">
        <v>76</v>
      </c>
      <c r="E78" s="45">
        <v>0</v>
      </c>
      <c r="F78" s="45">
        <v>30</v>
      </c>
      <c r="G78" s="45">
        <v>0</v>
      </c>
      <c r="H78" s="45">
        <v>0</v>
      </c>
      <c r="I78" s="45">
        <v>7</v>
      </c>
      <c r="J78" s="45">
        <v>0</v>
      </c>
      <c r="K78" s="45">
        <v>3</v>
      </c>
      <c r="L78" s="45">
        <v>2</v>
      </c>
      <c r="M78" s="45">
        <v>0</v>
      </c>
      <c r="N78" s="45">
        <v>118</v>
      </c>
      <c r="O78" s="46" t="s">
        <v>1</v>
      </c>
      <c r="P78" s="45" t="s">
        <v>7</v>
      </c>
      <c r="R78" t="str">
        <f t="shared" si="66"/>
        <v>yes</v>
      </c>
      <c r="U78">
        <v>2017</v>
      </c>
      <c r="V78">
        <v>3949</v>
      </c>
      <c r="W78">
        <v>430</v>
      </c>
      <c r="X78">
        <v>548</v>
      </c>
      <c r="Y78">
        <v>589</v>
      </c>
      <c r="Z78">
        <v>445</v>
      </c>
      <c r="AA78">
        <v>332</v>
      </c>
      <c r="AB78">
        <v>306</v>
      </c>
      <c r="AC78">
        <v>308</v>
      </c>
      <c r="AD78">
        <v>802</v>
      </c>
    </row>
    <row r="79" spans="1:30" x14ac:dyDescent="0.35">
      <c r="A79" s="174"/>
      <c r="B79" s="170"/>
      <c r="C79" s="45" t="s">
        <v>24</v>
      </c>
      <c r="D79" s="45">
        <v>16</v>
      </c>
      <c r="E79" s="45">
        <v>0</v>
      </c>
      <c r="F79" s="45">
        <v>1</v>
      </c>
      <c r="G79" s="45">
        <v>1</v>
      </c>
      <c r="H79" s="45">
        <v>0</v>
      </c>
      <c r="I79" s="45">
        <v>1</v>
      </c>
      <c r="J79" s="45">
        <v>0</v>
      </c>
      <c r="K79" s="45">
        <v>2</v>
      </c>
      <c r="L79" s="45">
        <v>2</v>
      </c>
      <c r="M79" s="45">
        <v>0</v>
      </c>
      <c r="N79" s="45">
        <v>23</v>
      </c>
      <c r="O79" s="46" t="s">
        <v>1</v>
      </c>
      <c r="P79" s="45" t="s">
        <v>7</v>
      </c>
      <c r="R79" t="str">
        <f t="shared" si="66"/>
        <v>yes</v>
      </c>
      <c r="U79" s="205" t="s">
        <v>141</v>
      </c>
      <c r="V79" s="206"/>
      <c r="W79" s="206"/>
      <c r="X79" s="206"/>
      <c r="Y79" s="206"/>
      <c r="Z79" s="206"/>
      <c r="AA79" s="206"/>
      <c r="AB79" s="206"/>
      <c r="AC79" s="206"/>
      <c r="AD79" s="207"/>
    </row>
    <row r="80" spans="1:30" x14ac:dyDescent="0.35">
      <c r="A80" s="174"/>
      <c r="B80" s="170"/>
      <c r="C80" s="45" t="s">
        <v>25</v>
      </c>
      <c r="D80" s="45">
        <v>14</v>
      </c>
      <c r="E80" s="45">
        <v>2</v>
      </c>
      <c r="F80" s="45">
        <v>3</v>
      </c>
      <c r="G80" s="45">
        <v>3</v>
      </c>
      <c r="H80" s="45">
        <v>9</v>
      </c>
      <c r="I80" s="45">
        <v>6</v>
      </c>
      <c r="J80" s="45">
        <v>1</v>
      </c>
      <c r="K80" s="45">
        <v>0</v>
      </c>
      <c r="L80" s="45">
        <v>3</v>
      </c>
      <c r="M80" s="45">
        <v>0</v>
      </c>
      <c r="N80" s="45">
        <v>41</v>
      </c>
      <c r="O80" s="46" t="s">
        <v>1</v>
      </c>
      <c r="P80" s="45" t="s">
        <v>7</v>
      </c>
      <c r="R80" t="str">
        <f t="shared" si="66"/>
        <v>yes</v>
      </c>
      <c r="U80" s="208"/>
      <c r="V80" s="209"/>
      <c r="W80" s="209"/>
      <c r="X80" s="209"/>
      <c r="Y80" s="209"/>
      <c r="Z80" s="209"/>
      <c r="AA80" s="209"/>
      <c r="AB80" s="209"/>
      <c r="AC80" s="209"/>
      <c r="AD80" s="210"/>
    </row>
    <row r="81" spans="1:30" x14ac:dyDescent="0.35">
      <c r="A81" s="174"/>
      <c r="B81" s="170"/>
      <c r="C81" s="45" t="s">
        <v>26</v>
      </c>
      <c r="D81" s="45">
        <v>3</v>
      </c>
      <c r="E81" s="45">
        <v>0</v>
      </c>
      <c r="F81" s="45">
        <v>0</v>
      </c>
      <c r="G81" s="45">
        <v>0</v>
      </c>
      <c r="H81" s="45">
        <v>0</v>
      </c>
      <c r="I81" s="45">
        <v>0</v>
      </c>
      <c r="J81" s="45">
        <v>0</v>
      </c>
      <c r="K81" s="45">
        <v>0</v>
      </c>
      <c r="L81" s="45">
        <v>2</v>
      </c>
      <c r="M81" s="45">
        <v>0</v>
      </c>
      <c r="N81" s="45">
        <v>5</v>
      </c>
      <c r="O81" s="46" t="s">
        <v>1</v>
      </c>
      <c r="P81" s="45" t="s">
        <v>7</v>
      </c>
      <c r="R81" t="str">
        <f t="shared" si="66"/>
        <v>yes</v>
      </c>
      <c r="U81" t="s">
        <v>45</v>
      </c>
      <c r="V81" s="1" t="s">
        <v>10</v>
      </c>
      <c r="W81" s="1" t="s">
        <v>11</v>
      </c>
      <c r="X81" s="1" t="s">
        <v>12</v>
      </c>
      <c r="Y81" s="1" t="s">
        <v>13</v>
      </c>
      <c r="Z81" s="1" t="s">
        <v>14</v>
      </c>
      <c r="AA81" s="1" t="s">
        <v>15</v>
      </c>
      <c r="AB81" s="1" t="s">
        <v>16</v>
      </c>
      <c r="AC81" s="1" t="s">
        <v>17</v>
      </c>
      <c r="AD81" s="1" t="s">
        <v>18</v>
      </c>
    </row>
    <row r="82" spans="1:30" x14ac:dyDescent="0.35">
      <c r="A82" s="174"/>
      <c r="B82" s="170"/>
      <c r="C82" s="45" t="s">
        <v>27</v>
      </c>
      <c r="D82" s="45">
        <v>14</v>
      </c>
      <c r="E82" s="45">
        <v>1</v>
      </c>
      <c r="F82" s="45">
        <v>0</v>
      </c>
      <c r="G82" s="45">
        <v>0</v>
      </c>
      <c r="H82" s="45">
        <v>0</v>
      </c>
      <c r="I82" s="45">
        <v>0</v>
      </c>
      <c r="J82" s="45">
        <v>0</v>
      </c>
      <c r="K82" s="45">
        <v>0</v>
      </c>
      <c r="L82" s="45">
        <v>0</v>
      </c>
      <c r="M82" s="45">
        <v>0</v>
      </c>
      <c r="N82" s="45">
        <v>15</v>
      </c>
      <c r="O82" s="46" t="s">
        <v>1</v>
      </c>
      <c r="P82" s="45" t="s">
        <v>7</v>
      </c>
      <c r="R82" t="str">
        <f t="shared" si="66"/>
        <v>yes</v>
      </c>
      <c r="U82">
        <v>2017</v>
      </c>
      <c r="V82">
        <v>3949</v>
      </c>
      <c r="W82">
        <v>430</v>
      </c>
      <c r="X82">
        <v>548</v>
      </c>
      <c r="Y82">
        <v>589</v>
      </c>
      <c r="Z82">
        <v>445</v>
      </c>
      <c r="AA82">
        <v>332</v>
      </c>
      <c r="AB82">
        <v>306</v>
      </c>
      <c r="AC82">
        <v>308</v>
      </c>
      <c r="AD82">
        <v>802</v>
      </c>
    </row>
    <row r="83" spans="1:30" ht="15" thickBot="1" x14ac:dyDescent="0.4">
      <c r="A83" s="174"/>
      <c r="B83" s="190"/>
      <c r="C83" s="69" t="s">
        <v>61</v>
      </c>
      <c r="D83" s="69">
        <f>SUM(D77:D82)</f>
        <v>168</v>
      </c>
      <c r="E83" s="69">
        <f t="shared" ref="E83:M83" si="79">SUM(E77:E82)</f>
        <v>3</v>
      </c>
      <c r="F83" s="69">
        <f t="shared" si="79"/>
        <v>42</v>
      </c>
      <c r="G83" s="69">
        <f t="shared" si="79"/>
        <v>4</v>
      </c>
      <c r="H83" s="69">
        <f t="shared" si="79"/>
        <v>9</v>
      </c>
      <c r="I83" s="69">
        <f t="shared" si="79"/>
        <v>20</v>
      </c>
      <c r="J83" s="69">
        <f t="shared" si="79"/>
        <v>1</v>
      </c>
      <c r="K83" s="69">
        <f t="shared" si="79"/>
        <v>6</v>
      </c>
      <c r="L83" s="69">
        <f t="shared" si="79"/>
        <v>13</v>
      </c>
      <c r="M83" s="69">
        <f t="shared" si="79"/>
        <v>0</v>
      </c>
      <c r="N83" s="69">
        <f>SUM(N77:N82)</f>
        <v>266</v>
      </c>
      <c r="O83" s="70" t="s">
        <v>6</v>
      </c>
      <c r="P83" s="69" t="s">
        <v>7</v>
      </c>
      <c r="R83" t="str">
        <f t="shared" si="66"/>
        <v>yes</v>
      </c>
      <c r="U83">
        <v>2018</v>
      </c>
      <c r="V83">
        <v>2982</v>
      </c>
      <c r="W83">
        <v>552</v>
      </c>
      <c r="X83">
        <v>515</v>
      </c>
      <c r="Y83">
        <v>684</v>
      </c>
      <c r="Z83">
        <v>718</v>
      </c>
      <c r="AA83">
        <v>448</v>
      </c>
      <c r="AB83">
        <v>455</v>
      </c>
      <c r="AC83">
        <v>282</v>
      </c>
      <c r="AD83">
        <v>674</v>
      </c>
    </row>
    <row r="84" spans="1:30" x14ac:dyDescent="0.35">
      <c r="A84" s="174"/>
      <c r="B84" s="169" t="s">
        <v>8</v>
      </c>
      <c r="C84" s="45" t="s">
        <v>28</v>
      </c>
      <c r="D84" s="45">
        <v>621</v>
      </c>
      <c r="E84" s="45">
        <v>107</v>
      </c>
      <c r="F84" s="45">
        <v>79</v>
      </c>
      <c r="G84" s="45">
        <v>132</v>
      </c>
      <c r="H84" s="45">
        <v>145</v>
      </c>
      <c r="I84" s="45">
        <v>81</v>
      </c>
      <c r="J84" s="45">
        <v>63</v>
      </c>
      <c r="K84" s="45">
        <v>25</v>
      </c>
      <c r="L84" s="45">
        <v>176</v>
      </c>
      <c r="M84" s="45">
        <v>0</v>
      </c>
      <c r="N84" s="45">
        <v>1429</v>
      </c>
      <c r="O84" s="46" t="s">
        <v>1</v>
      </c>
      <c r="P84" s="45" t="s">
        <v>8</v>
      </c>
      <c r="R84" t="str">
        <f t="shared" si="66"/>
        <v>yes</v>
      </c>
      <c r="U84">
        <v>2019</v>
      </c>
      <c r="V84">
        <v>4009</v>
      </c>
      <c r="W84">
        <v>443</v>
      </c>
      <c r="X84">
        <v>514</v>
      </c>
      <c r="Y84">
        <v>522</v>
      </c>
      <c r="Z84">
        <v>351</v>
      </c>
      <c r="AA84">
        <v>788</v>
      </c>
      <c r="AB84">
        <v>294</v>
      </c>
      <c r="AC84">
        <v>218</v>
      </c>
      <c r="AD84">
        <v>391</v>
      </c>
    </row>
    <row r="85" spans="1:30" x14ac:dyDescent="0.35">
      <c r="A85" s="174"/>
      <c r="B85" s="170"/>
      <c r="C85" s="45" t="s">
        <v>29</v>
      </c>
      <c r="D85" s="45">
        <v>207</v>
      </c>
      <c r="E85" s="45">
        <v>40</v>
      </c>
      <c r="F85" s="45">
        <v>21</v>
      </c>
      <c r="G85" s="45">
        <v>36</v>
      </c>
      <c r="H85" s="45">
        <v>28</v>
      </c>
      <c r="I85" s="45">
        <v>25</v>
      </c>
      <c r="J85" s="45">
        <v>30</v>
      </c>
      <c r="K85" s="45">
        <v>8</v>
      </c>
      <c r="L85" s="45">
        <v>28</v>
      </c>
      <c r="M85" s="45">
        <v>0</v>
      </c>
      <c r="N85" s="45">
        <v>423</v>
      </c>
      <c r="O85" s="46" t="s">
        <v>1</v>
      </c>
      <c r="P85" s="45" t="s">
        <v>8</v>
      </c>
      <c r="R85" t="str">
        <f t="shared" si="66"/>
        <v>yes</v>
      </c>
      <c r="U85">
        <v>2020</v>
      </c>
      <c r="V85">
        <v>3451</v>
      </c>
      <c r="W85">
        <v>406</v>
      </c>
      <c r="X85">
        <v>423</v>
      </c>
      <c r="Y85">
        <v>626</v>
      </c>
      <c r="Z85">
        <v>415</v>
      </c>
      <c r="AA85">
        <v>704</v>
      </c>
      <c r="AB85">
        <v>475</v>
      </c>
      <c r="AC85">
        <v>192</v>
      </c>
      <c r="AD85">
        <v>822</v>
      </c>
    </row>
    <row r="86" spans="1:30" x14ac:dyDescent="0.35">
      <c r="A86" s="174"/>
      <c r="B86" s="170"/>
      <c r="C86" s="45" t="s">
        <v>30</v>
      </c>
      <c r="D86" s="45">
        <v>51</v>
      </c>
      <c r="E86" s="45">
        <v>20</v>
      </c>
      <c r="F86" s="45">
        <v>37</v>
      </c>
      <c r="G86" s="45">
        <v>36</v>
      </c>
      <c r="H86" s="45">
        <v>12</v>
      </c>
      <c r="I86" s="45">
        <v>50</v>
      </c>
      <c r="J86" s="45">
        <v>20</v>
      </c>
      <c r="K86" s="45">
        <v>15</v>
      </c>
      <c r="L86" s="45">
        <v>24</v>
      </c>
      <c r="M86" s="45">
        <v>0</v>
      </c>
      <c r="N86" s="45">
        <v>265</v>
      </c>
      <c r="O86" s="46" t="s">
        <v>1</v>
      </c>
      <c r="P86" s="45" t="s">
        <v>8</v>
      </c>
      <c r="R86" t="str">
        <f t="shared" si="66"/>
        <v>yes</v>
      </c>
      <c r="U86">
        <v>2021</v>
      </c>
      <c r="V86">
        <v>3589</v>
      </c>
      <c r="W86">
        <v>637</v>
      </c>
      <c r="X86">
        <v>468</v>
      </c>
      <c r="Y86">
        <v>823</v>
      </c>
      <c r="Z86">
        <v>508</v>
      </c>
      <c r="AA86">
        <v>547</v>
      </c>
      <c r="AB86">
        <v>452</v>
      </c>
      <c r="AC86">
        <v>109</v>
      </c>
      <c r="AD86">
        <v>761</v>
      </c>
    </row>
    <row r="87" spans="1:30" x14ac:dyDescent="0.35">
      <c r="A87" s="174"/>
      <c r="B87" s="170"/>
      <c r="C87" s="45" t="s">
        <v>31</v>
      </c>
      <c r="D87" s="45">
        <v>37</v>
      </c>
      <c r="E87" s="45">
        <v>1</v>
      </c>
      <c r="F87" s="45">
        <v>0</v>
      </c>
      <c r="G87" s="45">
        <v>0</v>
      </c>
      <c r="H87" s="45">
        <v>0</v>
      </c>
      <c r="I87" s="45">
        <v>1</v>
      </c>
      <c r="J87" s="45">
        <v>1</v>
      </c>
      <c r="K87" s="45">
        <v>1</v>
      </c>
      <c r="L87" s="45">
        <v>21</v>
      </c>
      <c r="M87" s="45">
        <v>0</v>
      </c>
      <c r="N87" s="45">
        <v>62</v>
      </c>
      <c r="O87" s="46" t="s">
        <v>1</v>
      </c>
      <c r="P87" s="45" t="s">
        <v>8</v>
      </c>
      <c r="R87" t="str">
        <f t="shared" si="66"/>
        <v>yes</v>
      </c>
      <c r="U87">
        <v>2022</v>
      </c>
      <c r="V87">
        <v>3816</v>
      </c>
      <c r="W87">
        <v>628</v>
      </c>
      <c r="X87">
        <v>532</v>
      </c>
      <c r="Y87">
        <v>595</v>
      </c>
      <c r="Z87">
        <v>546</v>
      </c>
      <c r="AA87">
        <v>501</v>
      </c>
      <c r="AB87">
        <v>565</v>
      </c>
      <c r="AC87">
        <v>427</v>
      </c>
      <c r="AD87">
        <v>777</v>
      </c>
    </row>
    <row r="88" spans="1:30" x14ac:dyDescent="0.35">
      <c r="A88" s="174"/>
      <c r="B88" s="170"/>
      <c r="C88" s="45" t="s">
        <v>32</v>
      </c>
      <c r="D88" s="45">
        <v>1272</v>
      </c>
      <c r="E88" s="45">
        <v>272</v>
      </c>
      <c r="F88" s="45">
        <v>169</v>
      </c>
      <c r="G88" s="45">
        <v>304</v>
      </c>
      <c r="H88" s="45">
        <v>298</v>
      </c>
      <c r="I88" s="45">
        <v>168</v>
      </c>
      <c r="J88" s="45">
        <v>179</v>
      </c>
      <c r="K88" s="45">
        <v>74</v>
      </c>
      <c r="L88" s="45">
        <v>306</v>
      </c>
      <c r="M88" s="45">
        <v>0</v>
      </c>
      <c r="N88" s="45">
        <v>3042</v>
      </c>
      <c r="O88" s="46" t="s">
        <v>1</v>
      </c>
      <c r="P88" s="45" t="s">
        <v>8</v>
      </c>
      <c r="R88" t="str">
        <f t="shared" si="66"/>
        <v>yes</v>
      </c>
      <c r="U88">
        <v>2023</v>
      </c>
      <c r="V88">
        <v>5076</v>
      </c>
      <c r="W88">
        <v>545</v>
      </c>
      <c r="X88">
        <v>579</v>
      </c>
      <c r="Y88">
        <v>598</v>
      </c>
      <c r="Z88">
        <v>493</v>
      </c>
      <c r="AA88">
        <v>480</v>
      </c>
      <c r="AB88">
        <v>576</v>
      </c>
      <c r="AC88">
        <v>603</v>
      </c>
      <c r="AD88">
        <v>571</v>
      </c>
    </row>
    <row r="89" spans="1:30" x14ac:dyDescent="0.35">
      <c r="A89" s="174"/>
      <c r="B89" s="170"/>
      <c r="C89" s="45" t="s">
        <v>33</v>
      </c>
      <c r="D89" s="45">
        <v>444</v>
      </c>
      <c r="E89" s="45">
        <v>85</v>
      </c>
      <c r="F89" s="45">
        <v>140</v>
      </c>
      <c r="G89" s="45">
        <v>118</v>
      </c>
      <c r="H89" s="45">
        <v>200</v>
      </c>
      <c r="I89" s="45">
        <v>80</v>
      </c>
      <c r="J89" s="45">
        <v>126</v>
      </c>
      <c r="K89" s="45">
        <v>135</v>
      </c>
      <c r="L89" s="45">
        <v>93</v>
      </c>
      <c r="M89" s="45">
        <v>0</v>
      </c>
      <c r="N89" s="45">
        <v>1421</v>
      </c>
      <c r="O89" s="46" t="s">
        <v>1</v>
      </c>
      <c r="P89" s="45" t="s">
        <v>8</v>
      </c>
      <c r="R89" t="str">
        <f t="shared" si="66"/>
        <v>yes</v>
      </c>
      <c r="U89">
        <v>2024</v>
      </c>
      <c r="V89">
        <v>4500.1428571428987</v>
      </c>
      <c r="W89">
        <v>518.30776237579084</v>
      </c>
      <c r="X89">
        <v>511.09768631490658</v>
      </c>
      <c r="Y89">
        <v>634.00346027995874</v>
      </c>
      <c r="Z89">
        <v>496.65214127422882</v>
      </c>
      <c r="AA89">
        <v>542.7974278801986</v>
      </c>
      <c r="AB89">
        <v>446.14986709753668</v>
      </c>
      <c r="AC89">
        <v>305.57718880662298</v>
      </c>
      <c r="AD89">
        <v>685.42761910271383</v>
      </c>
    </row>
    <row r="90" spans="1:30" x14ac:dyDescent="0.35">
      <c r="A90" s="174"/>
      <c r="B90" s="170"/>
      <c r="C90" s="45" t="s">
        <v>34</v>
      </c>
      <c r="D90" s="45">
        <v>182</v>
      </c>
      <c r="E90" s="45">
        <v>24</v>
      </c>
      <c r="F90" s="45">
        <v>27</v>
      </c>
      <c r="G90" s="45">
        <v>54</v>
      </c>
      <c r="H90" s="45">
        <v>26</v>
      </c>
      <c r="I90" s="45">
        <v>23</v>
      </c>
      <c r="J90" s="45">
        <v>35</v>
      </c>
      <c r="K90" s="45">
        <v>18</v>
      </c>
      <c r="L90" s="45">
        <v>13</v>
      </c>
      <c r="M90" s="45">
        <v>0</v>
      </c>
      <c r="N90" s="45">
        <v>402</v>
      </c>
      <c r="O90" s="46" t="s">
        <v>1</v>
      </c>
      <c r="P90" s="45" t="s">
        <v>8</v>
      </c>
      <c r="R90" t="str">
        <f t="shared" si="66"/>
        <v>yes</v>
      </c>
      <c r="U90">
        <v>2025</v>
      </c>
      <c r="V90">
        <v>4925.2244897959172</v>
      </c>
      <c r="W90">
        <v>530.94210365926403</v>
      </c>
      <c r="X90">
        <v>505.63641075571991</v>
      </c>
      <c r="Y90">
        <v>640.56220734027136</v>
      </c>
      <c r="Z90">
        <v>504.09543915632537</v>
      </c>
      <c r="AA90">
        <v>572.83674461628516</v>
      </c>
      <c r="AB90">
        <v>466.23655165953488</v>
      </c>
      <c r="AC90">
        <v>305.31075217581127</v>
      </c>
      <c r="AD90">
        <v>668.76107849566461</v>
      </c>
    </row>
    <row r="91" spans="1:30" ht="15" thickBot="1" x14ac:dyDescent="0.4">
      <c r="A91" s="57"/>
      <c r="B91" s="190"/>
      <c r="C91" s="74" t="s">
        <v>61</v>
      </c>
      <c r="D91" s="69">
        <f>SUM(D84:D90)</f>
        <v>2814</v>
      </c>
      <c r="E91" s="69">
        <f t="shared" ref="E91:M91" si="80">SUM(E84:E90)</f>
        <v>549</v>
      </c>
      <c r="F91" s="69">
        <f t="shared" si="80"/>
        <v>473</v>
      </c>
      <c r="G91" s="69">
        <f t="shared" si="80"/>
        <v>680</v>
      </c>
      <c r="H91" s="69">
        <f t="shared" si="80"/>
        <v>709</v>
      </c>
      <c r="I91" s="69">
        <f t="shared" si="80"/>
        <v>428</v>
      </c>
      <c r="J91" s="69">
        <f t="shared" si="80"/>
        <v>454</v>
      </c>
      <c r="K91" s="69">
        <f t="shared" si="80"/>
        <v>276</v>
      </c>
      <c r="L91" s="69">
        <f t="shared" si="80"/>
        <v>661</v>
      </c>
      <c r="M91" s="69">
        <f t="shared" si="80"/>
        <v>0</v>
      </c>
      <c r="N91" s="69">
        <f>SUM(N84:N90)</f>
        <v>7044</v>
      </c>
      <c r="O91" s="70" t="s">
        <v>6</v>
      </c>
      <c r="P91" s="69" t="s">
        <v>8</v>
      </c>
      <c r="R91" t="str">
        <f t="shared" si="66"/>
        <v>yes</v>
      </c>
      <c r="U91">
        <v>2026</v>
      </c>
      <c r="V91">
        <v>5100.0466472302796</v>
      </c>
      <c r="W91">
        <v>535.82310887508345</v>
      </c>
      <c r="X91">
        <v>505.9236051998065</v>
      </c>
      <c r="Y91">
        <v>633.12406914246026</v>
      </c>
      <c r="Z91">
        <v>473.06767484655779</v>
      </c>
      <c r="AA91">
        <v>591.32290330449325</v>
      </c>
      <c r="AB91">
        <v>467.41496028755307</v>
      </c>
      <c r="AC91">
        <v>308.13724520551983</v>
      </c>
      <c r="AD91">
        <v>668.09683391264844</v>
      </c>
    </row>
    <row r="92" spans="1:30" x14ac:dyDescent="0.35">
      <c r="A92" s="166" t="s">
        <v>0</v>
      </c>
      <c r="B92" s="167" t="s">
        <v>7</v>
      </c>
      <c r="C92" s="39" t="s">
        <v>22</v>
      </c>
      <c r="D92" s="39">
        <v>79</v>
      </c>
      <c r="E92" s="39">
        <v>0</v>
      </c>
      <c r="F92" s="39">
        <v>3</v>
      </c>
      <c r="G92" s="39">
        <v>1</v>
      </c>
      <c r="H92" s="39">
        <v>2</v>
      </c>
      <c r="I92" s="39">
        <v>5</v>
      </c>
      <c r="J92" s="39">
        <v>0</v>
      </c>
      <c r="K92" s="39">
        <v>1</v>
      </c>
      <c r="L92" s="39">
        <v>7</v>
      </c>
      <c r="M92" s="39">
        <v>0</v>
      </c>
      <c r="N92" s="39">
        <v>98</v>
      </c>
      <c r="O92" s="40" t="s">
        <v>0</v>
      </c>
      <c r="P92" s="39" t="s">
        <v>7</v>
      </c>
      <c r="U92">
        <v>2027</v>
      </c>
      <c r="V92">
        <v>5537.3065389420372</v>
      </c>
      <c r="W92">
        <v>539.83669333110186</v>
      </c>
      <c r="X92">
        <v>502.62899794884953</v>
      </c>
      <c r="Y92">
        <v>650.5724621859423</v>
      </c>
      <c r="Z92">
        <v>490.85960530927014</v>
      </c>
      <c r="AA92">
        <v>562.66298375919473</v>
      </c>
      <c r="AB92">
        <v>492.56169312220857</v>
      </c>
      <c r="AC92">
        <v>321.47815313151466</v>
      </c>
      <c r="AD92">
        <v>707.59545238822693</v>
      </c>
    </row>
    <row r="93" spans="1:30" x14ac:dyDescent="0.35">
      <c r="A93" s="166"/>
      <c r="B93" s="168"/>
      <c r="C93" s="39" t="s">
        <v>23</v>
      </c>
      <c r="D93" s="39">
        <v>77</v>
      </c>
      <c r="E93" s="39">
        <v>0</v>
      </c>
      <c r="F93" s="39">
        <v>1</v>
      </c>
      <c r="G93" s="39">
        <v>3</v>
      </c>
      <c r="H93" s="39">
        <v>0</v>
      </c>
      <c r="I93" s="39">
        <v>1</v>
      </c>
      <c r="J93" s="39">
        <v>0</v>
      </c>
      <c r="K93" s="39">
        <v>1</v>
      </c>
      <c r="L93" s="39">
        <v>0</v>
      </c>
      <c r="M93" s="39">
        <v>0</v>
      </c>
      <c r="N93" s="39">
        <v>83</v>
      </c>
      <c r="O93" s="40" t="s">
        <v>0</v>
      </c>
      <c r="P93" s="39" t="s">
        <v>7</v>
      </c>
    </row>
    <row r="94" spans="1:30" x14ac:dyDescent="0.35">
      <c r="A94" s="166"/>
      <c r="B94" s="168"/>
      <c r="C94" s="39" t="s">
        <v>24</v>
      </c>
      <c r="D94" s="39">
        <v>26</v>
      </c>
      <c r="E94" s="39">
        <v>0</v>
      </c>
      <c r="F94" s="39">
        <v>1</v>
      </c>
      <c r="G94" s="39">
        <v>2</v>
      </c>
      <c r="H94" s="39">
        <v>0</v>
      </c>
      <c r="I94" s="39">
        <v>2</v>
      </c>
      <c r="J94" s="39">
        <v>0</v>
      </c>
      <c r="K94" s="39">
        <v>1</v>
      </c>
      <c r="L94" s="39">
        <v>0</v>
      </c>
      <c r="M94" s="39">
        <v>0</v>
      </c>
      <c r="N94" s="39">
        <v>32</v>
      </c>
      <c r="O94" s="40" t="s">
        <v>0</v>
      </c>
      <c r="P94" s="39" t="s">
        <v>7</v>
      </c>
    </row>
    <row r="95" spans="1:30" x14ac:dyDescent="0.35">
      <c r="A95" s="166"/>
      <c r="B95" s="168"/>
      <c r="C95" s="39" t="s">
        <v>25</v>
      </c>
      <c r="D95" s="39">
        <v>15</v>
      </c>
      <c r="E95" s="39">
        <v>4</v>
      </c>
      <c r="F95" s="39">
        <v>3</v>
      </c>
      <c r="G95" s="39">
        <v>5</v>
      </c>
      <c r="H95" s="39">
        <v>9</v>
      </c>
      <c r="I95" s="39">
        <v>9</v>
      </c>
      <c r="J95" s="39">
        <v>0</v>
      </c>
      <c r="K95" s="39">
        <v>1</v>
      </c>
      <c r="L95" s="39">
        <v>5</v>
      </c>
      <c r="M95" s="39">
        <v>0</v>
      </c>
      <c r="N95" s="39">
        <v>51</v>
      </c>
      <c r="O95" s="40" t="s">
        <v>0</v>
      </c>
      <c r="P95" s="39" t="s">
        <v>7</v>
      </c>
    </row>
    <row r="96" spans="1:30" x14ac:dyDescent="0.35">
      <c r="A96" s="166"/>
      <c r="B96" s="168"/>
      <c r="C96" s="39" t="s">
        <v>26</v>
      </c>
      <c r="D96" s="39">
        <v>4</v>
      </c>
      <c r="E96" s="39">
        <v>0</v>
      </c>
      <c r="F96" s="39">
        <v>1</v>
      </c>
      <c r="G96" s="39">
        <v>1</v>
      </c>
      <c r="H96" s="39">
        <v>0</v>
      </c>
      <c r="I96" s="39">
        <v>0</v>
      </c>
      <c r="J96" s="39">
        <v>0</v>
      </c>
      <c r="K96" s="39">
        <v>0</v>
      </c>
      <c r="L96" s="39">
        <v>0</v>
      </c>
      <c r="M96" s="39">
        <v>0</v>
      </c>
      <c r="N96" s="39">
        <v>6</v>
      </c>
      <c r="O96" s="40" t="s">
        <v>0</v>
      </c>
      <c r="P96" s="39" t="s">
        <v>7</v>
      </c>
    </row>
    <row r="97" spans="1:16" x14ac:dyDescent="0.35">
      <c r="A97" s="166"/>
      <c r="B97" s="168"/>
      <c r="C97" s="39" t="s">
        <v>27</v>
      </c>
      <c r="D97" s="39">
        <v>12</v>
      </c>
      <c r="E97" s="39">
        <v>0</v>
      </c>
      <c r="F97" s="39">
        <v>2</v>
      </c>
      <c r="G97" s="39">
        <v>0</v>
      </c>
      <c r="H97" s="39">
        <v>0</v>
      </c>
      <c r="I97" s="39">
        <v>0</v>
      </c>
      <c r="J97" s="39">
        <v>0</v>
      </c>
      <c r="K97" s="39">
        <v>0</v>
      </c>
      <c r="L97" s="39">
        <v>0</v>
      </c>
      <c r="M97" s="39">
        <v>0</v>
      </c>
      <c r="N97" s="39">
        <v>14</v>
      </c>
      <c r="O97" s="40" t="s">
        <v>0</v>
      </c>
      <c r="P97" s="39" t="s">
        <v>7</v>
      </c>
    </row>
    <row r="98" spans="1:16" ht="15" thickBot="1" x14ac:dyDescent="0.4">
      <c r="A98" s="166"/>
      <c r="B98" s="191"/>
      <c r="C98" s="71" t="s">
        <v>61</v>
      </c>
      <c r="D98" s="71">
        <f>SUM(D92:D97)</f>
        <v>213</v>
      </c>
      <c r="E98" s="71">
        <f t="shared" ref="E98:M98" si="81">SUM(E92:E97)</f>
        <v>4</v>
      </c>
      <c r="F98" s="71">
        <f t="shared" si="81"/>
        <v>11</v>
      </c>
      <c r="G98" s="71">
        <f t="shared" si="81"/>
        <v>12</v>
      </c>
      <c r="H98" s="71">
        <f t="shared" si="81"/>
        <v>11</v>
      </c>
      <c r="I98" s="71">
        <f t="shared" si="81"/>
        <v>17</v>
      </c>
      <c r="J98" s="71">
        <f t="shared" si="81"/>
        <v>0</v>
      </c>
      <c r="K98" s="71">
        <f t="shared" si="81"/>
        <v>4</v>
      </c>
      <c r="L98" s="71">
        <f t="shared" si="81"/>
        <v>12</v>
      </c>
      <c r="M98" s="71">
        <f t="shared" si="81"/>
        <v>0</v>
      </c>
      <c r="N98" s="71">
        <f>SUM(N92:N97)</f>
        <v>284</v>
      </c>
      <c r="O98" s="72" t="s">
        <v>6</v>
      </c>
      <c r="P98" s="71" t="s">
        <v>7</v>
      </c>
    </row>
    <row r="99" spans="1:16" x14ac:dyDescent="0.35">
      <c r="A99" s="166"/>
      <c r="B99" s="167" t="s">
        <v>8</v>
      </c>
      <c r="C99" s="39" t="s">
        <v>28</v>
      </c>
      <c r="D99" s="39">
        <v>532</v>
      </c>
      <c r="E99" s="39">
        <v>123</v>
      </c>
      <c r="F99" s="39">
        <v>64</v>
      </c>
      <c r="G99" s="39">
        <v>110</v>
      </c>
      <c r="H99" s="39">
        <v>59</v>
      </c>
      <c r="I99" s="39">
        <v>62</v>
      </c>
      <c r="J99" s="39">
        <v>51</v>
      </c>
      <c r="K99" s="39">
        <v>26</v>
      </c>
      <c r="L99" s="39">
        <v>143</v>
      </c>
      <c r="M99" s="39">
        <v>0</v>
      </c>
      <c r="N99" s="39">
        <v>1170</v>
      </c>
      <c r="O99" s="40" t="s">
        <v>0</v>
      </c>
      <c r="P99" s="39" t="s">
        <v>8</v>
      </c>
    </row>
    <row r="100" spans="1:16" x14ac:dyDescent="0.35">
      <c r="A100" s="166"/>
      <c r="B100" s="168"/>
      <c r="C100" s="39" t="s">
        <v>29</v>
      </c>
      <c r="D100" s="39">
        <v>202</v>
      </c>
      <c r="E100" s="39">
        <v>16</v>
      </c>
      <c r="F100" s="39">
        <v>32</v>
      </c>
      <c r="G100" s="39">
        <v>23</v>
      </c>
      <c r="H100" s="39">
        <v>19</v>
      </c>
      <c r="I100" s="39">
        <v>26</v>
      </c>
      <c r="J100" s="39">
        <v>20</v>
      </c>
      <c r="K100" s="39">
        <v>7</v>
      </c>
      <c r="L100" s="39">
        <v>35</v>
      </c>
      <c r="M100" s="39">
        <v>0</v>
      </c>
      <c r="N100" s="39">
        <v>380</v>
      </c>
      <c r="O100" s="40" t="s">
        <v>0</v>
      </c>
      <c r="P100" s="39" t="s">
        <v>8</v>
      </c>
    </row>
    <row r="101" spans="1:16" x14ac:dyDescent="0.35">
      <c r="A101" s="166"/>
      <c r="B101" s="168"/>
      <c r="C101" s="39" t="s">
        <v>30</v>
      </c>
      <c r="D101" s="39">
        <v>117</v>
      </c>
      <c r="E101" s="39">
        <v>13</v>
      </c>
      <c r="F101" s="39">
        <v>14</v>
      </c>
      <c r="G101" s="39">
        <v>14</v>
      </c>
      <c r="H101" s="39">
        <v>24</v>
      </c>
      <c r="I101" s="39">
        <v>20</v>
      </c>
      <c r="J101" s="39">
        <v>5</v>
      </c>
      <c r="K101" s="39">
        <v>97</v>
      </c>
      <c r="L101" s="39">
        <v>12</v>
      </c>
      <c r="M101" s="39">
        <v>0</v>
      </c>
      <c r="N101" s="39">
        <v>316</v>
      </c>
      <c r="O101" s="40" t="s">
        <v>0</v>
      </c>
      <c r="P101" s="39" t="s">
        <v>8</v>
      </c>
    </row>
    <row r="102" spans="1:16" x14ac:dyDescent="0.35">
      <c r="A102" s="166"/>
      <c r="B102" s="168"/>
      <c r="C102" s="39" t="s">
        <v>31</v>
      </c>
      <c r="D102" s="39">
        <v>49</v>
      </c>
      <c r="E102" s="39">
        <v>5</v>
      </c>
      <c r="F102" s="39">
        <v>8</v>
      </c>
      <c r="G102" s="39">
        <v>6</v>
      </c>
      <c r="H102" s="39">
        <v>5</v>
      </c>
      <c r="I102" s="39">
        <v>0</v>
      </c>
      <c r="J102" s="39">
        <v>1</v>
      </c>
      <c r="K102" s="39">
        <v>0</v>
      </c>
      <c r="L102" s="39">
        <v>6</v>
      </c>
      <c r="M102" s="39">
        <v>0</v>
      </c>
      <c r="N102" s="39">
        <v>80</v>
      </c>
      <c r="O102" s="40" t="s">
        <v>0</v>
      </c>
      <c r="P102" s="39" t="s">
        <v>8</v>
      </c>
    </row>
    <row r="103" spans="1:16" x14ac:dyDescent="0.35">
      <c r="A103" s="166"/>
      <c r="B103" s="168"/>
      <c r="C103" s="39" t="s">
        <v>32</v>
      </c>
      <c r="D103" s="39">
        <v>1626</v>
      </c>
      <c r="E103" s="39">
        <v>186</v>
      </c>
      <c r="F103" s="39">
        <v>167</v>
      </c>
      <c r="G103" s="39">
        <v>246</v>
      </c>
      <c r="H103" s="39">
        <v>266</v>
      </c>
      <c r="I103" s="39">
        <v>118</v>
      </c>
      <c r="J103" s="39">
        <v>89</v>
      </c>
      <c r="K103" s="39">
        <v>63</v>
      </c>
      <c r="L103" s="39">
        <v>243</v>
      </c>
      <c r="M103" s="39">
        <v>0</v>
      </c>
      <c r="N103" s="39">
        <v>3004</v>
      </c>
      <c r="O103" s="40" t="s">
        <v>0</v>
      </c>
      <c r="P103" s="39" t="s">
        <v>8</v>
      </c>
    </row>
    <row r="104" spans="1:16" x14ac:dyDescent="0.35">
      <c r="A104" s="166"/>
      <c r="B104" s="168"/>
      <c r="C104" s="39" t="s">
        <v>33</v>
      </c>
      <c r="D104" s="39">
        <v>955</v>
      </c>
      <c r="E104" s="39">
        <v>56</v>
      </c>
      <c r="F104" s="39">
        <v>109</v>
      </c>
      <c r="G104" s="39">
        <v>154</v>
      </c>
      <c r="H104" s="39">
        <v>45</v>
      </c>
      <c r="I104" s="39">
        <v>65</v>
      </c>
      <c r="J104" s="39">
        <v>129</v>
      </c>
      <c r="K104" s="39">
        <v>62</v>
      </c>
      <c r="L104" s="39">
        <v>309</v>
      </c>
      <c r="M104" s="39">
        <v>0</v>
      </c>
      <c r="N104" s="39">
        <v>1884</v>
      </c>
      <c r="O104" s="40" t="s">
        <v>0</v>
      </c>
      <c r="P104" s="39" t="s">
        <v>8</v>
      </c>
    </row>
    <row r="105" spans="1:16" x14ac:dyDescent="0.35">
      <c r="A105" s="166"/>
      <c r="B105" s="168"/>
      <c r="C105" s="39" t="s">
        <v>34</v>
      </c>
      <c r="D105" s="39">
        <v>255</v>
      </c>
      <c r="E105" s="39">
        <v>27</v>
      </c>
      <c r="F105" s="39">
        <v>143</v>
      </c>
      <c r="G105" s="39">
        <v>24</v>
      </c>
      <c r="H105" s="39">
        <v>16</v>
      </c>
      <c r="I105" s="39">
        <v>24</v>
      </c>
      <c r="J105" s="39">
        <v>11</v>
      </c>
      <c r="K105" s="39">
        <v>49</v>
      </c>
      <c r="L105" s="39">
        <v>42</v>
      </c>
      <c r="M105" s="39">
        <v>0</v>
      </c>
      <c r="N105" s="39">
        <v>591</v>
      </c>
      <c r="O105" s="40" t="s">
        <v>0</v>
      </c>
      <c r="P105" s="39" t="s">
        <v>8</v>
      </c>
    </row>
    <row r="106" spans="1:16" ht="15" thickBot="1" x14ac:dyDescent="0.4">
      <c r="A106" s="56"/>
      <c r="B106" s="191"/>
      <c r="C106" s="73" t="s">
        <v>61</v>
      </c>
      <c r="D106" s="71">
        <f>SUM(D99:D105)</f>
        <v>3736</v>
      </c>
      <c r="E106" s="71">
        <f t="shared" ref="E106:M106" si="82">SUM(E99:E105)</f>
        <v>426</v>
      </c>
      <c r="F106" s="71">
        <f t="shared" si="82"/>
        <v>537</v>
      </c>
      <c r="G106" s="71">
        <f t="shared" si="82"/>
        <v>577</v>
      </c>
      <c r="H106" s="71">
        <f t="shared" si="82"/>
        <v>434</v>
      </c>
      <c r="I106" s="71">
        <f t="shared" si="82"/>
        <v>315</v>
      </c>
      <c r="J106" s="71">
        <f t="shared" si="82"/>
        <v>306</v>
      </c>
      <c r="K106" s="71">
        <f t="shared" si="82"/>
        <v>304</v>
      </c>
      <c r="L106" s="71">
        <f t="shared" si="82"/>
        <v>790</v>
      </c>
      <c r="M106" s="71">
        <f t="shared" si="82"/>
        <v>0</v>
      </c>
      <c r="N106" s="71">
        <f>SUM(N99:N105)</f>
        <v>7425</v>
      </c>
      <c r="O106" s="72" t="s">
        <v>6</v>
      </c>
      <c r="P106" s="71" t="s">
        <v>8</v>
      </c>
    </row>
  </sheetData>
  <sortState xmlns:xlrd2="http://schemas.microsoft.com/office/spreadsheetml/2017/richdata2" ref="U82:AD92">
    <sortCondition ref="U82:U92"/>
  </sortState>
  <mergeCells count="30">
    <mergeCell ref="U65:AD66"/>
    <mergeCell ref="U79:AD80"/>
    <mergeCell ref="A2:A15"/>
    <mergeCell ref="B2:B8"/>
    <mergeCell ref="B9:B16"/>
    <mergeCell ref="A17:A30"/>
    <mergeCell ref="B17:B23"/>
    <mergeCell ref="B24:B31"/>
    <mergeCell ref="A32:A45"/>
    <mergeCell ref="B32:B38"/>
    <mergeCell ref="B39:B46"/>
    <mergeCell ref="A47:A60"/>
    <mergeCell ref="B47:B53"/>
    <mergeCell ref="B54:B61"/>
    <mergeCell ref="A92:A105"/>
    <mergeCell ref="B92:B98"/>
    <mergeCell ref="B99:B106"/>
    <mergeCell ref="A62:A75"/>
    <mergeCell ref="B62:B68"/>
    <mergeCell ref="B69:B76"/>
    <mergeCell ref="A77:A90"/>
    <mergeCell ref="B77:B83"/>
    <mergeCell ref="B84:B91"/>
    <mergeCell ref="AQ3:AY3"/>
    <mergeCell ref="BA3:BG3"/>
    <mergeCell ref="BA11:BG11"/>
    <mergeCell ref="V31:AD31"/>
    <mergeCell ref="AF2:AN2"/>
    <mergeCell ref="AF12:AN12"/>
    <mergeCell ref="V2:AD2"/>
  </mergeCells>
  <pageMargins left="0.7" right="0.7" top="0.75" bottom="0.75" header="0.3" footer="0.3"/>
  <pageSetup orientation="portrait" r:id="rId1"/>
  <drawing r:id="rId2"/>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5E0CB-672A-4ED4-A182-F89CFF7AD75E}">
  <sheetPr codeName="Sheet8"/>
  <dimension ref="A1:AA106"/>
  <sheetViews>
    <sheetView topLeftCell="A4" workbookViewId="0">
      <selection activeCell="E24" sqref="E24"/>
    </sheetView>
  </sheetViews>
  <sheetFormatPr defaultRowHeight="14.5" x14ac:dyDescent="0.35"/>
  <cols>
    <col min="2" max="2" width="14.08984375" bestFit="1" customWidth="1"/>
    <col min="3" max="3" width="27.1796875" bestFit="1" customWidth="1"/>
    <col min="4" max="4" width="8.1796875" bestFit="1" customWidth="1"/>
    <col min="5" max="5" width="9" bestFit="1" customWidth="1"/>
    <col min="6" max="6" width="6.36328125" bestFit="1" customWidth="1"/>
    <col min="7" max="7" width="7.1796875" bestFit="1" customWidth="1"/>
    <col min="8" max="8" width="9.36328125" bestFit="1" customWidth="1"/>
    <col min="9" max="9" width="12.6328125" bestFit="1" customWidth="1"/>
    <col min="10" max="10" width="9.453125" bestFit="1" customWidth="1"/>
    <col min="11" max="11" width="11.453125" bestFit="1" customWidth="1"/>
    <col min="12" max="12" width="9.6328125" bestFit="1" customWidth="1"/>
    <col min="13" max="13" width="10.90625" bestFit="1" customWidth="1"/>
    <col min="14" max="14" width="9.453125" bestFit="1" customWidth="1"/>
    <col min="15" max="15" width="14.08984375" bestFit="1" customWidth="1"/>
    <col min="19" max="19" width="12.54296875" bestFit="1" customWidth="1"/>
    <col min="20" max="23" width="11.81640625" bestFit="1" customWidth="1"/>
    <col min="24" max="24" width="12.453125" bestFit="1" customWidth="1"/>
    <col min="25" max="26" width="11.81640625" bestFit="1" customWidth="1"/>
    <col min="27" max="27" width="7.81640625" bestFit="1" customWidth="1"/>
  </cols>
  <sheetData>
    <row r="1" spans="1:27" ht="42.5" customHeight="1" thickBot="1" x14ac:dyDescent="0.4">
      <c r="C1" s="1" t="s">
        <v>9</v>
      </c>
      <c r="D1" s="1" t="s">
        <v>10</v>
      </c>
      <c r="E1" s="1" t="s">
        <v>11</v>
      </c>
      <c r="F1" s="1" t="s">
        <v>12</v>
      </c>
      <c r="G1" s="1" t="s">
        <v>13</v>
      </c>
      <c r="H1" s="1" t="s">
        <v>14</v>
      </c>
      <c r="I1" s="1" t="s">
        <v>15</v>
      </c>
      <c r="J1" s="1" t="s">
        <v>16</v>
      </c>
      <c r="K1" s="1" t="s">
        <v>17</v>
      </c>
      <c r="L1" s="1" t="s">
        <v>18</v>
      </c>
      <c r="M1" s="1" t="s">
        <v>62</v>
      </c>
      <c r="N1" s="1" t="s">
        <v>45</v>
      </c>
      <c r="O1" s="1" t="s">
        <v>44</v>
      </c>
    </row>
    <row r="2" spans="1:27" ht="15" thickBot="1" x14ac:dyDescent="0.4">
      <c r="A2" s="181" t="s">
        <v>6</v>
      </c>
      <c r="B2" s="164" t="s">
        <v>7</v>
      </c>
      <c r="C2" s="7" t="s">
        <v>22</v>
      </c>
      <c r="D2" s="81">
        <f>'Raw Data Totals'!D2/S$31</f>
        <v>4.3897431261403552</v>
      </c>
      <c r="E2" s="81">
        <f>'Raw Data Totals'!E2/T$31</f>
        <v>11.3314447592068</v>
      </c>
      <c r="F2" s="81">
        <f>'Raw Data Totals'!F2/U$31</f>
        <v>1.507352109916116</v>
      </c>
      <c r="G2" s="81">
        <f>'Raw Data Totals'!G2/V$31</f>
        <v>2.2651595804924458</v>
      </c>
      <c r="H2" s="81">
        <f>'Raw Data Totals'!H2/W$31</f>
        <v>1.4976785981728322</v>
      </c>
      <c r="I2" s="81">
        <f>'Raw Data Totals'!I2/X$31</f>
        <v>0.79099530939781526</v>
      </c>
      <c r="J2" s="81">
        <f>'Raw Data Totals'!J2/Y$31</f>
        <v>0</v>
      </c>
      <c r="K2" s="81">
        <f>'Raw Data Totals'!K2/Z$31</f>
        <v>2.34203007166612</v>
      </c>
      <c r="L2" s="81">
        <f>'Raw Data Totals'!L2/AA$31</f>
        <v>2.4610538232471142</v>
      </c>
      <c r="M2" s="81">
        <f t="shared" ref="M2:M7" si="0">AVERAGE(D2:L2)</f>
        <v>2.953939708693289</v>
      </c>
      <c r="N2" s="8" t="s">
        <v>6</v>
      </c>
      <c r="O2" s="9" t="s">
        <v>7</v>
      </c>
      <c r="P2">
        <f t="shared" ref="P2:P7" si="1">AVERAGE(D2:L2)</f>
        <v>2.953939708693289</v>
      </c>
    </row>
    <row r="3" spans="1:27" ht="15.5" customHeight="1" x14ac:dyDescent="0.35">
      <c r="A3" s="181"/>
      <c r="B3" s="165"/>
      <c r="C3" s="10" t="s">
        <v>23</v>
      </c>
      <c r="D3" s="82">
        <f>'Raw Data Totals'!D3/S$31</f>
        <v>4.3462803229112428</v>
      </c>
      <c r="E3" s="82">
        <f>'Raw Data Totals'!E3/T$31</f>
        <v>0</v>
      </c>
      <c r="F3" s="82">
        <f>'Raw Data Totals'!F3/U$31</f>
        <v>0</v>
      </c>
      <c r="G3" s="82">
        <f>'Raw Data Totals'!G3/V$31</f>
        <v>2.5168439783249394</v>
      </c>
      <c r="H3" s="82">
        <f>'Raw Data Totals'!H3/W$31</f>
        <v>1.4976785981728322</v>
      </c>
      <c r="I3" s="82">
        <f>'Raw Data Totals'!I3/X$31</f>
        <v>3.9549765469890765</v>
      </c>
      <c r="J3" s="82">
        <f>'Raw Data Totals'!J3/Y$31</f>
        <v>0</v>
      </c>
      <c r="K3" s="82">
        <f>'Raw Data Totals'!K3/Z$31</f>
        <v>0.58550751791653</v>
      </c>
      <c r="L3" s="82">
        <f>'Raw Data Totals'!L3/AA$31</f>
        <v>0.82035127441570477</v>
      </c>
      <c r="M3" s="82">
        <f t="shared" si="0"/>
        <v>1.5246264709700363</v>
      </c>
      <c r="N3" s="11" t="s">
        <v>6</v>
      </c>
      <c r="O3" s="12" t="s">
        <v>7</v>
      </c>
      <c r="P3">
        <f t="shared" si="1"/>
        <v>1.5246264709700363</v>
      </c>
      <c r="S3" s="183" t="s">
        <v>60</v>
      </c>
      <c r="T3" s="184"/>
      <c r="U3" s="184"/>
      <c r="V3" s="184"/>
      <c r="W3" s="184"/>
      <c r="X3" s="184"/>
      <c r="Y3" s="184"/>
      <c r="Z3" s="184"/>
      <c r="AA3" s="185"/>
    </row>
    <row r="4" spans="1:27" ht="15" thickBot="1" x14ac:dyDescent="0.4">
      <c r="A4" s="181"/>
      <c r="B4" s="165"/>
      <c r="C4" s="10" t="s">
        <v>24</v>
      </c>
      <c r="D4" s="82">
        <f>'Raw Data Totals'!D4/S$31</f>
        <v>0.73886765489491135</v>
      </c>
      <c r="E4" s="82">
        <f>'Raw Data Totals'!E4/T$31</f>
        <v>0</v>
      </c>
      <c r="F4" s="82">
        <f>'Raw Data Totals'!F4/U$31</f>
        <v>0.376838027479029</v>
      </c>
      <c r="G4" s="82">
        <f>'Raw Data Totals'!G4/V$31</f>
        <v>0</v>
      </c>
      <c r="H4" s="82">
        <f>'Raw Data Totals'!H4/W$31</f>
        <v>0</v>
      </c>
      <c r="I4" s="82">
        <f>'Raw Data Totals'!I4/X$31</f>
        <v>0.79099530939781526</v>
      </c>
      <c r="J4" s="82">
        <f>'Raw Data Totals'!J4/Y$31</f>
        <v>1.4759929742734426</v>
      </c>
      <c r="K4" s="82">
        <f>'Raw Data Totals'!K4/Z$31</f>
        <v>0</v>
      </c>
      <c r="L4" s="82">
        <f>'Raw Data Totals'!L4/AA$31</f>
        <v>1.6407025488314095</v>
      </c>
      <c r="M4" s="82">
        <f t="shared" si="0"/>
        <v>0.55815516831962309</v>
      </c>
      <c r="N4" s="11" t="s">
        <v>6</v>
      </c>
      <c r="O4" s="12" t="s">
        <v>7</v>
      </c>
      <c r="P4">
        <f t="shared" si="1"/>
        <v>0.55815516831962309</v>
      </c>
      <c r="S4" s="186"/>
      <c r="T4" s="187"/>
      <c r="U4" s="187"/>
      <c r="V4" s="187"/>
      <c r="W4" s="187"/>
      <c r="X4" s="187"/>
      <c r="Y4" s="187"/>
      <c r="Z4" s="187"/>
      <c r="AA4" s="188"/>
    </row>
    <row r="5" spans="1:27" ht="15.5" x14ac:dyDescent="0.35">
      <c r="A5" s="181"/>
      <c r="B5" s="165"/>
      <c r="C5" s="10" t="s">
        <v>25</v>
      </c>
      <c r="D5" s="82">
        <f>'Raw Data Totals'!D5/S$31</f>
        <v>0.65194204843668646</v>
      </c>
      <c r="E5" s="82">
        <f>'Raw Data Totals'!E5/T$31</f>
        <v>33.994334277620396</v>
      </c>
      <c r="F5" s="82">
        <f>'Raw Data Totals'!F5/U$31</f>
        <v>1.130514082437087</v>
      </c>
      <c r="G5" s="82">
        <f>'Raw Data Totals'!G5/V$31</f>
        <v>0.7550531934974819</v>
      </c>
      <c r="H5" s="82">
        <f>'Raw Data Totals'!H5/W$31</f>
        <v>10.483750187209825</v>
      </c>
      <c r="I5" s="82">
        <f>'Raw Data Totals'!I5/X$31</f>
        <v>7.1189577845803376</v>
      </c>
      <c r="J5" s="82">
        <f>'Raw Data Totals'!J5/Y$31</f>
        <v>1.4759929742734426</v>
      </c>
      <c r="K5" s="82">
        <f>'Raw Data Totals'!K5/Z$31</f>
        <v>1.17101503583306</v>
      </c>
      <c r="L5" s="82">
        <f>'Raw Data Totals'!L5/AA$31</f>
        <v>1.2305269116235571</v>
      </c>
      <c r="M5" s="82">
        <f t="shared" si="0"/>
        <v>6.4457873883902082</v>
      </c>
      <c r="N5" s="11" t="s">
        <v>6</v>
      </c>
      <c r="O5" s="12" t="s">
        <v>7</v>
      </c>
      <c r="P5">
        <f t="shared" si="1"/>
        <v>6.4457873883902082</v>
      </c>
      <c r="S5" s="4" t="s">
        <v>58</v>
      </c>
      <c r="T5" s="4">
        <v>2016</v>
      </c>
      <c r="U5" s="4">
        <v>2017</v>
      </c>
      <c r="V5" s="4">
        <v>2018</v>
      </c>
      <c r="W5" s="4">
        <v>2019</v>
      </c>
      <c r="X5" s="4">
        <v>2020</v>
      </c>
      <c r="Y5" s="4">
        <v>2021</v>
      </c>
      <c r="Z5" s="4">
        <v>2022</v>
      </c>
      <c r="AA5" s="4">
        <v>2023</v>
      </c>
    </row>
    <row r="6" spans="1:27" x14ac:dyDescent="0.35">
      <c r="A6" s="181"/>
      <c r="B6" s="165"/>
      <c r="C6" s="10" t="s">
        <v>26</v>
      </c>
      <c r="D6" s="82">
        <f>'Raw Data Totals'!D6/S$31</f>
        <v>0.13038840968733728</v>
      </c>
      <c r="E6" s="82">
        <f>'Raw Data Totals'!E6/T$31</f>
        <v>0</v>
      </c>
      <c r="F6" s="82">
        <f>'Raw Data Totals'!F6/U$31</f>
        <v>0</v>
      </c>
      <c r="G6" s="82">
        <f>'Raw Data Totals'!G6/V$31</f>
        <v>0</v>
      </c>
      <c r="H6" s="82">
        <f>'Raw Data Totals'!H6/W$31</f>
        <v>0</v>
      </c>
      <c r="I6" s="82">
        <f>'Raw Data Totals'!I6/X$31</f>
        <v>0</v>
      </c>
      <c r="J6" s="82">
        <f>'Raw Data Totals'!J6/Y$31</f>
        <v>0</v>
      </c>
      <c r="K6" s="82">
        <f>'Raw Data Totals'!K6/Z$31</f>
        <v>0</v>
      </c>
      <c r="L6" s="82">
        <f>'Raw Data Totals'!L6/AA$31</f>
        <v>0</v>
      </c>
      <c r="M6" s="82">
        <f t="shared" si="0"/>
        <v>1.4487601076370808E-2</v>
      </c>
      <c r="N6" s="11" t="s">
        <v>6</v>
      </c>
      <c r="O6" s="12" t="s">
        <v>7</v>
      </c>
      <c r="P6">
        <f t="shared" si="1"/>
        <v>1.4487601076370808E-2</v>
      </c>
      <c r="S6" s="1" t="s">
        <v>10</v>
      </c>
      <c r="T6">
        <v>20.20458</v>
      </c>
      <c r="U6">
        <v>20.59891</v>
      </c>
      <c r="V6">
        <v>20.971990000000002</v>
      </c>
      <c r="W6">
        <v>21.360810000000001</v>
      </c>
      <c r="X6">
        <v>21.707129999999999</v>
      </c>
      <c r="Y6">
        <v>21.855309999999999</v>
      </c>
      <c r="Z6">
        <v>22.321960000000001</v>
      </c>
      <c r="AA6">
        <v>23.008179999999999</v>
      </c>
    </row>
    <row r="7" spans="1:27" x14ac:dyDescent="0.35">
      <c r="A7" s="181"/>
      <c r="B7" s="165"/>
      <c r="C7" s="10" t="s">
        <v>27</v>
      </c>
      <c r="D7" s="82">
        <f>'Raw Data Totals'!D7/S$31</f>
        <v>0.52155363874934912</v>
      </c>
      <c r="E7" s="82">
        <f>'Raw Data Totals'!E7/T$31</f>
        <v>33.994334277620396</v>
      </c>
      <c r="F7" s="82">
        <f>'Raw Data Totals'!F7/U$31</f>
        <v>0.376838027479029</v>
      </c>
      <c r="G7" s="82">
        <f>'Raw Data Totals'!G7/V$31</f>
        <v>0.50336879566498793</v>
      </c>
      <c r="H7" s="82">
        <f>'Raw Data Totals'!H7/W$31</f>
        <v>0</v>
      </c>
      <c r="I7" s="82">
        <f>'Raw Data Totals'!I7/X$31</f>
        <v>0</v>
      </c>
      <c r="J7" s="82">
        <f>'Raw Data Totals'!J7/Y$31</f>
        <v>0</v>
      </c>
      <c r="K7" s="82">
        <f>'Raw Data Totals'!K7/Z$31</f>
        <v>1.17101503583306</v>
      </c>
      <c r="L7" s="82">
        <f>'Raw Data Totals'!L7/AA$31</f>
        <v>0.41017563720785238</v>
      </c>
      <c r="M7" s="82">
        <f t="shared" si="0"/>
        <v>4.1085872680616298</v>
      </c>
      <c r="N7" s="11" t="s">
        <v>6</v>
      </c>
      <c r="O7" s="12" t="s">
        <v>7</v>
      </c>
      <c r="P7">
        <f t="shared" si="1"/>
        <v>4.1085872680616298</v>
      </c>
      <c r="S7" s="1" t="s">
        <v>11</v>
      </c>
      <c r="T7">
        <v>8.5120000000000001E-2</v>
      </c>
      <c r="U7">
        <v>8.5190000000000002E-2</v>
      </c>
      <c r="V7">
        <v>8.5269999999999999E-2</v>
      </c>
      <c r="W7">
        <v>8.5569999999999993E-2</v>
      </c>
      <c r="X7">
        <v>8.5589999999999999E-2</v>
      </c>
      <c r="Y7">
        <v>8.5540000000000005E-2</v>
      </c>
      <c r="Z7">
        <v>8.6169999999999997E-2</v>
      </c>
      <c r="AA7">
        <v>8.8249999999999995E-2</v>
      </c>
    </row>
    <row r="8" spans="1:27" ht="15" thickBot="1" x14ac:dyDescent="0.4">
      <c r="A8" s="181"/>
      <c r="B8" s="192"/>
      <c r="C8" s="79" t="s">
        <v>63</v>
      </c>
      <c r="D8" s="83">
        <f>AVERAGE(D2:D7)</f>
        <v>1.79646253346998</v>
      </c>
      <c r="E8" s="83">
        <f t="shared" ref="E8:K8" si="2">AVERAGE(E2:E7)</f>
        <v>13.220018885741267</v>
      </c>
      <c r="F8" s="83">
        <f t="shared" si="2"/>
        <v>0.56525704121854348</v>
      </c>
      <c r="G8" s="83">
        <f t="shared" si="2"/>
        <v>1.0067375913299759</v>
      </c>
      <c r="H8" s="83">
        <f t="shared" si="2"/>
        <v>2.2465178972592486</v>
      </c>
      <c r="I8" s="83">
        <f t="shared" si="2"/>
        <v>2.1093208250608408</v>
      </c>
      <c r="J8" s="83">
        <f t="shared" si="2"/>
        <v>0.49199765809114754</v>
      </c>
      <c r="K8" s="83">
        <f t="shared" si="2"/>
        <v>0.87826127687479494</v>
      </c>
      <c r="L8" s="83">
        <f>AVERAGE(L2:L7)</f>
        <v>1.0938016992209396</v>
      </c>
      <c r="M8" s="83">
        <f>AVERAGE(M2:M7)</f>
        <v>2.600930600918526</v>
      </c>
      <c r="N8" s="59" t="s">
        <v>6</v>
      </c>
      <c r="O8" s="58" t="s">
        <v>7</v>
      </c>
      <c r="S8" s="1" t="s">
        <v>12</v>
      </c>
      <c r="T8">
        <v>2.4668399999999999</v>
      </c>
      <c r="U8">
        <v>2.49681</v>
      </c>
      <c r="V8">
        <v>2.5220899999999999</v>
      </c>
      <c r="W8">
        <v>2.5413899999999998</v>
      </c>
      <c r="X8">
        <v>2.5626199999999999</v>
      </c>
      <c r="Y8">
        <v>2.5706500000000001</v>
      </c>
      <c r="Z8">
        <v>2.6066400000000001</v>
      </c>
      <c r="AA8">
        <v>2.6536599999999999</v>
      </c>
    </row>
    <row r="9" spans="1:27" x14ac:dyDescent="0.35">
      <c r="A9" s="181"/>
      <c r="B9" s="164" t="s">
        <v>8</v>
      </c>
      <c r="C9" s="10" t="s">
        <v>28</v>
      </c>
      <c r="D9" s="82">
        <f>'Raw Data Totals'!D8/S$31</f>
        <v>72.322104573243081</v>
      </c>
      <c r="E9" s="82">
        <f>'Raw Data Totals'!E8/T$31</f>
        <v>1405.0991501416431</v>
      </c>
      <c r="F9" s="82">
        <f>'Raw Data Totals'!F8/U$31</f>
        <v>35.422774583028726</v>
      </c>
      <c r="G9" s="82">
        <f>'Raw Data Totals'!G8/V$31</f>
        <v>44.799822814183926</v>
      </c>
      <c r="H9" s="82">
        <f>'Raw Data Totals'!H8/W$31</f>
        <v>179.72143178073986</v>
      </c>
      <c r="I9" s="82">
        <f>'Raw Data Totals'!I8/X$31</f>
        <v>81.472516867974974</v>
      </c>
      <c r="J9" s="82">
        <f>'Raw Data Totals'!J8/Y$31</f>
        <v>225.82692506383671</v>
      </c>
      <c r="K9" s="82">
        <f>'Raw Data Totals'!K8/Z$31</f>
        <v>134.08122160288536</v>
      </c>
      <c r="L9" s="82">
        <f>'Raw Data Totals'!L8/AA$31</f>
        <v>51.682130288189398</v>
      </c>
      <c r="M9" s="82">
        <f t="shared" ref="M9:M72" si="3">AVERAGE(D9:L9)</f>
        <v>247.82534196841391</v>
      </c>
      <c r="N9" s="11" t="s">
        <v>6</v>
      </c>
      <c r="O9" s="10" t="s">
        <v>8</v>
      </c>
      <c r="S9" s="1" t="s">
        <v>13</v>
      </c>
      <c r="T9">
        <v>3.3370199999999999</v>
      </c>
      <c r="U9">
        <v>3.4105599999999998</v>
      </c>
      <c r="V9">
        <v>3.4918100000000001</v>
      </c>
      <c r="W9">
        <v>3.5844</v>
      </c>
      <c r="X9">
        <v>3.66107</v>
      </c>
      <c r="Y9">
        <v>3.7362899999999999</v>
      </c>
      <c r="Z9">
        <v>3.8493300000000001</v>
      </c>
      <c r="AA9">
        <v>3.97323</v>
      </c>
    </row>
    <row r="10" spans="1:27" x14ac:dyDescent="0.35">
      <c r="A10" s="181"/>
      <c r="B10" s="165"/>
      <c r="C10" s="10" t="s">
        <v>29</v>
      </c>
      <c r="D10" s="82">
        <f>'Raw Data Totals'!D9/S$31</f>
        <v>16.255088407688049</v>
      </c>
      <c r="E10" s="82">
        <f>'Raw Data Totals'!E9/T$31</f>
        <v>600.56657223796037</v>
      </c>
      <c r="F10" s="82">
        <f>'Raw Data Totals'!F9/U$31</f>
        <v>27.886014033448145</v>
      </c>
      <c r="G10" s="82">
        <f>'Raw Data Totals'!G9/V$31</f>
        <v>9.3123227198022764</v>
      </c>
      <c r="H10" s="82">
        <f>'Raw Data Totals'!H9/W$31</f>
        <v>25.460536168938148</v>
      </c>
      <c r="I10" s="82">
        <f>'Raw Data Totals'!I9/X$31</f>
        <v>19.774882734945383</v>
      </c>
      <c r="J10" s="82">
        <f>'Raw Data Totals'!J9/Y$31</f>
        <v>78.227627636492457</v>
      </c>
      <c r="K10" s="82">
        <f>'Raw Data Totals'!K9/Z$31</f>
        <v>14.63768794791325</v>
      </c>
      <c r="L10" s="82">
        <f>'Raw Data Totals'!L9/AA$31</f>
        <v>13.945971665066981</v>
      </c>
      <c r="M10" s="82">
        <f t="shared" si="3"/>
        <v>89.56296706136169</v>
      </c>
      <c r="N10" s="11" t="s">
        <v>6</v>
      </c>
      <c r="O10" s="10" t="s">
        <v>8</v>
      </c>
      <c r="S10" s="1" t="s">
        <v>14</v>
      </c>
      <c r="T10">
        <v>0.58460999999999996</v>
      </c>
      <c r="U10">
        <v>0.59865999999999997</v>
      </c>
      <c r="V10">
        <v>0.61226000000000003</v>
      </c>
      <c r="W10">
        <v>0.62536999999999998</v>
      </c>
      <c r="X10">
        <v>0.63590000000000002</v>
      </c>
      <c r="Y10">
        <v>0.64537</v>
      </c>
      <c r="Z10">
        <v>0.65417999999999998</v>
      </c>
      <c r="AA10">
        <v>0.66769999999999996</v>
      </c>
    </row>
    <row r="11" spans="1:27" x14ac:dyDescent="0.35">
      <c r="A11" s="181"/>
      <c r="B11" s="165"/>
      <c r="C11" s="10" t="s">
        <v>30</v>
      </c>
      <c r="D11" s="82">
        <f>'Raw Data Totals'!D10/S$31</f>
        <v>3.8247266841618939</v>
      </c>
      <c r="E11" s="82">
        <f>'Raw Data Totals'!E10/T$31</f>
        <v>67.988668555240793</v>
      </c>
      <c r="F11" s="82">
        <f>'Raw Data Totals'!F10/U$31</f>
        <v>1.507352109916116</v>
      </c>
      <c r="G11" s="82">
        <f>'Raw Data Totals'!G10/V$31</f>
        <v>3.0202127739899276</v>
      </c>
      <c r="H11" s="82">
        <f>'Raw Data Totals'!H10/W$31</f>
        <v>22.465178972592483</v>
      </c>
      <c r="I11" s="82">
        <f>'Raw Data Totals'!I10/X$31</f>
        <v>7.1189577845803376</v>
      </c>
      <c r="J11" s="82">
        <f>'Raw Data Totals'!J10/Y$31</f>
        <v>33.947838408289179</v>
      </c>
      <c r="K11" s="82">
        <f>'Raw Data Totals'!K10/Z$31</f>
        <v>3.5130451074991802</v>
      </c>
      <c r="L11" s="82">
        <f>'Raw Data Totals'!L10/AA$31</f>
        <v>6.5628101953256381</v>
      </c>
      <c r="M11" s="82">
        <f t="shared" si="3"/>
        <v>16.660976732399504</v>
      </c>
      <c r="N11" s="11" t="s">
        <v>6</v>
      </c>
      <c r="O11" s="10" t="s">
        <v>8</v>
      </c>
      <c r="S11" s="1" t="s">
        <v>15</v>
      </c>
      <c r="T11">
        <v>1.18272</v>
      </c>
      <c r="U11">
        <v>1.18774</v>
      </c>
      <c r="V11">
        <v>1.19356</v>
      </c>
      <c r="W11">
        <v>1.2039</v>
      </c>
      <c r="X11">
        <v>1.2155800000000001</v>
      </c>
      <c r="Y11">
        <v>1.22759</v>
      </c>
      <c r="Z11">
        <v>1.2449699999999999</v>
      </c>
      <c r="AA11">
        <v>1.26423</v>
      </c>
    </row>
    <row r="12" spans="1:27" x14ac:dyDescent="0.35">
      <c r="A12" s="181"/>
      <c r="B12" s="165"/>
      <c r="C12" s="10" t="s">
        <v>31</v>
      </c>
      <c r="D12" s="82">
        <f>'Raw Data Totals'!D11/S$31</f>
        <v>0.21731401614556214</v>
      </c>
      <c r="E12" s="82">
        <f>'Raw Data Totals'!E11/T$31</f>
        <v>101.98300283286119</v>
      </c>
      <c r="F12" s="82">
        <f>'Raw Data Totals'!F11/U$31</f>
        <v>0</v>
      </c>
      <c r="G12" s="82">
        <f>'Raw Data Totals'!G11/V$31</f>
        <v>0</v>
      </c>
      <c r="H12" s="82">
        <f>'Raw Data Totals'!H11/W$31</f>
        <v>1.4976785981728322</v>
      </c>
      <c r="I12" s="82">
        <f>'Raw Data Totals'!I11/X$31</f>
        <v>0</v>
      </c>
      <c r="J12" s="82">
        <f>'Raw Data Totals'!J11/Y$31</f>
        <v>4.4279789228203281</v>
      </c>
      <c r="K12" s="82">
        <f>'Raw Data Totals'!K11/Z$31</f>
        <v>0</v>
      </c>
      <c r="L12" s="82">
        <f>'Raw Data Totals'!L11/AA$31</f>
        <v>0.41017563720785238</v>
      </c>
      <c r="M12" s="82">
        <f t="shared" si="3"/>
        <v>12.059572223023086</v>
      </c>
      <c r="N12" s="11" t="s">
        <v>6</v>
      </c>
      <c r="O12" s="10" t="s">
        <v>8</v>
      </c>
      <c r="S12" s="1" t="s">
        <v>16</v>
      </c>
      <c r="T12">
        <v>0.60936999999999997</v>
      </c>
      <c r="U12">
        <v>0.62505999999999995</v>
      </c>
      <c r="V12">
        <v>0.63509000000000004</v>
      </c>
      <c r="W12">
        <v>0.64232</v>
      </c>
      <c r="X12">
        <v>0.65193999999999996</v>
      </c>
      <c r="Y12">
        <v>0.65390999999999999</v>
      </c>
      <c r="Z12">
        <v>0.66171000000000002</v>
      </c>
      <c r="AA12">
        <v>0.67750999999999995</v>
      </c>
    </row>
    <row r="13" spans="1:27" x14ac:dyDescent="0.35">
      <c r="A13" s="181"/>
      <c r="B13" s="165"/>
      <c r="C13" s="10" t="s">
        <v>32</v>
      </c>
      <c r="D13" s="82">
        <f>'Raw Data Totals'!D12/S$31</f>
        <v>79.667318318963083</v>
      </c>
      <c r="E13" s="82">
        <f>'Raw Data Totals'!E12/T$31</f>
        <v>3263.456090651558</v>
      </c>
      <c r="F13" s="82">
        <f>'Raw Data Totals'!F12/U$31</f>
        <v>77.251795633200942</v>
      </c>
      <c r="G13" s="82">
        <f>'Raw Data Totals'!G12/V$31</f>
        <v>64.934574640783438</v>
      </c>
      <c r="H13" s="82">
        <f>'Raw Data Totals'!H12/W$31</f>
        <v>386.4010783285907</v>
      </c>
      <c r="I13" s="82">
        <f>'Raw Data Totals'!I12/X$31</f>
        <v>147.91612285739146</v>
      </c>
      <c r="J13" s="82">
        <f>'Raw Data Totals'!J12/Y$31</f>
        <v>380.8061873625482</v>
      </c>
      <c r="K13" s="82">
        <f>'Raw Data Totals'!K12/Z$31</f>
        <v>119.44353365497213</v>
      </c>
      <c r="L13" s="82">
        <f>'Raw Data Totals'!L12/AA$31</f>
        <v>100.90320675313168</v>
      </c>
      <c r="M13" s="82">
        <f t="shared" si="3"/>
        <v>513.41998980012659</v>
      </c>
      <c r="N13" s="11" t="s">
        <v>6</v>
      </c>
      <c r="O13" s="10" t="s">
        <v>8</v>
      </c>
      <c r="S13" s="1" t="s">
        <v>17</v>
      </c>
      <c r="T13">
        <v>1.5286200000000001</v>
      </c>
      <c r="U13">
        <v>1.5547500000000001</v>
      </c>
      <c r="V13">
        <v>1.57996</v>
      </c>
      <c r="W13">
        <v>1.6032999999999999</v>
      </c>
      <c r="X13">
        <v>1.6235999999999999</v>
      </c>
      <c r="Y13">
        <v>1.6408199999999999</v>
      </c>
      <c r="Z13">
        <v>1.6719900000000001</v>
      </c>
      <c r="AA13">
        <v>1.7079200000000001</v>
      </c>
    </row>
    <row r="14" spans="1:27" x14ac:dyDescent="0.35">
      <c r="A14" s="181"/>
      <c r="B14" s="165"/>
      <c r="C14" s="10" t="s">
        <v>33</v>
      </c>
      <c r="D14" s="82">
        <f>'Raw Data Totals'!D13/S$31</f>
        <v>20.079815091849941</v>
      </c>
      <c r="E14" s="82">
        <f>'Raw Data Totals'!E13/T$31</f>
        <v>226.62889518413598</v>
      </c>
      <c r="F14" s="82">
        <f>'Raw Data Totals'!F13/U$31</f>
        <v>52.380485819585026</v>
      </c>
      <c r="G14" s="82">
        <f>'Raw Data Totals'!G13/V$31</f>
        <v>11.074113504629734</v>
      </c>
      <c r="H14" s="82">
        <f>'Raw Data Totals'!H13/W$31</f>
        <v>97.349108881234088</v>
      </c>
      <c r="I14" s="82">
        <f>'Raw Data Totals'!I13/X$31</f>
        <v>49.041709182664547</v>
      </c>
      <c r="J14" s="82">
        <f>'Raw Data Totals'!J13/Y$31</f>
        <v>81.179613585039348</v>
      </c>
      <c r="K14" s="82">
        <f>'Raw Data Totals'!K13/Z$31</f>
        <v>11.710150358330599</v>
      </c>
      <c r="L14" s="82">
        <f>'Raw Data Totals'!L13/AA$31</f>
        <v>45.119320092863767</v>
      </c>
      <c r="M14" s="82">
        <f t="shared" si="3"/>
        <v>66.062579077814775</v>
      </c>
      <c r="N14" s="11" t="s">
        <v>6</v>
      </c>
      <c r="O14" s="10" t="s">
        <v>8</v>
      </c>
      <c r="S14" s="1" t="s">
        <v>18</v>
      </c>
      <c r="T14">
        <v>2.3431000000000002</v>
      </c>
      <c r="U14">
        <v>2.3513500000000001</v>
      </c>
      <c r="V14">
        <v>2.3545799999999999</v>
      </c>
      <c r="W14">
        <v>2.35745</v>
      </c>
      <c r="X14">
        <v>2.36652</v>
      </c>
      <c r="Y14">
        <v>2.3738299999999999</v>
      </c>
      <c r="Z14">
        <v>2.4026100000000001</v>
      </c>
      <c r="AA14">
        <v>2.43798</v>
      </c>
    </row>
    <row r="15" spans="1:27" x14ac:dyDescent="0.35">
      <c r="A15" s="181"/>
      <c r="B15" s="165"/>
      <c r="C15" s="10" t="s">
        <v>34</v>
      </c>
      <c r="D15" s="82">
        <f>'Raw Data Totals'!D14/S$31</f>
        <v>17.472046898103198</v>
      </c>
      <c r="E15" s="82">
        <f>'Raw Data Totals'!E14/T$31</f>
        <v>430.59490084985839</v>
      </c>
      <c r="F15" s="82">
        <f>'Raw Data Totals'!F14/U$31</f>
        <v>20.349253483867564</v>
      </c>
      <c r="G15" s="82">
        <f>'Raw Data Totals'!G14/V$31</f>
        <v>11.325797902462229</v>
      </c>
      <c r="H15" s="82">
        <f>'Raw Data Totals'!H14/W$31</f>
        <v>11.981428785382658</v>
      </c>
      <c r="I15" s="82">
        <f>'Raw Data Totals'!I14/X$31</f>
        <v>61.697634133029595</v>
      </c>
      <c r="J15" s="82">
        <f>'Raw Data Totals'!J14/Y$31</f>
        <v>42.803796253929832</v>
      </c>
      <c r="K15" s="82">
        <f>'Raw Data Totals'!K14/Z$31</f>
        <v>64.405826970818296</v>
      </c>
      <c r="L15" s="82">
        <f>'Raw Data Totals'!L14/AA$31</f>
        <v>9.0238640185727519</v>
      </c>
      <c r="M15" s="82">
        <f t="shared" si="3"/>
        <v>74.406061032891614</v>
      </c>
      <c r="N15" s="11" t="s">
        <v>6</v>
      </c>
      <c r="O15" s="10" t="s">
        <v>8</v>
      </c>
    </row>
    <row r="16" spans="1:27" ht="14.5" customHeight="1" thickBot="1" x14ac:dyDescent="0.4">
      <c r="A16" s="51"/>
      <c r="B16" s="192"/>
      <c r="C16" s="79" t="s">
        <v>63</v>
      </c>
      <c r="D16" s="83">
        <f>SUM(D9:D15)</f>
        <v>209.83841399015481</v>
      </c>
      <c r="E16" s="83">
        <f t="shared" ref="E16:L16" si="4">SUM(E9:E15)</f>
        <v>6096.3172804532578</v>
      </c>
      <c r="F16" s="83">
        <f t="shared" si="4"/>
        <v>214.79767566304653</v>
      </c>
      <c r="G16" s="83">
        <f t="shared" si="4"/>
        <v>144.46684435585152</v>
      </c>
      <c r="H16" s="83">
        <f t="shared" si="4"/>
        <v>724.87644151565075</v>
      </c>
      <c r="I16" s="83">
        <f t="shared" si="4"/>
        <v>367.02182356058631</v>
      </c>
      <c r="J16" s="83">
        <f>SUM(J9:J15)</f>
        <v>847.21996723295604</v>
      </c>
      <c r="K16" s="83">
        <f t="shared" si="4"/>
        <v>347.79146564241887</v>
      </c>
      <c r="L16" s="83">
        <f t="shared" si="4"/>
        <v>227.6474786503581</v>
      </c>
      <c r="M16" s="83">
        <f>AVERAGE(M9:M15)</f>
        <v>145.71392684229019</v>
      </c>
      <c r="N16" s="59" t="s">
        <v>6</v>
      </c>
      <c r="O16" s="58" t="s">
        <v>8</v>
      </c>
    </row>
    <row r="17" spans="1:27" x14ac:dyDescent="0.35">
      <c r="A17" s="182" t="s">
        <v>5</v>
      </c>
      <c r="B17" s="162" t="s">
        <v>7</v>
      </c>
      <c r="C17" s="17" t="s">
        <v>22</v>
      </c>
      <c r="D17" s="84">
        <f>'Raw Data Totals'!D15/S$31</f>
        <v>3.7812638809327814</v>
      </c>
      <c r="E17" s="84">
        <f>'Raw Data Totals'!E15/T$31</f>
        <v>22.6628895184136</v>
      </c>
      <c r="F17" s="84">
        <f>'Raw Data Totals'!F15/U$31</f>
        <v>1.130514082437087</v>
      </c>
      <c r="G17" s="84">
        <f>'Raw Data Totals'!G15/V$31</f>
        <v>1.7617907848274577</v>
      </c>
      <c r="H17" s="84">
        <f>'Raw Data Totals'!H15/W$31</f>
        <v>5.9907143926913289</v>
      </c>
      <c r="I17" s="84">
        <f>'Raw Data Totals'!I15/X$31</f>
        <v>3.9549765469890765</v>
      </c>
      <c r="J17" s="84">
        <f>'Raw Data Totals'!J15/Y$31</f>
        <v>7.3799648713672132</v>
      </c>
      <c r="K17" s="84">
        <f>'Raw Data Totals'!K15/Z$31</f>
        <v>0.58550751791653</v>
      </c>
      <c r="L17" s="84">
        <f>'Raw Data Totals'!L15/AA$31</f>
        <v>1.2305269116235571</v>
      </c>
      <c r="M17" s="84">
        <f t="shared" si="3"/>
        <v>5.3864609452442931</v>
      </c>
      <c r="N17" s="18" t="s">
        <v>5</v>
      </c>
      <c r="O17" s="17" t="s">
        <v>7</v>
      </c>
      <c r="S17" s="183" t="s">
        <v>66</v>
      </c>
      <c r="T17" s="184"/>
      <c r="U17" s="184"/>
      <c r="V17" s="184"/>
      <c r="W17" s="184"/>
      <c r="X17" s="184"/>
      <c r="Y17" s="184"/>
      <c r="Z17" s="185"/>
    </row>
    <row r="18" spans="1:27" ht="15" thickBot="1" x14ac:dyDescent="0.4">
      <c r="A18" s="182"/>
      <c r="B18" s="163"/>
      <c r="C18" s="17" t="s">
        <v>23</v>
      </c>
      <c r="D18" s="84">
        <f>'Raw Data Totals'!D16/S$31</f>
        <v>2.4339169808302961</v>
      </c>
      <c r="E18" s="84">
        <f>'Raw Data Totals'!E16/T$31</f>
        <v>0</v>
      </c>
      <c r="F18" s="84">
        <f>'Raw Data Totals'!F16/U$31</f>
        <v>0</v>
      </c>
      <c r="G18" s="84">
        <f>'Raw Data Totals'!G16/V$31</f>
        <v>1.0067375913299759</v>
      </c>
      <c r="H18" s="84">
        <f>'Raw Data Totals'!H16/W$31</f>
        <v>0</v>
      </c>
      <c r="I18" s="84">
        <f>'Raw Data Totals'!I16/X$31</f>
        <v>3.163981237591261</v>
      </c>
      <c r="J18" s="84">
        <f>'Raw Data Totals'!J16/Y$31</f>
        <v>0</v>
      </c>
      <c r="K18" s="84">
        <f>'Raw Data Totals'!K16/Z$31</f>
        <v>0</v>
      </c>
      <c r="L18" s="84">
        <f>'Raw Data Totals'!L16/AA$31</f>
        <v>0</v>
      </c>
      <c r="M18" s="84">
        <f t="shared" si="3"/>
        <v>0.73384842330572597</v>
      </c>
      <c r="N18" s="18" t="s">
        <v>5</v>
      </c>
      <c r="O18" s="17" t="s">
        <v>7</v>
      </c>
      <c r="S18" s="186"/>
      <c r="T18" s="187"/>
      <c r="U18" s="187"/>
      <c r="V18" s="187"/>
      <c r="W18" s="187"/>
      <c r="X18" s="187"/>
      <c r="Y18" s="187"/>
      <c r="Z18" s="188"/>
    </row>
    <row r="19" spans="1:27" ht="15.5" x14ac:dyDescent="0.35">
      <c r="A19" s="182"/>
      <c r="B19" s="163"/>
      <c r="C19" s="17" t="s">
        <v>24</v>
      </c>
      <c r="D19" s="84">
        <f>'Raw Data Totals'!D17/S$31</f>
        <v>0.91271886781136102</v>
      </c>
      <c r="E19" s="84">
        <f>'Raw Data Totals'!E17/T$31</f>
        <v>0</v>
      </c>
      <c r="F19" s="84">
        <f>'Raw Data Totals'!F17/U$31</f>
        <v>1.130514082437087</v>
      </c>
      <c r="G19" s="84">
        <f>'Raw Data Totals'!G17/V$31</f>
        <v>0.25168439783249397</v>
      </c>
      <c r="H19" s="84">
        <f>'Raw Data Totals'!H17/W$31</f>
        <v>0</v>
      </c>
      <c r="I19" s="84">
        <f>'Raw Data Totals'!I17/X$31</f>
        <v>0</v>
      </c>
      <c r="J19" s="84">
        <f>'Raw Data Totals'!J17/Y$31</f>
        <v>1.4759929742734426</v>
      </c>
      <c r="K19" s="84">
        <f>'Raw Data Totals'!K17/Z$31</f>
        <v>0</v>
      </c>
      <c r="L19" s="84">
        <f>'Raw Data Totals'!L17/AA$31</f>
        <v>0.82035127441570477</v>
      </c>
      <c r="M19" s="84">
        <f t="shared" si="3"/>
        <v>0.51014017741889883</v>
      </c>
      <c r="N19" s="18" t="s">
        <v>5</v>
      </c>
      <c r="O19" s="17" t="s">
        <v>7</v>
      </c>
      <c r="S19" s="4" t="s">
        <v>58</v>
      </c>
      <c r="T19" s="4" t="s">
        <v>0</v>
      </c>
      <c r="U19" s="4" t="s">
        <v>1</v>
      </c>
      <c r="V19" s="4" t="s">
        <v>2</v>
      </c>
      <c r="W19" s="4" t="s">
        <v>3</v>
      </c>
      <c r="X19" s="4" t="s">
        <v>4</v>
      </c>
      <c r="Y19" s="4" t="s">
        <v>5</v>
      </c>
      <c r="Z19" s="4" t="s">
        <v>6</v>
      </c>
    </row>
    <row r="20" spans="1:27" x14ac:dyDescent="0.35">
      <c r="A20" s="182"/>
      <c r="B20" s="163"/>
      <c r="C20" s="17" t="s">
        <v>25</v>
      </c>
      <c r="D20" s="84">
        <f>'Raw Data Totals'!D18/S$31</f>
        <v>0.69540485166579891</v>
      </c>
      <c r="E20" s="84">
        <f>'Raw Data Totals'!E18/T$31</f>
        <v>56.657223796033996</v>
      </c>
      <c r="F20" s="84">
        <f>'Raw Data Totals'!F18/U$31</f>
        <v>1.130514082437087</v>
      </c>
      <c r="G20" s="84">
        <f>'Raw Data Totals'!G18/V$31</f>
        <v>0.7550531934974819</v>
      </c>
      <c r="H20" s="84">
        <f>'Raw Data Totals'!H18/W$31</f>
        <v>2.9953571963456644</v>
      </c>
      <c r="I20" s="84">
        <f>'Raw Data Totals'!I18/X$31</f>
        <v>8.7009484033759676</v>
      </c>
      <c r="J20" s="84">
        <f>'Raw Data Totals'!J18/Y$31</f>
        <v>1.4759929742734426</v>
      </c>
      <c r="K20" s="84">
        <f>'Raw Data Totals'!K18/Z$31</f>
        <v>1.7565225537495901</v>
      </c>
      <c r="L20" s="84">
        <f>'Raw Data Totals'!L18/AA$31</f>
        <v>2.4610538232471142</v>
      </c>
      <c r="M20" s="84">
        <f t="shared" si="3"/>
        <v>8.5142300971806826</v>
      </c>
      <c r="N20" s="18" t="s">
        <v>5</v>
      </c>
      <c r="O20" s="17" t="s">
        <v>7</v>
      </c>
      <c r="S20" s="1" t="s">
        <v>10</v>
      </c>
      <c r="T20" s="5">
        <f t="shared" ref="T20:Z28" si="5">(U6-T6)/T6*100</f>
        <v>1.9516862018413652</v>
      </c>
      <c r="U20" s="5">
        <f t="shared" si="5"/>
        <v>1.811163794589139</v>
      </c>
      <c r="V20" s="5">
        <f t="shared" si="5"/>
        <v>1.8539966879633214</v>
      </c>
      <c r="W20" s="5">
        <f t="shared" si="5"/>
        <v>1.6212868332240147</v>
      </c>
      <c r="X20" s="5">
        <f t="shared" si="5"/>
        <v>0.6826328492066891</v>
      </c>
      <c r="Y20" s="5">
        <f t="shared" si="5"/>
        <v>2.1351790480208304</v>
      </c>
      <c r="Z20" s="5">
        <f t="shared" si="5"/>
        <v>3.0741924096271056</v>
      </c>
    </row>
    <row r="21" spans="1:27" x14ac:dyDescent="0.35">
      <c r="A21" s="182"/>
      <c r="B21" s="163"/>
      <c r="C21" s="17" t="s">
        <v>26</v>
      </c>
      <c r="D21" s="84">
        <f>'Raw Data Totals'!D19/S$31</f>
        <v>0.17385121291644973</v>
      </c>
      <c r="E21" s="84">
        <f>'Raw Data Totals'!E19/T$31</f>
        <v>0</v>
      </c>
      <c r="F21" s="84">
        <f>'Raw Data Totals'!F19/U$31</f>
        <v>0</v>
      </c>
      <c r="G21" s="84">
        <f>'Raw Data Totals'!G19/V$31</f>
        <v>0</v>
      </c>
      <c r="H21" s="84">
        <f>'Raw Data Totals'!H19/W$31</f>
        <v>0</v>
      </c>
      <c r="I21" s="84">
        <f>'Raw Data Totals'!I19/X$31</f>
        <v>0</v>
      </c>
      <c r="J21" s="84">
        <f>'Raw Data Totals'!J19/Y$31</f>
        <v>0</v>
      </c>
      <c r="K21" s="84">
        <f>'Raw Data Totals'!K19/Z$31</f>
        <v>0</v>
      </c>
      <c r="L21" s="84">
        <f>'Raw Data Totals'!L19/AA$31</f>
        <v>0</v>
      </c>
      <c r="M21" s="84">
        <f t="shared" si="3"/>
        <v>1.9316801435161082E-2</v>
      </c>
      <c r="N21" s="18" t="s">
        <v>5</v>
      </c>
      <c r="O21" s="17" t="s">
        <v>7</v>
      </c>
      <c r="S21" s="1" t="s">
        <v>11</v>
      </c>
      <c r="T21" s="5">
        <f t="shared" si="5"/>
        <v>8.2236842105263885E-2</v>
      </c>
      <c r="U21" s="5">
        <f t="shared" si="5"/>
        <v>9.3907735649720311E-2</v>
      </c>
      <c r="V21" s="5">
        <f t="shared" si="5"/>
        <v>0.35182361909228888</v>
      </c>
      <c r="W21" s="5">
        <f t="shared" si="5"/>
        <v>2.3372677340196477E-2</v>
      </c>
      <c r="X21" s="5">
        <f t="shared" si="5"/>
        <v>-5.8418039490588262E-2</v>
      </c>
      <c r="Y21" s="5">
        <f t="shared" si="5"/>
        <v>0.73649754500817355</v>
      </c>
      <c r="Z21" s="5">
        <f t="shared" si="5"/>
        <v>2.4138331205756045</v>
      </c>
    </row>
    <row r="22" spans="1:27" x14ac:dyDescent="0.35">
      <c r="A22" s="182"/>
      <c r="B22" s="163"/>
      <c r="C22" s="17" t="s">
        <v>27</v>
      </c>
      <c r="D22" s="84">
        <f>'Raw Data Totals'!D20/S$31</f>
        <v>0.78233045812402369</v>
      </c>
      <c r="E22" s="84">
        <f>'Raw Data Totals'!E20/T$31</f>
        <v>11.3314447592068</v>
      </c>
      <c r="F22" s="84">
        <f>'Raw Data Totals'!F20/U$31</f>
        <v>0</v>
      </c>
      <c r="G22" s="84">
        <f>'Raw Data Totals'!G20/V$31</f>
        <v>0</v>
      </c>
      <c r="H22" s="84">
        <f>'Raw Data Totals'!H20/W$31</f>
        <v>1.4976785981728322</v>
      </c>
      <c r="I22" s="84">
        <f>'Raw Data Totals'!I20/X$31</f>
        <v>0</v>
      </c>
      <c r="J22" s="84">
        <f>'Raw Data Totals'!J20/Y$31</f>
        <v>0</v>
      </c>
      <c r="K22" s="84">
        <f>'Raw Data Totals'!K20/Z$31</f>
        <v>0</v>
      </c>
      <c r="L22" s="84">
        <f>'Raw Data Totals'!L20/AA$31</f>
        <v>0</v>
      </c>
      <c r="M22" s="84">
        <f t="shared" si="3"/>
        <v>1.512383757278184</v>
      </c>
      <c r="N22" s="18" t="s">
        <v>5</v>
      </c>
      <c r="O22" s="17" t="s">
        <v>7</v>
      </c>
      <c r="S22" s="1" t="s">
        <v>12</v>
      </c>
      <c r="T22" s="5">
        <f t="shared" si="5"/>
        <v>1.2149146276207641</v>
      </c>
      <c r="U22" s="5">
        <f t="shared" si="5"/>
        <v>1.0124919397150753</v>
      </c>
      <c r="V22" s="5">
        <f t="shared" si="5"/>
        <v>0.76523835390489126</v>
      </c>
      <c r="W22" s="5">
        <f t="shared" si="5"/>
        <v>0.83536962056197928</v>
      </c>
      <c r="X22" s="5">
        <f t="shared" si="5"/>
        <v>0.31335117965208281</v>
      </c>
      <c r="Y22" s="5">
        <f t="shared" si="5"/>
        <v>1.4000350106004305</v>
      </c>
      <c r="Z22" s="5">
        <f t="shared" si="5"/>
        <v>1.8038547708927908</v>
      </c>
    </row>
    <row r="23" spans="1:27" ht="15" thickBot="1" x14ac:dyDescent="0.4">
      <c r="A23" s="182"/>
      <c r="B23" s="193"/>
      <c r="C23" s="61" t="s">
        <v>63</v>
      </c>
      <c r="D23" s="85" t="e">
        <f>'Raw Data Totals'!#REF!/S$31</f>
        <v>#REF!</v>
      </c>
      <c r="E23" s="85" t="e">
        <f>'Raw Data Totals'!#REF!/T$31</f>
        <v>#REF!</v>
      </c>
      <c r="F23" s="85" t="e">
        <f>'Raw Data Totals'!#REF!/U$31</f>
        <v>#REF!</v>
      </c>
      <c r="G23" s="85" t="e">
        <f>'Raw Data Totals'!#REF!/V$31</f>
        <v>#REF!</v>
      </c>
      <c r="H23" s="85" t="e">
        <f>'Raw Data Totals'!#REF!/W$31</f>
        <v>#REF!</v>
      </c>
      <c r="I23" s="85" t="e">
        <f>'Raw Data Totals'!#REF!/X$31</f>
        <v>#REF!</v>
      </c>
      <c r="J23" s="85" t="e">
        <f>'Raw Data Totals'!#REF!/Y$31</f>
        <v>#REF!</v>
      </c>
      <c r="K23" s="85" t="e">
        <f>'Raw Data Totals'!#REF!/Z$31</f>
        <v>#REF!</v>
      </c>
      <c r="L23" s="85" t="e">
        <f>'Raw Data Totals'!#REF!/AA$31</f>
        <v>#REF!</v>
      </c>
      <c r="M23" s="62">
        <f>AVERAGE(M17:M22)</f>
        <v>2.7793967003104911</v>
      </c>
      <c r="N23" s="62" t="s">
        <v>6</v>
      </c>
      <c r="O23" s="61" t="s">
        <v>7</v>
      </c>
      <c r="S23" s="1" t="s">
        <v>13</v>
      </c>
      <c r="T23" s="5">
        <f t="shared" si="5"/>
        <v>2.203762638521793</v>
      </c>
      <c r="U23" s="5">
        <f t="shared" si="5"/>
        <v>2.382306717958349</v>
      </c>
      <c r="V23" s="5">
        <f t="shared" si="5"/>
        <v>2.6516333935695227</v>
      </c>
      <c r="W23" s="5">
        <f t="shared" si="5"/>
        <v>2.1389911840196412</v>
      </c>
      <c r="X23" s="5">
        <f t="shared" si="5"/>
        <v>2.0545905978306847</v>
      </c>
      <c r="Y23" s="5">
        <f t="shared" si="5"/>
        <v>3.0254610857294337</v>
      </c>
      <c r="Z23" s="5">
        <f t="shared" si="5"/>
        <v>3.2187419628870453</v>
      </c>
    </row>
    <row r="24" spans="1:27" x14ac:dyDescent="0.35">
      <c r="A24" s="182"/>
      <c r="B24" s="162" t="s">
        <v>8</v>
      </c>
      <c r="C24" s="17" t="s">
        <v>28</v>
      </c>
      <c r="D24" s="84">
        <f>'Raw Data Totals'!D21/S$31</f>
        <v>41.246200264427699</v>
      </c>
      <c r="E24" s="84">
        <f>'Raw Data Totals'!E21/T$31</f>
        <v>1552.4079320113315</v>
      </c>
      <c r="F24" s="84">
        <f>'Raw Data Totals'!F21/U$31</f>
        <v>50.119457654710857</v>
      </c>
      <c r="G24" s="84">
        <f>'Raw Data Totals'!G21/V$31</f>
        <v>43.541400825021455</v>
      </c>
      <c r="H24" s="84">
        <f>'Raw Data Totals'!H21/W$31</f>
        <v>137.78643103190055</v>
      </c>
      <c r="I24" s="84">
        <f>'Raw Data Totals'!I21/X$31</f>
        <v>86.218488724361862</v>
      </c>
      <c r="J24" s="84">
        <f>'Raw Data Totals'!J21/Y$31</f>
        <v>175.64316393853966</v>
      </c>
      <c r="K24" s="84">
        <f>'Raw Data Totals'!K21/Z$31</f>
        <v>41.571033772073633</v>
      </c>
      <c r="L24" s="84">
        <f>'Raw Data Totals'!L21/AA$31</f>
        <v>59.885643032346451</v>
      </c>
      <c r="M24" s="84">
        <f t="shared" si="3"/>
        <v>243.15775013941254</v>
      </c>
      <c r="N24" s="18" t="s">
        <v>5</v>
      </c>
      <c r="O24" s="17" t="s">
        <v>8</v>
      </c>
      <c r="S24" s="1" t="s">
        <v>14</v>
      </c>
      <c r="T24" s="5">
        <f t="shared" si="5"/>
        <v>2.4033116094490357</v>
      </c>
      <c r="U24" s="5">
        <f t="shared" si="5"/>
        <v>2.2717402198242835</v>
      </c>
      <c r="V24" s="5">
        <f t="shared" si="5"/>
        <v>2.1412471825694892</v>
      </c>
      <c r="W24" s="5">
        <f t="shared" si="5"/>
        <v>1.6838031885124072</v>
      </c>
      <c r="X24" s="5">
        <f t="shared" si="5"/>
        <v>1.489227866016666</v>
      </c>
      <c r="Y24" s="5">
        <f t="shared" si="5"/>
        <v>1.3651083874366619</v>
      </c>
      <c r="Z24" s="5">
        <f t="shared" si="5"/>
        <v>2.0667094683420428</v>
      </c>
    </row>
    <row r="25" spans="1:27" x14ac:dyDescent="0.35">
      <c r="A25" s="182"/>
      <c r="B25" s="163"/>
      <c r="C25" s="17" t="s">
        <v>29</v>
      </c>
      <c r="D25" s="84">
        <f>'Raw Data Totals'!D22/S$31</f>
        <v>15.298906736647575</v>
      </c>
      <c r="E25" s="84">
        <f>'Raw Data Totals'!E22/T$31</f>
        <v>385.26912181303118</v>
      </c>
      <c r="F25" s="84">
        <f>'Raw Data Totals'!F22/U$31</f>
        <v>12.812492934286984</v>
      </c>
      <c r="G25" s="84">
        <f>'Raw Data Totals'!G22/V$31</f>
        <v>12.08085109595971</v>
      </c>
      <c r="H25" s="84">
        <f>'Raw Data Totals'!H22/W$31</f>
        <v>28.455893365283814</v>
      </c>
      <c r="I25" s="84">
        <f>'Raw Data Totals'!I22/X$31</f>
        <v>25.311849900730088</v>
      </c>
      <c r="J25" s="84">
        <f>'Raw Data Totals'!J22/Y$31</f>
        <v>94.463550353500324</v>
      </c>
      <c r="K25" s="84">
        <f>'Raw Data Totals'!K22/Z$31</f>
        <v>12.881165394163661</v>
      </c>
      <c r="L25" s="84">
        <f>'Raw Data Totals'!L22/AA$31</f>
        <v>18.457903674353357</v>
      </c>
      <c r="M25" s="84">
        <f t="shared" si="3"/>
        <v>67.225748363106291</v>
      </c>
      <c r="N25" s="18" t="s">
        <v>5</v>
      </c>
      <c r="O25" s="17" t="s">
        <v>8</v>
      </c>
      <c r="S25" s="1" t="s">
        <v>15</v>
      </c>
      <c r="T25" s="5">
        <f t="shared" si="5"/>
        <v>0.42444534632034836</v>
      </c>
      <c r="U25" s="5">
        <f t="shared" si="5"/>
        <v>0.49000623031976154</v>
      </c>
      <c r="V25" s="5">
        <f t="shared" si="5"/>
        <v>0.86631589530480391</v>
      </c>
      <c r="W25" s="5">
        <f t="shared" si="5"/>
        <v>0.97018024752887566</v>
      </c>
      <c r="X25" s="5">
        <f t="shared" si="5"/>
        <v>0.98800572566181188</v>
      </c>
      <c r="Y25" s="5">
        <f t="shared" si="5"/>
        <v>1.4157821422461858</v>
      </c>
      <c r="Z25" s="5">
        <f t="shared" si="5"/>
        <v>1.5470252295236075</v>
      </c>
    </row>
    <row r="26" spans="1:27" x14ac:dyDescent="0.35">
      <c r="A26" s="182"/>
      <c r="B26" s="163"/>
      <c r="C26" s="17" t="s">
        <v>30</v>
      </c>
      <c r="D26" s="84">
        <f>'Raw Data Totals'!D23/S$31</f>
        <v>2.2166029646847338</v>
      </c>
      <c r="E26" s="84">
        <f>'Raw Data Totals'!E23/T$31</f>
        <v>237.9603399433428</v>
      </c>
      <c r="F26" s="84">
        <f>'Raw Data Totals'!F23/U$31</f>
        <v>3.7683802747902897</v>
      </c>
      <c r="G26" s="84">
        <f>'Raw Data Totals'!G23/V$31</f>
        <v>1.7617907848274577</v>
      </c>
      <c r="H26" s="84">
        <f>'Raw Data Totals'!H23/W$31</f>
        <v>13.47910738355549</v>
      </c>
      <c r="I26" s="84">
        <f>'Raw Data Totals'!I23/X$31</f>
        <v>14.237915569160675</v>
      </c>
      <c r="J26" s="84">
        <f>'Raw Data Totals'!J23/Y$31</f>
        <v>16.235922717007867</v>
      </c>
      <c r="K26" s="84">
        <f>'Raw Data Totals'!K23/Z$31</f>
        <v>7.6115977329148903</v>
      </c>
      <c r="L26" s="84">
        <f>'Raw Data Totals'!L23/AA$31</f>
        <v>6.9729858325334906</v>
      </c>
      <c r="M26" s="84">
        <f t="shared" si="3"/>
        <v>33.804960355868644</v>
      </c>
      <c r="N26" s="18" t="s">
        <v>5</v>
      </c>
      <c r="O26" s="17" t="s">
        <v>8</v>
      </c>
      <c r="S26" s="1" t="s">
        <v>16</v>
      </c>
      <c r="T26" s="5">
        <f t="shared" si="5"/>
        <v>2.5747903572542108</v>
      </c>
      <c r="U26" s="5">
        <f t="shared" si="5"/>
        <v>1.6046459539884323</v>
      </c>
      <c r="V26" s="5">
        <f t="shared" si="5"/>
        <v>1.1384213261112532</v>
      </c>
      <c r="W26" s="5">
        <f t="shared" si="5"/>
        <v>1.4976958525345563</v>
      </c>
      <c r="X26" s="5">
        <f t="shared" si="5"/>
        <v>0.30217504678345053</v>
      </c>
      <c r="Y26" s="5">
        <f t="shared" si="5"/>
        <v>1.1928247006468824</v>
      </c>
      <c r="Z26" s="5">
        <f t="shared" si="5"/>
        <v>2.3877529431321767</v>
      </c>
    </row>
    <row r="27" spans="1:27" x14ac:dyDescent="0.35">
      <c r="A27" s="182"/>
      <c r="B27" s="163"/>
      <c r="C27" s="17" t="s">
        <v>31</v>
      </c>
      <c r="D27" s="84">
        <f>'Raw Data Totals'!D24/S$31</f>
        <v>0.65194204843668646</v>
      </c>
      <c r="E27" s="84">
        <f>'Raw Data Totals'!E24/T$31</f>
        <v>56.657223796033996</v>
      </c>
      <c r="F27" s="84">
        <f>'Raw Data Totals'!F24/U$31</f>
        <v>2.637866192353203</v>
      </c>
      <c r="G27" s="84">
        <f>'Raw Data Totals'!G24/V$31</f>
        <v>0</v>
      </c>
      <c r="H27" s="84">
        <f>'Raw Data Totals'!H24/W$31</f>
        <v>0</v>
      </c>
      <c r="I27" s="84">
        <f>'Raw Data Totals'!I24/X$31</f>
        <v>0</v>
      </c>
      <c r="J27" s="84">
        <f>'Raw Data Totals'!J24/Y$31</f>
        <v>0</v>
      </c>
      <c r="K27" s="84">
        <f>'Raw Data Totals'!K24/Z$31</f>
        <v>0.58550751791653</v>
      </c>
      <c r="L27" s="84">
        <f>'Raw Data Totals'!L24/AA$31</f>
        <v>0</v>
      </c>
      <c r="M27" s="84">
        <f t="shared" si="3"/>
        <v>6.7258377283044908</v>
      </c>
      <c r="N27" s="18" t="s">
        <v>5</v>
      </c>
      <c r="O27" s="17" t="s">
        <v>8</v>
      </c>
      <c r="S27" s="1" t="s">
        <v>17</v>
      </c>
      <c r="T27" s="5">
        <f t="shared" si="5"/>
        <v>1.7093849354319572</v>
      </c>
      <c r="U27" s="5">
        <f t="shared" si="5"/>
        <v>1.6214825534651842</v>
      </c>
      <c r="V27" s="5">
        <f t="shared" si="5"/>
        <v>1.4772525886731256</v>
      </c>
      <c r="W27" s="5">
        <f t="shared" si="5"/>
        <v>1.2661385891598569</v>
      </c>
      <c r="X27" s="5">
        <f t="shared" si="5"/>
        <v>1.0606060606060614</v>
      </c>
      <c r="Y27" s="5">
        <f t="shared" si="5"/>
        <v>1.8996599261345024</v>
      </c>
      <c r="Z27" s="5">
        <f t="shared" si="5"/>
        <v>2.148936297465895</v>
      </c>
    </row>
    <row r="28" spans="1:27" x14ac:dyDescent="0.35">
      <c r="A28" s="182"/>
      <c r="B28" s="163"/>
      <c r="C28" s="17" t="s">
        <v>32</v>
      </c>
      <c r="D28" s="84">
        <f>'Raw Data Totals'!D25/S$31</f>
        <v>56.197404575242373</v>
      </c>
      <c r="E28" s="84">
        <f>'Raw Data Totals'!E25/T$31</f>
        <v>3807.3654390934848</v>
      </c>
      <c r="F28" s="84">
        <f>'Raw Data Totals'!F25/U$31</f>
        <v>77.251795633200942</v>
      </c>
      <c r="G28" s="84">
        <f>'Raw Data Totals'!G25/V$31</f>
        <v>66.696365425610907</v>
      </c>
      <c r="H28" s="84">
        <f>'Raw Data Totals'!H25/W$31</f>
        <v>357.94518496330687</v>
      </c>
      <c r="I28" s="84">
        <f>'Raw Data Totals'!I25/X$31</f>
        <v>157.40806657016523</v>
      </c>
      <c r="J28" s="84">
        <f>'Raw Data Totals'!J25/Y$31</f>
        <v>345.38235597998556</v>
      </c>
      <c r="K28" s="84">
        <f>'Raw Data Totals'!K25/Z$31</f>
        <v>70.846409667900133</v>
      </c>
      <c r="L28" s="84">
        <f>'Raw Data Totals'!L25/AA$31</f>
        <v>141.92077047391692</v>
      </c>
      <c r="M28" s="84">
        <f t="shared" si="3"/>
        <v>564.5570880425347</v>
      </c>
      <c r="N28" s="18" t="s">
        <v>5</v>
      </c>
      <c r="O28" s="17" t="s">
        <v>8</v>
      </c>
      <c r="S28" s="1" t="s">
        <v>18</v>
      </c>
      <c r="T28" s="5">
        <f t="shared" si="5"/>
        <v>0.35209764841448798</v>
      </c>
      <c r="U28" s="5">
        <f t="shared" si="5"/>
        <v>0.1373678950390135</v>
      </c>
      <c r="V28" s="5">
        <f t="shared" si="5"/>
        <v>0.12189010354288876</v>
      </c>
      <c r="W28" s="5">
        <f t="shared" si="5"/>
        <v>0.38473774629366098</v>
      </c>
      <c r="X28" s="5">
        <f t="shared" si="5"/>
        <v>0.3088923820631107</v>
      </c>
      <c r="Y28" s="5">
        <f t="shared" si="5"/>
        <v>1.2123867336751264</v>
      </c>
      <c r="Z28" s="5">
        <f t="shared" si="5"/>
        <v>1.4721490379212565</v>
      </c>
    </row>
    <row r="29" spans="1:27" ht="14.5" customHeight="1" x14ac:dyDescent="0.35">
      <c r="A29" s="182"/>
      <c r="B29" s="163"/>
      <c r="C29" s="17" t="s">
        <v>33</v>
      </c>
      <c r="D29" s="84">
        <f>'Raw Data Totals'!D26/S$31</f>
        <v>23.426450940491598</v>
      </c>
      <c r="E29" s="84">
        <f>'Raw Data Totals'!E26/T$31</f>
        <v>815.86402266288951</v>
      </c>
      <c r="F29" s="84">
        <f>'Raw Data Totals'!F26/U$31</f>
        <v>30.523880225801346</v>
      </c>
      <c r="G29" s="84">
        <f>'Raw Data Totals'!G26/V$31</f>
        <v>10.067375913299758</v>
      </c>
      <c r="H29" s="84">
        <f>'Raw Data Totals'!H26/W$31</f>
        <v>146.77250262093756</v>
      </c>
      <c r="I29" s="84">
        <f>'Raw Data Totals'!I26/X$31</f>
        <v>71.980573155201185</v>
      </c>
      <c r="J29" s="84">
        <f>'Raw Data Totals'!J26/Y$31</f>
        <v>82.655606559312787</v>
      </c>
      <c r="K29" s="84">
        <f>'Raw Data Totals'!K26/Z$31</f>
        <v>109.48990585039111</v>
      </c>
      <c r="L29" s="84">
        <f>'Raw Data Totals'!L26/AA$31</f>
        <v>60.705994306762157</v>
      </c>
      <c r="M29" s="84">
        <f t="shared" si="3"/>
        <v>150.16514580389858</v>
      </c>
      <c r="N29" s="18" t="s">
        <v>5</v>
      </c>
      <c r="O29" s="17" t="s">
        <v>8</v>
      </c>
    </row>
    <row r="30" spans="1:27" x14ac:dyDescent="0.35">
      <c r="A30" s="182"/>
      <c r="B30" s="163"/>
      <c r="C30" s="17" t="s">
        <v>34</v>
      </c>
      <c r="D30" s="84">
        <f>'Raw Data Totals'!D27/S$31</f>
        <v>18.037063340081659</v>
      </c>
      <c r="E30" s="84">
        <f>'Raw Data Totals'!E27/T$31</f>
        <v>169.97167138810198</v>
      </c>
      <c r="F30" s="84">
        <f>'Raw Data Totals'!F27/U$31</f>
        <v>19.972415456388536</v>
      </c>
      <c r="G30" s="84">
        <f>'Raw Data Totals'!G27/V$31</f>
        <v>11.829166698127215</v>
      </c>
      <c r="H30" s="84">
        <f>'Raw Data Totals'!H27/W$31</f>
        <v>122.80964505017224</v>
      </c>
      <c r="I30" s="84">
        <f>'Raw Data Totals'!I27/X$31</f>
        <v>25.311849900730088</v>
      </c>
      <c r="J30" s="84">
        <f>'Raw Data Totals'!J27/Y$31</f>
        <v>109.22348009623475</v>
      </c>
      <c r="K30" s="84">
        <f>'Raw Data Totals'!K27/Z$31</f>
        <v>4.68406014333224</v>
      </c>
      <c r="L30" s="84">
        <f>'Raw Data Totals'!L27/AA$31</f>
        <v>26.251240781302553</v>
      </c>
      <c r="M30" s="84">
        <f t="shared" si="3"/>
        <v>56.454510317163482</v>
      </c>
      <c r="N30" s="18" t="s">
        <v>5</v>
      </c>
      <c r="O30" s="17" t="s">
        <v>8</v>
      </c>
      <c r="S30" s="1" t="s">
        <v>10</v>
      </c>
      <c r="T30" s="1" t="s">
        <v>11</v>
      </c>
      <c r="U30" s="1" t="s">
        <v>12</v>
      </c>
      <c r="V30" s="1" t="s">
        <v>13</v>
      </c>
      <c r="W30" s="1" t="s">
        <v>14</v>
      </c>
      <c r="X30" s="1" t="s">
        <v>15</v>
      </c>
      <c r="Y30" s="1" t="s">
        <v>16</v>
      </c>
      <c r="Z30" s="1" t="s">
        <v>17</v>
      </c>
      <c r="AA30" s="1" t="s">
        <v>18</v>
      </c>
    </row>
    <row r="31" spans="1:27" ht="15" thickBot="1" x14ac:dyDescent="0.4">
      <c r="A31" s="52"/>
      <c r="B31" s="193"/>
      <c r="C31" s="78" t="s">
        <v>63</v>
      </c>
      <c r="D31" s="85" t="e">
        <f>'Raw Data Totals'!#REF!/S$31</f>
        <v>#REF!</v>
      </c>
      <c r="E31" s="85" t="e">
        <f>'Raw Data Totals'!#REF!/T$31</f>
        <v>#REF!</v>
      </c>
      <c r="F31" s="85" t="e">
        <f>'Raw Data Totals'!#REF!/U$31</f>
        <v>#REF!</v>
      </c>
      <c r="G31" s="85" t="e">
        <f>'Raw Data Totals'!#REF!/V$31</f>
        <v>#REF!</v>
      </c>
      <c r="H31" s="85" t="e">
        <f>'Raw Data Totals'!#REF!/W$31</f>
        <v>#REF!</v>
      </c>
      <c r="I31" s="85" t="e">
        <f>'Raw Data Totals'!#REF!/X$31</f>
        <v>#REF!</v>
      </c>
      <c r="J31" s="85" t="e">
        <f>'Raw Data Totals'!#REF!/Y$31</f>
        <v>#REF!</v>
      </c>
      <c r="K31" s="85" t="e">
        <f>'Raw Data Totals'!#REF!/Z$31</f>
        <v>#REF!</v>
      </c>
      <c r="L31" s="85" t="e">
        <f>'Raw Data Totals'!#REF!/AA$31</f>
        <v>#REF!</v>
      </c>
      <c r="M31" s="62">
        <f>AVERAGE(M24:M30)</f>
        <v>160.29872010718412</v>
      </c>
      <c r="N31" s="62" t="s">
        <v>6</v>
      </c>
      <c r="O31" s="61" t="s">
        <v>8</v>
      </c>
      <c r="S31">
        <v>23.008179999999999</v>
      </c>
      <c r="T31">
        <v>8.8249999999999995E-2</v>
      </c>
      <c r="U31">
        <v>2.6536599999999999</v>
      </c>
      <c r="V31">
        <v>3.97323</v>
      </c>
      <c r="W31">
        <v>0.66769999999999996</v>
      </c>
      <c r="X31">
        <v>1.26423</v>
      </c>
      <c r="Y31">
        <v>0.67750999999999995</v>
      </c>
      <c r="Z31">
        <v>1.7079200000000001</v>
      </c>
      <c r="AA31">
        <v>2.43798</v>
      </c>
    </row>
    <row r="32" spans="1:27" ht="15" thickBot="1" x14ac:dyDescent="0.4">
      <c r="A32" s="175" t="s">
        <v>4</v>
      </c>
      <c r="B32" s="179" t="s">
        <v>7</v>
      </c>
      <c r="C32" s="23" t="s">
        <v>22</v>
      </c>
      <c r="D32" s="86">
        <f>'Raw Data Totals'!D28/S$31</f>
        <v>3.6074126680163316</v>
      </c>
      <c r="E32" s="86">
        <f>'Raw Data Totals'!E28/T$31</f>
        <v>0</v>
      </c>
      <c r="F32" s="86">
        <f>'Raw Data Totals'!F28/U$31</f>
        <v>3.014704219832232</v>
      </c>
      <c r="G32" s="86">
        <f>'Raw Data Totals'!G28/V$31</f>
        <v>1.0067375913299759</v>
      </c>
      <c r="H32" s="86">
        <f>'Raw Data Totals'!H28/W$31</f>
        <v>0</v>
      </c>
      <c r="I32" s="86">
        <f>'Raw Data Totals'!I28/X$31</f>
        <v>2.372985928193446</v>
      </c>
      <c r="J32" s="86">
        <f>'Raw Data Totals'!J28/Y$31</f>
        <v>4.4279789228203281</v>
      </c>
      <c r="K32" s="86">
        <f>'Raw Data Totals'!K28/Z$31</f>
        <v>0</v>
      </c>
      <c r="L32" s="86">
        <f>'Raw Data Totals'!L28/AA$31</f>
        <v>0.41017563720785238</v>
      </c>
      <c r="M32" s="86">
        <f t="shared" si="3"/>
        <v>1.6488883297111294</v>
      </c>
      <c r="N32" s="24" t="s">
        <v>4</v>
      </c>
      <c r="O32" s="23" t="s">
        <v>7</v>
      </c>
    </row>
    <row r="33" spans="1:27" x14ac:dyDescent="0.35">
      <c r="A33" s="175"/>
      <c r="B33" s="180"/>
      <c r="C33" s="23" t="s">
        <v>23</v>
      </c>
      <c r="D33" s="86">
        <f>'Raw Data Totals'!D29/S$31</f>
        <v>2.0427517517682841</v>
      </c>
      <c r="E33" s="86">
        <f>'Raw Data Totals'!E29/T$31</f>
        <v>0</v>
      </c>
      <c r="F33" s="86">
        <f>'Raw Data Totals'!F29/U$31</f>
        <v>0.376838027479029</v>
      </c>
      <c r="G33" s="86">
        <f>'Raw Data Totals'!G29/V$31</f>
        <v>0.50336879566498793</v>
      </c>
      <c r="H33" s="86">
        <f>'Raw Data Totals'!H29/W$31</f>
        <v>0</v>
      </c>
      <c r="I33" s="86">
        <f>'Raw Data Totals'!I29/X$31</f>
        <v>0.79099530939781526</v>
      </c>
      <c r="J33" s="86">
        <f>'Raw Data Totals'!J29/Y$31</f>
        <v>0</v>
      </c>
      <c r="K33" s="86">
        <f>'Raw Data Totals'!K29/Z$31</f>
        <v>0</v>
      </c>
      <c r="L33" s="86">
        <f>'Raw Data Totals'!L29/AA$31</f>
        <v>1.2305269116235571</v>
      </c>
      <c r="M33" s="86">
        <f t="shared" si="3"/>
        <v>0.54938675510374158</v>
      </c>
      <c r="N33" s="24" t="s">
        <v>4</v>
      </c>
      <c r="O33" s="23" t="s">
        <v>7</v>
      </c>
      <c r="S33" s="183" t="s">
        <v>65</v>
      </c>
      <c r="T33" s="184"/>
      <c r="U33" s="184"/>
      <c r="V33" s="184"/>
      <c r="W33" s="184"/>
      <c r="X33" s="184"/>
      <c r="Y33" s="184"/>
      <c r="Z33" s="184"/>
      <c r="AA33" s="185"/>
    </row>
    <row r="34" spans="1:27" ht="15" thickBot="1" x14ac:dyDescent="0.4">
      <c r="A34" s="175"/>
      <c r="B34" s="180"/>
      <c r="C34" s="23" t="s">
        <v>24</v>
      </c>
      <c r="D34" s="86">
        <f>'Raw Data Totals'!D30/S$31</f>
        <v>0.73886765489491135</v>
      </c>
      <c r="E34" s="86">
        <f>'Raw Data Totals'!E30/T$31</f>
        <v>0</v>
      </c>
      <c r="F34" s="86">
        <f>'Raw Data Totals'!F30/U$31</f>
        <v>1.507352109916116</v>
      </c>
      <c r="G34" s="86">
        <f>'Raw Data Totals'!G30/V$31</f>
        <v>0.25168439783249397</v>
      </c>
      <c r="H34" s="86">
        <f>'Raw Data Totals'!H30/W$31</f>
        <v>1.4976785981728322</v>
      </c>
      <c r="I34" s="86">
        <f>'Raw Data Totals'!I30/X$31</f>
        <v>0</v>
      </c>
      <c r="J34" s="86">
        <f>'Raw Data Totals'!J30/Y$31</f>
        <v>0</v>
      </c>
      <c r="K34" s="86">
        <f>'Raw Data Totals'!K30/Z$31</f>
        <v>0</v>
      </c>
      <c r="L34" s="86">
        <f>'Raw Data Totals'!L30/AA$31</f>
        <v>0</v>
      </c>
      <c r="M34" s="86">
        <f t="shared" si="3"/>
        <v>0.44395364009070598</v>
      </c>
      <c r="N34" s="24" t="s">
        <v>4</v>
      </c>
      <c r="O34" s="23" t="s">
        <v>7</v>
      </c>
      <c r="S34" s="186"/>
      <c r="T34" s="187"/>
      <c r="U34" s="187"/>
      <c r="V34" s="187"/>
      <c r="W34" s="187"/>
      <c r="X34" s="187"/>
      <c r="Y34" s="187"/>
      <c r="Z34" s="187"/>
      <c r="AA34" s="188"/>
    </row>
    <row r="35" spans="1:27" ht="15.5" x14ac:dyDescent="0.35">
      <c r="A35" s="175"/>
      <c r="B35" s="180"/>
      <c r="C35" s="23" t="s">
        <v>25</v>
      </c>
      <c r="D35" s="86">
        <f>'Raw Data Totals'!D31/S$31</f>
        <v>0.78233045812402369</v>
      </c>
      <c r="E35" s="86">
        <f>'Raw Data Totals'!E31/T$31</f>
        <v>22.6628895184136</v>
      </c>
      <c r="F35" s="86">
        <f>'Raw Data Totals'!F31/U$31</f>
        <v>1.507352109916116</v>
      </c>
      <c r="G35" s="86">
        <f>'Raw Data Totals'!G31/V$31</f>
        <v>0.50336879566498793</v>
      </c>
      <c r="H35" s="86">
        <f>'Raw Data Totals'!H31/W$31</f>
        <v>8.9860715890369924</v>
      </c>
      <c r="I35" s="86">
        <f>'Raw Data Totals'!I31/X$31</f>
        <v>2.372985928193446</v>
      </c>
      <c r="J35" s="86">
        <f>'Raw Data Totals'!J31/Y$31</f>
        <v>1.4759929742734426</v>
      </c>
      <c r="K35" s="86">
        <f>'Raw Data Totals'!K31/Z$31</f>
        <v>2.34203007166612</v>
      </c>
      <c r="L35" s="86">
        <f>'Raw Data Totals'!L31/AA$31</f>
        <v>2.4610538232471142</v>
      </c>
      <c r="M35" s="86">
        <f t="shared" si="3"/>
        <v>4.7882305853928715</v>
      </c>
      <c r="N35" s="24" t="s">
        <v>4</v>
      </c>
      <c r="O35" s="23" t="s">
        <v>7</v>
      </c>
      <c r="S35" s="4" t="s">
        <v>58</v>
      </c>
      <c r="T35" s="4">
        <v>2016</v>
      </c>
      <c r="U35" s="4">
        <v>2017</v>
      </c>
      <c r="V35" s="4">
        <v>2018</v>
      </c>
      <c r="W35" s="4">
        <v>2019</v>
      </c>
      <c r="X35" s="4">
        <v>2020</v>
      </c>
      <c r="Y35" s="4">
        <v>2021</v>
      </c>
      <c r="Z35" s="4">
        <v>2022</v>
      </c>
      <c r="AA35" s="4">
        <v>2023</v>
      </c>
    </row>
    <row r="36" spans="1:27" x14ac:dyDescent="0.35">
      <c r="A36" s="175"/>
      <c r="B36" s="180"/>
      <c r="C36" s="23" t="s">
        <v>26</v>
      </c>
      <c r="D36" s="86">
        <f>'Raw Data Totals'!D32/S$31</f>
        <v>0.13038840968733728</v>
      </c>
      <c r="E36" s="86">
        <f>'Raw Data Totals'!E32/T$31</f>
        <v>0</v>
      </c>
      <c r="F36" s="86">
        <f>'Raw Data Totals'!F32/U$31</f>
        <v>0.376838027479029</v>
      </c>
      <c r="G36" s="86">
        <f>'Raw Data Totals'!G32/V$31</f>
        <v>0</v>
      </c>
      <c r="H36" s="86">
        <f>'Raw Data Totals'!H32/W$31</f>
        <v>0</v>
      </c>
      <c r="I36" s="86">
        <f>'Raw Data Totals'!I32/X$31</f>
        <v>0</v>
      </c>
      <c r="J36" s="86">
        <f>'Raw Data Totals'!J32/Y$31</f>
        <v>0</v>
      </c>
      <c r="K36" s="86">
        <f>'Raw Data Totals'!K32/Z$31</f>
        <v>0</v>
      </c>
      <c r="L36" s="86">
        <f>'Raw Data Totals'!L32/AA$31</f>
        <v>0</v>
      </c>
      <c r="M36" s="86">
        <f t="shared" si="3"/>
        <v>5.635849301848514E-2</v>
      </c>
      <c r="N36" s="24" t="s">
        <v>4</v>
      </c>
      <c r="O36" s="23" t="s">
        <v>7</v>
      </c>
      <c r="S36" s="1" t="s">
        <v>10</v>
      </c>
      <c r="T36">
        <f t="shared" ref="T36:AA38" si="6">T6*100000</f>
        <v>2020458</v>
      </c>
      <c r="U36">
        <f t="shared" si="6"/>
        <v>2059891</v>
      </c>
      <c r="V36">
        <f t="shared" si="6"/>
        <v>2097199</v>
      </c>
      <c r="W36">
        <f t="shared" si="6"/>
        <v>2136081</v>
      </c>
      <c r="X36">
        <f t="shared" si="6"/>
        <v>2170713</v>
      </c>
      <c r="Y36">
        <f t="shared" si="6"/>
        <v>2185531</v>
      </c>
      <c r="Z36">
        <f t="shared" si="6"/>
        <v>2232196</v>
      </c>
      <c r="AA36">
        <f t="shared" si="6"/>
        <v>2300818</v>
      </c>
    </row>
    <row r="37" spans="1:27" x14ac:dyDescent="0.35">
      <c r="A37" s="175"/>
      <c r="B37" s="180"/>
      <c r="C37" s="23" t="s">
        <v>27</v>
      </c>
      <c r="D37" s="86">
        <f>'Raw Data Totals'!D33/S$31</f>
        <v>0.30423962260378701</v>
      </c>
      <c r="E37" s="86">
        <f>'Raw Data Totals'!E33/T$31</f>
        <v>11.3314447592068</v>
      </c>
      <c r="F37" s="86">
        <f>'Raw Data Totals'!F33/U$31</f>
        <v>0</v>
      </c>
      <c r="G37" s="86">
        <f>'Raw Data Totals'!G33/V$31</f>
        <v>0</v>
      </c>
      <c r="H37" s="86">
        <f>'Raw Data Totals'!H33/W$31</f>
        <v>0</v>
      </c>
      <c r="I37" s="86">
        <f>'Raw Data Totals'!I33/X$31</f>
        <v>0</v>
      </c>
      <c r="J37" s="86">
        <f>'Raw Data Totals'!J33/Y$31</f>
        <v>0</v>
      </c>
      <c r="K37" s="86">
        <f>'Raw Data Totals'!K33/Z$31</f>
        <v>0.58550751791653</v>
      </c>
      <c r="L37" s="86">
        <f>'Raw Data Totals'!L33/AA$31</f>
        <v>0</v>
      </c>
      <c r="M37" s="86">
        <f t="shared" si="3"/>
        <v>1.3579102110807908</v>
      </c>
      <c r="N37" s="24" t="s">
        <v>4</v>
      </c>
      <c r="O37" s="23" t="s">
        <v>7</v>
      </c>
      <c r="S37" s="1" t="s">
        <v>11</v>
      </c>
      <c r="T37">
        <f t="shared" si="6"/>
        <v>8512</v>
      </c>
      <c r="U37">
        <f t="shared" si="6"/>
        <v>8519</v>
      </c>
      <c r="V37">
        <f t="shared" si="6"/>
        <v>8527</v>
      </c>
      <c r="W37">
        <f t="shared" si="6"/>
        <v>8557</v>
      </c>
      <c r="X37">
        <f t="shared" si="6"/>
        <v>8559</v>
      </c>
      <c r="Y37">
        <f t="shared" si="6"/>
        <v>8554</v>
      </c>
      <c r="Z37">
        <f t="shared" si="6"/>
        <v>8617</v>
      </c>
      <c r="AA37">
        <f t="shared" si="6"/>
        <v>8825</v>
      </c>
    </row>
    <row r="38" spans="1:27" ht="15" thickBot="1" x14ac:dyDescent="0.4">
      <c r="A38" s="175"/>
      <c r="B38" s="196"/>
      <c r="C38" s="63" t="s">
        <v>63</v>
      </c>
      <c r="D38" s="87" t="e">
        <f>'Raw Data Totals'!#REF!/S$31</f>
        <v>#REF!</v>
      </c>
      <c r="E38" s="87" t="e">
        <f>'Raw Data Totals'!#REF!/T$31</f>
        <v>#REF!</v>
      </c>
      <c r="F38" s="87" t="e">
        <f>'Raw Data Totals'!#REF!/U$31</f>
        <v>#REF!</v>
      </c>
      <c r="G38" s="87" t="e">
        <f>'Raw Data Totals'!#REF!/V$31</f>
        <v>#REF!</v>
      </c>
      <c r="H38" s="87" t="e">
        <f>'Raw Data Totals'!#REF!/W$31</f>
        <v>#REF!</v>
      </c>
      <c r="I38" s="87" t="e">
        <f>'Raw Data Totals'!#REF!/X$31</f>
        <v>#REF!</v>
      </c>
      <c r="J38" s="87" t="e">
        <f>'Raw Data Totals'!#REF!/Y$31</f>
        <v>#REF!</v>
      </c>
      <c r="K38" s="87" t="e">
        <f>'Raw Data Totals'!#REF!/Z$31</f>
        <v>#REF!</v>
      </c>
      <c r="L38" s="87" t="e">
        <f>'Raw Data Totals'!#REF!/AA$31</f>
        <v>#REF!</v>
      </c>
      <c r="M38" s="64">
        <f>AVERAGE(M32:M37)</f>
        <v>1.4741213357329539</v>
      </c>
      <c r="N38" s="64" t="s">
        <v>6</v>
      </c>
      <c r="O38" s="63" t="s">
        <v>7</v>
      </c>
      <c r="S38" s="1" t="s">
        <v>12</v>
      </c>
      <c r="T38">
        <f t="shared" si="6"/>
        <v>246684</v>
      </c>
      <c r="U38">
        <f t="shared" si="6"/>
        <v>249681</v>
      </c>
      <c r="V38">
        <f t="shared" si="6"/>
        <v>252209</v>
      </c>
      <c r="W38">
        <f t="shared" si="6"/>
        <v>254138.99999999997</v>
      </c>
      <c r="X38">
        <f t="shared" si="6"/>
        <v>256262</v>
      </c>
      <c r="Y38">
        <f t="shared" si="6"/>
        <v>257065</v>
      </c>
      <c r="Z38">
        <f t="shared" si="6"/>
        <v>260664</v>
      </c>
      <c r="AA38">
        <f t="shared" si="6"/>
        <v>265366</v>
      </c>
    </row>
    <row r="39" spans="1:27" x14ac:dyDescent="0.35">
      <c r="A39" s="175"/>
      <c r="B39" s="179" t="s">
        <v>8</v>
      </c>
      <c r="C39" s="23" t="s">
        <v>28</v>
      </c>
      <c r="D39" s="86">
        <f>'Raw Data Totals'!D34/S$31</f>
        <v>36.726068728600005</v>
      </c>
      <c r="E39" s="86">
        <f>'Raw Data Totals'!E34/T$31</f>
        <v>838.52691218130315</v>
      </c>
      <c r="F39" s="86">
        <f>'Raw Data Totals'!F34/U$31</f>
        <v>32.031232335717462</v>
      </c>
      <c r="G39" s="86">
        <f>'Raw Data Totals'!G34/V$31</f>
        <v>51.595301555661266</v>
      </c>
      <c r="H39" s="86">
        <f>'Raw Data Totals'!H34/W$31</f>
        <v>146.77250262093756</v>
      </c>
      <c r="I39" s="86">
        <f>'Raw Data Totals'!I34/X$31</f>
        <v>97.29242305593128</v>
      </c>
      <c r="J39" s="86">
        <f>'Raw Data Totals'!J34/Y$31</f>
        <v>172.69117798999278</v>
      </c>
      <c r="K39" s="86">
        <f>'Raw Data Totals'!K34/Z$31</f>
        <v>15.223195465829781</v>
      </c>
      <c r="L39" s="86">
        <f>'Raw Data Totals'!L34/AA$31</f>
        <v>52.502481562605105</v>
      </c>
      <c r="M39" s="86">
        <f t="shared" si="3"/>
        <v>160.37347727739763</v>
      </c>
      <c r="N39" s="24" t="s">
        <v>4</v>
      </c>
      <c r="O39" s="23" t="s">
        <v>8</v>
      </c>
      <c r="S39" s="1" t="s">
        <v>13</v>
      </c>
      <c r="T39">
        <f t="shared" ref="T39:AA44" si="7">T9*100000</f>
        <v>333702</v>
      </c>
      <c r="U39">
        <f t="shared" si="7"/>
        <v>341056</v>
      </c>
      <c r="V39">
        <f t="shared" si="7"/>
        <v>349181</v>
      </c>
      <c r="W39">
        <f t="shared" si="7"/>
        <v>358440</v>
      </c>
      <c r="X39">
        <f t="shared" si="7"/>
        <v>366107</v>
      </c>
      <c r="Y39">
        <f t="shared" si="7"/>
        <v>373629</v>
      </c>
      <c r="Z39">
        <f t="shared" si="7"/>
        <v>384933</v>
      </c>
      <c r="AA39">
        <f t="shared" si="7"/>
        <v>397323</v>
      </c>
    </row>
    <row r="40" spans="1:27" x14ac:dyDescent="0.35">
      <c r="A40" s="175"/>
      <c r="B40" s="180"/>
      <c r="C40" s="23" t="s">
        <v>29</v>
      </c>
      <c r="D40" s="86">
        <f>'Raw Data Totals'!D35/S$31</f>
        <v>12.951915362275503</v>
      </c>
      <c r="E40" s="86">
        <f>'Raw Data Totals'!E35/T$31</f>
        <v>215.2974504249292</v>
      </c>
      <c r="F40" s="86">
        <f>'Raw Data Totals'!F35/U$31</f>
        <v>6.029408439664464</v>
      </c>
      <c r="G40" s="86">
        <f>'Raw Data Totals'!G35/V$31</f>
        <v>19.631383030934529</v>
      </c>
      <c r="H40" s="86">
        <f>'Raw Data Totals'!H35/W$31</f>
        <v>23.962857570765316</v>
      </c>
      <c r="I40" s="86">
        <f>'Raw Data Totals'!I35/X$31</f>
        <v>38.758770160492951</v>
      </c>
      <c r="J40" s="86">
        <f>'Raw Data Totals'!J35/Y$31</f>
        <v>50.183761125297046</v>
      </c>
      <c r="K40" s="86">
        <f>'Raw Data Totals'!K35/Z$31</f>
        <v>2.34203007166612</v>
      </c>
      <c r="L40" s="86">
        <f>'Raw Data Totals'!L35/AA$31</f>
        <v>20.50878186039262</v>
      </c>
      <c r="M40" s="86">
        <f t="shared" si="3"/>
        <v>43.296262005157523</v>
      </c>
      <c r="N40" s="24" t="s">
        <v>4</v>
      </c>
      <c r="O40" s="23" t="s">
        <v>8</v>
      </c>
      <c r="S40" s="1" t="s">
        <v>14</v>
      </c>
      <c r="T40">
        <f t="shared" si="7"/>
        <v>58460.999999999993</v>
      </c>
      <c r="U40">
        <f t="shared" si="7"/>
        <v>59866</v>
      </c>
      <c r="V40">
        <f t="shared" si="7"/>
        <v>61226</v>
      </c>
      <c r="W40">
        <f t="shared" si="7"/>
        <v>62537</v>
      </c>
      <c r="X40">
        <f t="shared" si="7"/>
        <v>63590</v>
      </c>
      <c r="Y40">
        <f t="shared" si="7"/>
        <v>64537</v>
      </c>
      <c r="Z40">
        <f t="shared" si="7"/>
        <v>65418</v>
      </c>
      <c r="AA40">
        <f t="shared" si="7"/>
        <v>66770</v>
      </c>
    </row>
    <row r="41" spans="1:27" x14ac:dyDescent="0.35">
      <c r="A41" s="175"/>
      <c r="B41" s="180"/>
      <c r="C41" s="23" t="s">
        <v>30</v>
      </c>
      <c r="D41" s="86">
        <f>'Raw Data Totals'!D36/S$31</f>
        <v>3.4335614550998819</v>
      </c>
      <c r="E41" s="86">
        <f>'Raw Data Totals'!E36/T$31</f>
        <v>101.98300283286119</v>
      </c>
      <c r="F41" s="86">
        <f>'Raw Data Totals'!F36/U$31</f>
        <v>6.7830844946225213</v>
      </c>
      <c r="G41" s="86">
        <f>'Raw Data Totals'!G36/V$31</f>
        <v>4.0269503653199035</v>
      </c>
      <c r="H41" s="86">
        <f>'Raw Data Totals'!H36/W$31</f>
        <v>13.47910738355549</v>
      </c>
      <c r="I41" s="86">
        <f>'Raw Data Totals'!I36/X$31</f>
        <v>20.565878044343197</v>
      </c>
      <c r="J41" s="86">
        <f>'Raw Data Totals'!J36/Y$31</f>
        <v>66.41968384230492</v>
      </c>
      <c r="K41" s="86">
        <f>'Raw Data Totals'!K36/Z$31</f>
        <v>5.2695676612487699</v>
      </c>
      <c r="L41" s="86">
        <f>'Raw Data Totals'!L36/AA$31</f>
        <v>9.4340396557806052</v>
      </c>
      <c r="M41" s="86">
        <f t="shared" si="3"/>
        <v>25.710541748348497</v>
      </c>
      <c r="N41" s="24" t="s">
        <v>4</v>
      </c>
      <c r="O41" s="23" t="s">
        <v>8</v>
      </c>
      <c r="S41" s="1" t="s">
        <v>15</v>
      </c>
      <c r="T41">
        <f t="shared" si="7"/>
        <v>118272</v>
      </c>
      <c r="U41">
        <f t="shared" si="7"/>
        <v>118774</v>
      </c>
      <c r="V41">
        <f t="shared" si="7"/>
        <v>119356</v>
      </c>
      <c r="W41">
        <f t="shared" si="7"/>
        <v>120390</v>
      </c>
      <c r="X41">
        <f t="shared" si="7"/>
        <v>121558.00000000001</v>
      </c>
      <c r="Y41">
        <f t="shared" si="7"/>
        <v>122759</v>
      </c>
      <c r="Z41">
        <f t="shared" si="7"/>
        <v>124496.99999999999</v>
      </c>
      <c r="AA41">
        <f t="shared" si="7"/>
        <v>126423</v>
      </c>
    </row>
    <row r="42" spans="1:27" ht="14.5" customHeight="1" x14ac:dyDescent="0.35">
      <c r="A42" s="175"/>
      <c r="B42" s="180"/>
      <c r="C42" s="23" t="s">
        <v>31</v>
      </c>
      <c r="D42" s="86">
        <f>'Raw Data Totals'!D37/S$31</f>
        <v>0.17385121291644973</v>
      </c>
      <c r="E42" s="86">
        <f>'Raw Data Totals'!E37/T$31</f>
        <v>11.3314447592068</v>
      </c>
      <c r="F42" s="86">
        <f>'Raw Data Totals'!F37/U$31</f>
        <v>0</v>
      </c>
      <c r="G42" s="86">
        <f>'Raw Data Totals'!G37/V$31</f>
        <v>0</v>
      </c>
      <c r="H42" s="86">
        <f>'Raw Data Totals'!H37/W$31</f>
        <v>1.4976785981728322</v>
      </c>
      <c r="I42" s="86">
        <f>'Raw Data Totals'!I37/X$31</f>
        <v>0</v>
      </c>
      <c r="J42" s="86">
        <f>'Raw Data Totals'!J37/Y$31</f>
        <v>5.9039718970937702</v>
      </c>
      <c r="K42" s="86">
        <f>'Raw Data Totals'!K37/Z$31</f>
        <v>0</v>
      </c>
      <c r="L42" s="86">
        <f>'Raw Data Totals'!L37/AA$31</f>
        <v>2.0508781860392622</v>
      </c>
      <c r="M42" s="86">
        <f t="shared" si="3"/>
        <v>2.3286471837143461</v>
      </c>
      <c r="N42" s="24" t="s">
        <v>4</v>
      </c>
      <c r="O42" s="23" t="s">
        <v>8</v>
      </c>
      <c r="S42" s="1" t="s">
        <v>16</v>
      </c>
      <c r="T42">
        <f t="shared" si="7"/>
        <v>60937</v>
      </c>
      <c r="U42">
        <f t="shared" si="7"/>
        <v>62505.999999999993</v>
      </c>
      <c r="V42">
        <f t="shared" si="7"/>
        <v>63509.000000000007</v>
      </c>
      <c r="W42">
        <f t="shared" si="7"/>
        <v>64232</v>
      </c>
      <c r="X42">
        <f t="shared" si="7"/>
        <v>65194</v>
      </c>
      <c r="Y42">
        <f t="shared" si="7"/>
        <v>65391</v>
      </c>
      <c r="Z42">
        <f t="shared" si="7"/>
        <v>66171</v>
      </c>
      <c r="AA42">
        <f t="shared" si="7"/>
        <v>67751</v>
      </c>
    </row>
    <row r="43" spans="1:27" x14ac:dyDescent="0.35">
      <c r="A43" s="175"/>
      <c r="B43" s="180"/>
      <c r="C43" s="23" t="s">
        <v>32</v>
      </c>
      <c r="D43" s="86">
        <f>'Raw Data Totals'!D38/S$31</f>
        <v>61.108701340132079</v>
      </c>
      <c r="E43" s="86">
        <f>'Raw Data Totals'!E38/T$31</f>
        <v>3274.787535410765</v>
      </c>
      <c r="F43" s="86">
        <f>'Raw Data Totals'!F38/U$31</f>
        <v>61.801436506560755</v>
      </c>
      <c r="G43" s="86">
        <f>'Raw Data Totals'!G38/V$31</f>
        <v>83.307535682555496</v>
      </c>
      <c r="H43" s="86">
        <f>'Raw Data Totals'!H38/W$31</f>
        <v>387.89875692676355</v>
      </c>
      <c r="I43" s="86">
        <f>'Raw Data Totals'!I38/X$31</f>
        <v>178.76493992390627</v>
      </c>
      <c r="J43" s="86">
        <f>'Raw Data Totals'!J38/Y$31</f>
        <v>287.81862998332133</v>
      </c>
      <c r="K43" s="86">
        <f>'Raw Data Totals'!K38/Z$31</f>
        <v>18.73624057332896</v>
      </c>
      <c r="L43" s="86">
        <f>'Raw Data Totals'!L38/AA$31</f>
        <v>155.45656650177605</v>
      </c>
      <c r="M43" s="86">
        <f t="shared" si="3"/>
        <v>501.07559364990112</v>
      </c>
      <c r="N43" s="24" t="s">
        <v>4</v>
      </c>
      <c r="O43" s="23" t="s">
        <v>8</v>
      </c>
      <c r="S43" s="1" t="s">
        <v>17</v>
      </c>
      <c r="T43">
        <f t="shared" si="7"/>
        <v>152862</v>
      </c>
      <c r="U43">
        <f t="shared" si="7"/>
        <v>155475</v>
      </c>
      <c r="V43">
        <f t="shared" si="7"/>
        <v>157996</v>
      </c>
      <c r="W43">
        <f t="shared" si="7"/>
        <v>160330</v>
      </c>
      <c r="X43">
        <f t="shared" si="7"/>
        <v>162360</v>
      </c>
      <c r="Y43">
        <f t="shared" si="7"/>
        <v>164082</v>
      </c>
      <c r="Z43">
        <f t="shared" si="7"/>
        <v>167199</v>
      </c>
      <c r="AA43">
        <f t="shared" si="7"/>
        <v>170792</v>
      </c>
    </row>
    <row r="44" spans="1:27" x14ac:dyDescent="0.35">
      <c r="A44" s="175"/>
      <c r="B44" s="180"/>
      <c r="C44" s="23" t="s">
        <v>33</v>
      </c>
      <c r="D44" s="86">
        <f>'Raw Data Totals'!D39/S$31</f>
        <v>17.34165848841586</v>
      </c>
      <c r="E44" s="86">
        <f>'Raw Data Totals'!E39/T$31</f>
        <v>702.54957507082156</v>
      </c>
      <c r="F44" s="86">
        <f>'Raw Data Totals'!F39/U$31</f>
        <v>44.466887242525416</v>
      </c>
      <c r="G44" s="86">
        <f>'Raw Data Totals'!G39/V$31</f>
        <v>30.957180933396756</v>
      </c>
      <c r="H44" s="86">
        <f>'Raw Data Totals'!H39/W$31</f>
        <v>77.87928710498727</v>
      </c>
      <c r="I44" s="86">
        <f>'Raw Data Totals'!I39/X$31</f>
        <v>55.369671657847071</v>
      </c>
      <c r="J44" s="86">
        <f>'Raw Data Totals'!J39/Y$31</f>
        <v>42.803796253929832</v>
      </c>
      <c r="K44" s="86">
        <f>'Raw Data Totals'!K39/Z$31</f>
        <v>11.710150358330599</v>
      </c>
      <c r="L44" s="86">
        <f>'Raw Data Totals'!L39/AA$31</f>
        <v>31.993699702212488</v>
      </c>
      <c r="M44" s="86">
        <f t="shared" si="3"/>
        <v>112.78576742360742</v>
      </c>
      <c r="N44" s="24" t="s">
        <v>4</v>
      </c>
      <c r="O44" s="23" t="s">
        <v>8</v>
      </c>
      <c r="S44" s="1" t="s">
        <v>18</v>
      </c>
      <c r="T44">
        <f t="shared" si="7"/>
        <v>234310.00000000003</v>
      </c>
      <c r="U44">
        <f t="shared" si="7"/>
        <v>235135</v>
      </c>
      <c r="V44">
        <f t="shared" si="7"/>
        <v>235458</v>
      </c>
      <c r="W44">
        <f t="shared" si="7"/>
        <v>235745</v>
      </c>
      <c r="X44">
        <f t="shared" si="7"/>
        <v>236652</v>
      </c>
      <c r="Y44">
        <f t="shared" si="7"/>
        <v>237383</v>
      </c>
      <c r="Z44">
        <f t="shared" si="7"/>
        <v>240261</v>
      </c>
      <c r="AA44">
        <f t="shared" si="7"/>
        <v>243798</v>
      </c>
    </row>
    <row r="45" spans="1:27" x14ac:dyDescent="0.35">
      <c r="A45" s="175"/>
      <c r="B45" s="180"/>
      <c r="C45" s="23" t="s">
        <v>34</v>
      </c>
      <c r="D45" s="86">
        <f>'Raw Data Totals'!D40/S$31</f>
        <v>16.64625363675006</v>
      </c>
      <c r="E45" s="86">
        <f>'Raw Data Totals'!E40/T$31</f>
        <v>2039.660056657224</v>
      </c>
      <c r="F45" s="86">
        <f>'Raw Data Totals'!F40/U$31</f>
        <v>18.465063346472419</v>
      </c>
      <c r="G45" s="86">
        <f>'Raw Data Totals'!G40/V$31</f>
        <v>15.352748267782133</v>
      </c>
      <c r="H45" s="86">
        <f>'Raw Data Totals'!H40/W$31</f>
        <v>98.846787479406927</v>
      </c>
      <c r="I45" s="86">
        <f>'Raw Data Totals'!I40/X$31</f>
        <v>36.385784232299507</v>
      </c>
      <c r="J45" s="86">
        <f>'Raw Data Totals'!J40/Y$31</f>
        <v>35.423831382562625</v>
      </c>
      <c r="K45" s="86">
        <f>'Raw Data Totals'!K40/Z$31</f>
        <v>7.6115977329148903</v>
      </c>
      <c r="L45" s="86">
        <f>'Raw Data Totals'!L40/AA$31</f>
        <v>36.095456074291008</v>
      </c>
      <c r="M45" s="86">
        <f t="shared" si="3"/>
        <v>256.05417542330048</v>
      </c>
      <c r="N45" s="24" t="s">
        <v>4</v>
      </c>
      <c r="O45" s="23" t="s">
        <v>8</v>
      </c>
    </row>
    <row r="46" spans="1:27" ht="15" thickBot="1" x14ac:dyDescent="0.4">
      <c r="A46" s="53"/>
      <c r="B46" s="196"/>
      <c r="C46" s="77" t="s">
        <v>63</v>
      </c>
      <c r="D46" s="87" t="e">
        <f>'Raw Data Totals'!#REF!/S$31</f>
        <v>#REF!</v>
      </c>
      <c r="E46" s="87" t="e">
        <f>'Raw Data Totals'!#REF!/T$31</f>
        <v>#REF!</v>
      </c>
      <c r="F46" s="87" t="e">
        <f>'Raw Data Totals'!#REF!/U$31</f>
        <v>#REF!</v>
      </c>
      <c r="G46" s="87" t="e">
        <f>'Raw Data Totals'!#REF!/V$31</f>
        <v>#REF!</v>
      </c>
      <c r="H46" s="87" t="e">
        <f>'Raw Data Totals'!#REF!/W$31</f>
        <v>#REF!</v>
      </c>
      <c r="I46" s="87" t="e">
        <f>'Raw Data Totals'!#REF!/X$31</f>
        <v>#REF!</v>
      </c>
      <c r="J46" s="87" t="e">
        <f>'Raw Data Totals'!#REF!/Y$31</f>
        <v>#REF!</v>
      </c>
      <c r="K46" s="87" t="e">
        <f>'Raw Data Totals'!#REF!/Z$31</f>
        <v>#REF!</v>
      </c>
      <c r="L46" s="87" t="e">
        <f>'Raw Data Totals'!#REF!/AA$31</f>
        <v>#REF!</v>
      </c>
      <c r="M46" s="64">
        <f>AVERAGE(M39:M45)</f>
        <v>157.37492353020386</v>
      </c>
      <c r="N46" s="64" t="s">
        <v>6</v>
      </c>
      <c r="O46" s="63" t="s">
        <v>8</v>
      </c>
    </row>
    <row r="47" spans="1:27" x14ac:dyDescent="0.35">
      <c r="A47" s="176" t="s">
        <v>3</v>
      </c>
      <c r="B47" s="177" t="s">
        <v>7</v>
      </c>
      <c r="C47" s="28" t="s">
        <v>22</v>
      </c>
      <c r="D47" s="88">
        <f>'Raw Data Totals'!D41/S$31</f>
        <v>3.4335614550998819</v>
      </c>
      <c r="E47" s="88">
        <f>'Raw Data Totals'!E41/T$31</f>
        <v>0</v>
      </c>
      <c r="F47" s="88">
        <f>'Raw Data Totals'!F41/U$31</f>
        <v>3.014704219832232</v>
      </c>
      <c r="G47" s="88">
        <f>'Raw Data Totals'!G41/V$31</f>
        <v>2.2651595804924458</v>
      </c>
      <c r="H47" s="88">
        <f>'Raw Data Totals'!H41/W$31</f>
        <v>4.4930357945184962</v>
      </c>
      <c r="I47" s="88">
        <f>'Raw Data Totals'!I41/X$31</f>
        <v>3.163981237591261</v>
      </c>
      <c r="J47" s="88">
        <f>'Raw Data Totals'!J41/Y$31</f>
        <v>8.8559578456406562</v>
      </c>
      <c r="K47" s="88">
        <f>'Raw Data Totals'!K41/Z$31</f>
        <v>0</v>
      </c>
      <c r="L47" s="88">
        <f>'Raw Data Totals'!L41/AA$31</f>
        <v>0.82035127441570477</v>
      </c>
      <c r="M47" s="88">
        <f t="shared" si="3"/>
        <v>2.8940834897322976</v>
      </c>
      <c r="N47" s="31" t="s">
        <v>3</v>
      </c>
      <c r="O47" s="28" t="s">
        <v>7</v>
      </c>
    </row>
    <row r="48" spans="1:27" x14ac:dyDescent="0.35">
      <c r="A48" s="176"/>
      <c r="B48" s="178"/>
      <c r="C48" s="28" t="s">
        <v>23</v>
      </c>
      <c r="D48" s="88">
        <f>'Raw Data Totals'!D42/S$31</f>
        <v>1.6950493259353847</v>
      </c>
      <c r="E48" s="88">
        <f>'Raw Data Totals'!E42/T$31</f>
        <v>0</v>
      </c>
      <c r="F48" s="88">
        <f>'Raw Data Totals'!F42/U$31</f>
        <v>2.2610281648741739</v>
      </c>
      <c r="G48" s="88">
        <f>'Raw Data Totals'!G42/V$31</f>
        <v>0.7550531934974819</v>
      </c>
      <c r="H48" s="88">
        <f>'Raw Data Totals'!H42/W$31</f>
        <v>0</v>
      </c>
      <c r="I48" s="88">
        <f>'Raw Data Totals'!I42/X$31</f>
        <v>3.163981237591261</v>
      </c>
      <c r="J48" s="88">
        <f>'Raw Data Totals'!J42/Y$31</f>
        <v>0</v>
      </c>
      <c r="K48" s="88">
        <f>'Raw Data Totals'!K42/Z$31</f>
        <v>0</v>
      </c>
      <c r="L48" s="88">
        <f>'Raw Data Totals'!L42/AA$31</f>
        <v>1.2305269116235571</v>
      </c>
      <c r="M48" s="88">
        <f t="shared" si="3"/>
        <v>1.0117376481690954</v>
      </c>
      <c r="N48" s="31" t="s">
        <v>3</v>
      </c>
      <c r="O48" s="28" t="s">
        <v>7</v>
      </c>
    </row>
    <row r="49" spans="1:15" x14ac:dyDescent="0.35">
      <c r="A49" s="176"/>
      <c r="B49" s="178"/>
      <c r="C49" s="28" t="s">
        <v>24</v>
      </c>
      <c r="D49" s="88">
        <f>'Raw Data Totals'!D43/S$31</f>
        <v>0.47809083552023673</v>
      </c>
      <c r="E49" s="88">
        <f>'Raw Data Totals'!E43/T$31</f>
        <v>0</v>
      </c>
      <c r="F49" s="88">
        <f>'Raw Data Totals'!F43/U$31</f>
        <v>0</v>
      </c>
      <c r="G49" s="88">
        <f>'Raw Data Totals'!G43/V$31</f>
        <v>0</v>
      </c>
      <c r="H49" s="88">
        <f>'Raw Data Totals'!H43/W$31</f>
        <v>0</v>
      </c>
      <c r="I49" s="88">
        <f>'Raw Data Totals'!I43/X$31</f>
        <v>0</v>
      </c>
      <c r="J49" s="88">
        <f>'Raw Data Totals'!J43/Y$31</f>
        <v>0</v>
      </c>
      <c r="K49" s="88">
        <f>'Raw Data Totals'!K43/Z$31</f>
        <v>0</v>
      </c>
      <c r="L49" s="88">
        <f>'Raw Data Totals'!L43/AA$31</f>
        <v>0.82035127441570477</v>
      </c>
      <c r="M49" s="88">
        <f t="shared" si="3"/>
        <v>0.14427134554843796</v>
      </c>
      <c r="N49" s="31" t="s">
        <v>3</v>
      </c>
      <c r="O49" s="28" t="s">
        <v>7</v>
      </c>
    </row>
    <row r="50" spans="1:15" x14ac:dyDescent="0.35">
      <c r="A50" s="176"/>
      <c r="B50" s="178"/>
      <c r="C50" s="28" t="s">
        <v>25</v>
      </c>
      <c r="D50" s="88">
        <f>'Raw Data Totals'!D44/S$31</f>
        <v>0.30423962260378701</v>
      </c>
      <c r="E50" s="88">
        <f>'Raw Data Totals'!E44/T$31</f>
        <v>0</v>
      </c>
      <c r="F50" s="88">
        <f>'Raw Data Totals'!F44/U$31</f>
        <v>0.75367605495805801</v>
      </c>
      <c r="G50" s="88">
        <f>'Raw Data Totals'!G44/V$31</f>
        <v>0.7550531934974819</v>
      </c>
      <c r="H50" s="88">
        <f>'Raw Data Totals'!H44/W$31</f>
        <v>1.4976785981728322</v>
      </c>
      <c r="I50" s="88">
        <f>'Raw Data Totals'!I44/X$31</f>
        <v>1.5819906187956305</v>
      </c>
      <c r="J50" s="88">
        <f>'Raw Data Totals'!J44/Y$31</f>
        <v>0</v>
      </c>
      <c r="K50" s="88">
        <f>'Raw Data Totals'!K44/Z$31</f>
        <v>1.17101503583306</v>
      </c>
      <c r="L50" s="88">
        <f>'Raw Data Totals'!L44/AA$31</f>
        <v>1.2305269116235571</v>
      </c>
      <c r="M50" s="88">
        <f t="shared" si="3"/>
        <v>0.81046444838715626</v>
      </c>
      <c r="N50" s="31" t="s">
        <v>3</v>
      </c>
      <c r="O50" s="28" t="s">
        <v>7</v>
      </c>
    </row>
    <row r="51" spans="1:15" x14ac:dyDescent="0.35">
      <c r="A51" s="176"/>
      <c r="B51" s="178"/>
      <c r="C51" s="28" t="s">
        <v>26</v>
      </c>
      <c r="D51" s="88">
        <f>'Raw Data Totals'!D45/S$31</f>
        <v>8.6925606458224863E-2</v>
      </c>
      <c r="E51" s="88">
        <f>'Raw Data Totals'!E45/T$31</f>
        <v>22.6628895184136</v>
      </c>
      <c r="F51" s="88">
        <f>'Raw Data Totals'!F45/U$31</f>
        <v>0</v>
      </c>
      <c r="G51" s="88">
        <f>'Raw Data Totals'!G45/V$31</f>
        <v>0</v>
      </c>
      <c r="H51" s="88">
        <f>'Raw Data Totals'!H45/W$31</f>
        <v>0</v>
      </c>
      <c r="I51" s="88">
        <f>'Raw Data Totals'!I45/X$31</f>
        <v>0</v>
      </c>
      <c r="J51" s="88">
        <f>'Raw Data Totals'!J45/Y$31</f>
        <v>1.4759929742734426</v>
      </c>
      <c r="K51" s="88">
        <f>'Raw Data Totals'!K45/Z$31</f>
        <v>0</v>
      </c>
      <c r="L51" s="88">
        <f>'Raw Data Totals'!L45/AA$31</f>
        <v>0</v>
      </c>
      <c r="M51" s="88">
        <f t="shared" si="3"/>
        <v>2.6917564554605851</v>
      </c>
      <c r="N51" s="31" t="s">
        <v>3</v>
      </c>
      <c r="O51" s="28" t="s">
        <v>7</v>
      </c>
    </row>
    <row r="52" spans="1:15" x14ac:dyDescent="0.35">
      <c r="A52" s="176"/>
      <c r="B52" s="178"/>
      <c r="C52" s="28" t="s">
        <v>27</v>
      </c>
      <c r="D52" s="88">
        <f>'Raw Data Totals'!D46/S$31</f>
        <v>0.30423962260378701</v>
      </c>
      <c r="E52" s="88">
        <f>'Raw Data Totals'!E46/T$31</f>
        <v>0</v>
      </c>
      <c r="F52" s="88">
        <f>'Raw Data Totals'!F46/U$31</f>
        <v>0</v>
      </c>
      <c r="G52" s="88">
        <f>'Raw Data Totals'!G46/V$31</f>
        <v>0.25168439783249397</v>
      </c>
      <c r="H52" s="88">
        <f>'Raw Data Totals'!H46/W$31</f>
        <v>0</v>
      </c>
      <c r="I52" s="88">
        <f>'Raw Data Totals'!I46/X$31</f>
        <v>0</v>
      </c>
      <c r="J52" s="88">
        <f>'Raw Data Totals'!J46/Y$31</f>
        <v>0</v>
      </c>
      <c r="K52" s="88">
        <f>'Raw Data Totals'!K46/Z$31</f>
        <v>0</v>
      </c>
      <c r="L52" s="88">
        <f>'Raw Data Totals'!L46/AA$31</f>
        <v>0</v>
      </c>
      <c r="M52" s="88">
        <f t="shared" si="3"/>
        <v>6.1769335604031222E-2</v>
      </c>
      <c r="N52" s="31" t="s">
        <v>3</v>
      </c>
      <c r="O52" s="28" t="s">
        <v>7</v>
      </c>
    </row>
    <row r="53" spans="1:15" ht="15" thickBot="1" x14ac:dyDescent="0.4">
      <c r="A53" s="176"/>
      <c r="B53" s="195"/>
      <c r="C53" s="65" t="s">
        <v>63</v>
      </c>
      <c r="D53" s="89" t="e">
        <f>'Raw Data Totals'!#REF!/S$31</f>
        <v>#REF!</v>
      </c>
      <c r="E53" s="89" t="e">
        <f>'Raw Data Totals'!#REF!/T$31</f>
        <v>#REF!</v>
      </c>
      <c r="F53" s="89" t="e">
        <f>'Raw Data Totals'!#REF!/U$31</f>
        <v>#REF!</v>
      </c>
      <c r="G53" s="89" t="e">
        <f>'Raw Data Totals'!#REF!/V$31</f>
        <v>#REF!</v>
      </c>
      <c r="H53" s="89" t="e">
        <f>'Raw Data Totals'!#REF!/W$31</f>
        <v>#REF!</v>
      </c>
      <c r="I53" s="89" t="e">
        <f>'Raw Data Totals'!#REF!/X$31</f>
        <v>#REF!</v>
      </c>
      <c r="J53" s="89" t="e">
        <f>'Raw Data Totals'!#REF!/Y$31</f>
        <v>#REF!</v>
      </c>
      <c r="K53" s="89" t="e">
        <f>'Raw Data Totals'!#REF!/Z$31</f>
        <v>#REF!</v>
      </c>
      <c r="L53" s="89" t="e">
        <f>'Raw Data Totals'!#REF!/AA$31</f>
        <v>#REF!</v>
      </c>
      <c r="M53" s="66">
        <f>AVERAGE(M47:M52)</f>
        <v>1.2690137871502671</v>
      </c>
      <c r="N53" s="66" t="s">
        <v>6</v>
      </c>
      <c r="O53" s="65" t="s">
        <v>7</v>
      </c>
    </row>
    <row r="54" spans="1:15" x14ac:dyDescent="0.35">
      <c r="A54" s="176"/>
      <c r="B54" s="177" t="s">
        <v>8</v>
      </c>
      <c r="C54" s="28" t="s">
        <v>28</v>
      </c>
      <c r="D54" s="88">
        <f>'Raw Data Totals'!D47/S$31</f>
        <v>33.770598109020355</v>
      </c>
      <c r="E54" s="88">
        <f>'Raw Data Totals'!E47/T$31</f>
        <v>895.18413597733718</v>
      </c>
      <c r="F54" s="88">
        <f>'Raw Data Totals'!F47/U$31</f>
        <v>45.597401324962505</v>
      </c>
      <c r="G54" s="88">
        <f>'Raw Data Totals'!G47/V$31</f>
        <v>32.467287320391719</v>
      </c>
      <c r="H54" s="88">
        <f>'Raw Data Totals'!H47/W$31</f>
        <v>154.26089561180171</v>
      </c>
      <c r="I54" s="88">
        <f>'Raw Data Totals'!I47/X$31</f>
        <v>162.94503373594995</v>
      </c>
      <c r="J54" s="88">
        <f>'Raw Data Totals'!J47/Y$31</f>
        <v>172.69117798999278</v>
      </c>
      <c r="K54" s="88">
        <f>'Raw Data Totals'!K47/Z$31</f>
        <v>18.73624057332896</v>
      </c>
      <c r="L54" s="88">
        <f>'Raw Data Totals'!L47/AA$31</f>
        <v>98.852328567092428</v>
      </c>
      <c r="M54" s="88">
        <f t="shared" si="3"/>
        <v>179.38945546776418</v>
      </c>
      <c r="N54" s="31" t="s">
        <v>3</v>
      </c>
      <c r="O54" s="28" t="s">
        <v>8</v>
      </c>
    </row>
    <row r="55" spans="1:15" ht="14.5" customHeight="1" x14ac:dyDescent="0.35">
      <c r="A55" s="176"/>
      <c r="B55" s="178"/>
      <c r="C55" s="28" t="s">
        <v>29</v>
      </c>
      <c r="D55" s="88">
        <f>'Raw Data Totals'!D48/S$31</f>
        <v>9.1706514813427233</v>
      </c>
      <c r="E55" s="88">
        <f>'Raw Data Totals'!E48/T$31</f>
        <v>113.31444759206799</v>
      </c>
      <c r="F55" s="88">
        <f>'Raw Data Totals'!F48/U$31</f>
        <v>8.2904366045386375</v>
      </c>
      <c r="G55" s="88">
        <f>'Raw Data Totals'!G48/V$31</f>
        <v>4.7820035588173857</v>
      </c>
      <c r="H55" s="88">
        <f>'Raw Data Totals'!H48/W$31</f>
        <v>28.455893365283814</v>
      </c>
      <c r="I55" s="88">
        <f>'Raw Data Totals'!I48/X$31</f>
        <v>8.7009484033759676</v>
      </c>
      <c r="J55" s="88">
        <f>'Raw Data Totals'!J48/Y$31</f>
        <v>67.895676816578359</v>
      </c>
      <c r="K55" s="88">
        <f>'Raw Data Totals'!K48/Z$31</f>
        <v>0.58550751791653</v>
      </c>
      <c r="L55" s="88">
        <f>'Raw Data Totals'!L48/AA$31</f>
        <v>27.891943330133962</v>
      </c>
      <c r="M55" s="88">
        <f t="shared" si="3"/>
        <v>29.8986120744506</v>
      </c>
      <c r="N55" s="31" t="s">
        <v>3</v>
      </c>
      <c r="O55" s="28" t="s">
        <v>8</v>
      </c>
    </row>
    <row r="56" spans="1:15" x14ac:dyDescent="0.35">
      <c r="A56" s="176"/>
      <c r="B56" s="178"/>
      <c r="C56" s="28" t="s">
        <v>30</v>
      </c>
      <c r="D56" s="88">
        <f>'Raw Data Totals'!D49/S$31</f>
        <v>2.0427517517682841</v>
      </c>
      <c r="E56" s="88">
        <f>'Raw Data Totals'!E49/T$31</f>
        <v>181.3031161473088</v>
      </c>
      <c r="F56" s="88">
        <f>'Raw Data Totals'!F49/U$31</f>
        <v>7.1599225221015503</v>
      </c>
      <c r="G56" s="88">
        <f>'Raw Data Totals'!G49/V$31</f>
        <v>2.2651595804924458</v>
      </c>
      <c r="H56" s="88">
        <f>'Raw Data Totals'!H49/W$31</f>
        <v>11.981428785382658</v>
      </c>
      <c r="I56" s="88">
        <f>'Raw Data Totals'!I49/X$31</f>
        <v>32.430807685310427</v>
      </c>
      <c r="J56" s="88">
        <f>'Raw Data Totals'!J49/Y$31</f>
        <v>11.80794379418754</v>
      </c>
      <c r="K56" s="88">
        <f>'Raw Data Totals'!K49/Z$31</f>
        <v>3.5130451074991802</v>
      </c>
      <c r="L56" s="88">
        <f>'Raw Data Totals'!L49/AA$31</f>
        <v>8.2035127441570488</v>
      </c>
      <c r="M56" s="88">
        <f t="shared" si="3"/>
        <v>28.967520902023107</v>
      </c>
      <c r="N56" s="31" t="s">
        <v>3</v>
      </c>
      <c r="O56" s="28" t="s">
        <v>8</v>
      </c>
    </row>
    <row r="57" spans="1:15" x14ac:dyDescent="0.35">
      <c r="A57" s="176"/>
      <c r="B57" s="178"/>
      <c r="C57" s="28" t="s">
        <v>31</v>
      </c>
      <c r="D57" s="88">
        <f>'Raw Data Totals'!D50/S$31</f>
        <v>0.47809083552023673</v>
      </c>
      <c r="E57" s="88">
        <f>'Raw Data Totals'!E50/T$31</f>
        <v>0</v>
      </c>
      <c r="F57" s="88">
        <f>'Raw Data Totals'!F50/U$31</f>
        <v>0</v>
      </c>
      <c r="G57" s="88">
        <f>'Raw Data Totals'!G50/V$31</f>
        <v>0.25168439783249397</v>
      </c>
      <c r="H57" s="88">
        <f>'Raw Data Totals'!H50/W$31</f>
        <v>1.4976785981728322</v>
      </c>
      <c r="I57" s="88">
        <f>'Raw Data Totals'!I50/X$31</f>
        <v>0.79099530939781526</v>
      </c>
      <c r="J57" s="88">
        <f>'Raw Data Totals'!J50/Y$31</f>
        <v>28.043866511195407</v>
      </c>
      <c r="K57" s="88">
        <f>'Raw Data Totals'!K50/Z$31</f>
        <v>0</v>
      </c>
      <c r="L57" s="88">
        <f>'Raw Data Totals'!L50/AA$31</f>
        <v>1.6407025488314095</v>
      </c>
      <c r="M57" s="88">
        <f t="shared" si="3"/>
        <v>3.6336686889944656</v>
      </c>
      <c r="N57" s="31" t="s">
        <v>3</v>
      </c>
      <c r="O57" s="28" t="s">
        <v>8</v>
      </c>
    </row>
    <row r="58" spans="1:15" x14ac:dyDescent="0.35">
      <c r="A58" s="176"/>
      <c r="B58" s="178"/>
      <c r="C58" s="28" t="s">
        <v>32</v>
      </c>
      <c r="D58" s="88">
        <f>'Raw Data Totals'!D51/S$31</f>
        <v>56.37125578815882</v>
      </c>
      <c r="E58" s="88">
        <f>'Raw Data Totals'!E51/T$31</f>
        <v>2674.2209631728047</v>
      </c>
      <c r="F58" s="88">
        <f>'Raw Data Totals'!F51/U$31</f>
        <v>64.062464671434924</v>
      </c>
      <c r="G58" s="88">
        <f>'Raw Data Totals'!G51/V$31</f>
        <v>72.485106575758266</v>
      </c>
      <c r="H58" s="88">
        <f>'Raw Data Totals'!H51/W$31</f>
        <v>259.09839748389999</v>
      </c>
      <c r="I58" s="88">
        <f>'Raw Data Totals'!I51/X$31</f>
        <v>199.33081796824945</v>
      </c>
      <c r="J58" s="88">
        <f>'Raw Data Totals'!J51/Y$31</f>
        <v>277.48667916340719</v>
      </c>
      <c r="K58" s="88">
        <f>'Raw Data Totals'!K51/Z$31</f>
        <v>32.788421003325681</v>
      </c>
      <c r="L58" s="88">
        <f>'Raw Data Totals'!L51/AA$31</f>
        <v>118.54075915306935</v>
      </c>
      <c r="M58" s="88">
        <f t="shared" si="3"/>
        <v>417.15387388667875</v>
      </c>
      <c r="N58" s="31" t="s">
        <v>3</v>
      </c>
      <c r="O58" s="28" t="s">
        <v>8</v>
      </c>
    </row>
    <row r="59" spans="1:15" x14ac:dyDescent="0.35">
      <c r="A59" s="176"/>
      <c r="B59" s="178"/>
      <c r="C59" s="28" t="s">
        <v>33</v>
      </c>
      <c r="D59" s="88">
        <f>'Raw Data Totals'!D52/S$31</f>
        <v>19.34094743695503</v>
      </c>
      <c r="E59" s="88">
        <f>'Raw Data Totals'!E52/T$31</f>
        <v>498.58356940509918</v>
      </c>
      <c r="F59" s="88">
        <f>'Raw Data Totals'!F52/U$31</f>
        <v>20.726091511346592</v>
      </c>
      <c r="G59" s="88">
        <f>'Raw Data Totals'!G52/V$31</f>
        <v>33.222340513889201</v>
      </c>
      <c r="H59" s="88">
        <f>'Raw Data Totals'!H52/W$31</f>
        <v>79.37696570316011</v>
      </c>
      <c r="I59" s="88">
        <f>'Raw Data Totals'!I52/X$31</f>
        <v>111.53033862509196</v>
      </c>
      <c r="J59" s="88">
        <f>'Raw Data Totals'!J52/Y$31</f>
        <v>84.131599533586225</v>
      </c>
      <c r="K59" s="88">
        <f>'Raw Data Totals'!K52/Z$31</f>
        <v>28.104360859993442</v>
      </c>
      <c r="L59" s="88">
        <f>'Raw Data Totals'!L52/AA$31</f>
        <v>66.858628864879947</v>
      </c>
      <c r="M59" s="88">
        <f t="shared" si="3"/>
        <v>104.65276027266685</v>
      </c>
      <c r="N59" s="31" t="s">
        <v>3</v>
      </c>
      <c r="O59" s="28" t="s">
        <v>8</v>
      </c>
    </row>
    <row r="60" spans="1:15" x14ac:dyDescent="0.35">
      <c r="A60" s="176"/>
      <c r="B60" s="178"/>
      <c r="C60" s="28" t="s">
        <v>34</v>
      </c>
      <c r="D60" s="88">
        <f>'Raw Data Totals'!D53/S$31</f>
        <v>22.513732072680238</v>
      </c>
      <c r="E60" s="88">
        <f>'Raw Data Totals'!E53/T$31</f>
        <v>215.2974504249292</v>
      </c>
      <c r="F60" s="88">
        <f>'Raw Data Totals'!F53/U$31</f>
        <v>7.5367605495805794</v>
      </c>
      <c r="G60" s="88">
        <f>'Raw Data Totals'!G53/V$31</f>
        <v>8.0539007306398069</v>
      </c>
      <c r="H60" s="88">
        <f>'Raw Data Totals'!H53/W$31</f>
        <v>80.874644301332935</v>
      </c>
      <c r="I60" s="88">
        <f>'Raw Data Totals'!I53/X$31</f>
        <v>33.221802994708241</v>
      </c>
      <c r="J60" s="88">
        <f>'Raw Data Totals'!J53/Y$31</f>
        <v>48.707768151023608</v>
      </c>
      <c r="K60" s="88">
        <f>'Raw Data Totals'!K53/Z$31</f>
        <v>27.518853342076909</v>
      </c>
      <c r="L60" s="88">
        <f>'Raw Data Totals'!L53/AA$31</f>
        <v>11.074742204612015</v>
      </c>
      <c r="M60" s="88">
        <f t="shared" si="3"/>
        <v>50.533294974620389</v>
      </c>
      <c r="N60" s="31" t="s">
        <v>3</v>
      </c>
      <c r="O60" s="28" t="s">
        <v>8</v>
      </c>
    </row>
    <row r="61" spans="1:15" ht="15" thickBot="1" x14ac:dyDescent="0.4">
      <c r="A61" s="54"/>
      <c r="B61" s="195"/>
      <c r="C61" s="76" t="s">
        <v>63</v>
      </c>
      <c r="D61" s="89" t="e">
        <f>'Raw Data Totals'!#REF!/S$31</f>
        <v>#REF!</v>
      </c>
      <c r="E61" s="89" t="e">
        <f>'Raw Data Totals'!#REF!/T$31</f>
        <v>#REF!</v>
      </c>
      <c r="F61" s="89" t="e">
        <f>'Raw Data Totals'!#REF!/U$31</f>
        <v>#REF!</v>
      </c>
      <c r="G61" s="89" t="e">
        <f>'Raw Data Totals'!#REF!/V$31</f>
        <v>#REF!</v>
      </c>
      <c r="H61" s="89" t="e">
        <f>'Raw Data Totals'!#REF!/W$31</f>
        <v>#REF!</v>
      </c>
      <c r="I61" s="89" t="e">
        <f>'Raw Data Totals'!#REF!/X$31</f>
        <v>#REF!</v>
      </c>
      <c r="J61" s="89" t="e">
        <f>'Raw Data Totals'!#REF!/Y$31</f>
        <v>#REF!</v>
      </c>
      <c r="K61" s="89" t="e">
        <f>'Raw Data Totals'!#REF!/Z$31</f>
        <v>#REF!</v>
      </c>
      <c r="L61" s="89" t="e">
        <f>'Raw Data Totals'!#REF!/AA$31</f>
        <v>#REF!</v>
      </c>
      <c r="M61" s="66">
        <f>AVERAGE(M54:M60)</f>
        <v>116.31845518102833</v>
      </c>
      <c r="N61" s="66" t="s">
        <v>6</v>
      </c>
      <c r="O61" s="65" t="s">
        <v>8</v>
      </c>
    </row>
    <row r="62" spans="1:15" x14ac:dyDescent="0.35">
      <c r="A62" s="173" t="s">
        <v>2</v>
      </c>
      <c r="B62" s="171" t="s">
        <v>7</v>
      </c>
      <c r="C62" s="33" t="s">
        <v>22</v>
      </c>
      <c r="D62" s="90">
        <f>'Raw Data Totals'!D54/S$31</f>
        <v>3.737801077703669</v>
      </c>
      <c r="E62" s="90">
        <f>'Raw Data Totals'!E54/T$31</f>
        <v>0</v>
      </c>
      <c r="F62" s="90">
        <f>'Raw Data Totals'!F54/U$31</f>
        <v>3.014704219832232</v>
      </c>
      <c r="G62" s="90">
        <f>'Raw Data Totals'!G54/V$31</f>
        <v>0.50336879566498793</v>
      </c>
      <c r="H62" s="90">
        <f>'Raw Data Totals'!H54/W$31</f>
        <v>2.9953571963456644</v>
      </c>
      <c r="I62" s="90">
        <f>'Raw Data Totals'!I54/X$31</f>
        <v>1.5819906187956305</v>
      </c>
      <c r="J62" s="90">
        <f>'Raw Data Totals'!J54/Y$31</f>
        <v>0</v>
      </c>
      <c r="K62" s="90">
        <f>'Raw Data Totals'!K54/Z$31</f>
        <v>1.17101503583306</v>
      </c>
      <c r="L62" s="90">
        <f>'Raw Data Totals'!L54/AA$31</f>
        <v>0.41017563720785238</v>
      </c>
      <c r="M62" s="90">
        <f t="shared" si="3"/>
        <v>1.4904902868203438</v>
      </c>
      <c r="N62" s="34" t="s">
        <v>2</v>
      </c>
      <c r="O62" s="33" t="s">
        <v>7</v>
      </c>
    </row>
    <row r="63" spans="1:15" x14ac:dyDescent="0.35">
      <c r="A63" s="173"/>
      <c r="B63" s="172"/>
      <c r="C63" s="33" t="s">
        <v>23</v>
      </c>
      <c r="D63" s="90">
        <f>'Raw Data Totals'!D55/S$31</f>
        <v>1.8689005388518345</v>
      </c>
      <c r="E63" s="90">
        <f>'Raw Data Totals'!E55/T$31</f>
        <v>0</v>
      </c>
      <c r="F63" s="90">
        <f>'Raw Data Totals'!F55/U$31</f>
        <v>0</v>
      </c>
      <c r="G63" s="90">
        <f>'Raw Data Totals'!G55/V$31</f>
        <v>0.50336879566498793</v>
      </c>
      <c r="H63" s="90">
        <f>'Raw Data Totals'!H55/W$31</f>
        <v>1.4976785981728322</v>
      </c>
      <c r="I63" s="90">
        <f>'Raw Data Totals'!I55/X$31</f>
        <v>2.372985928193446</v>
      </c>
      <c r="J63" s="90">
        <f>'Raw Data Totals'!J55/Y$31</f>
        <v>0</v>
      </c>
      <c r="K63" s="90">
        <f>'Raw Data Totals'!K55/Z$31</f>
        <v>0.58550751791653</v>
      </c>
      <c r="L63" s="90">
        <f>'Raw Data Totals'!L55/AA$31</f>
        <v>0</v>
      </c>
      <c r="M63" s="90">
        <f t="shared" si="3"/>
        <v>0.75871570875551453</v>
      </c>
      <c r="N63" s="34" t="s">
        <v>2</v>
      </c>
      <c r="O63" s="33" t="s">
        <v>7</v>
      </c>
    </row>
    <row r="64" spans="1:15" x14ac:dyDescent="0.35">
      <c r="A64" s="173"/>
      <c r="B64" s="172"/>
      <c r="C64" s="33" t="s">
        <v>24</v>
      </c>
      <c r="D64" s="90">
        <f>'Raw Data Totals'!D56/S$31</f>
        <v>1.0431072774986982</v>
      </c>
      <c r="E64" s="90">
        <f>'Raw Data Totals'!E56/T$31</f>
        <v>0</v>
      </c>
      <c r="F64" s="90">
        <f>'Raw Data Totals'!F56/U$31</f>
        <v>0</v>
      </c>
      <c r="G64" s="90">
        <f>'Raw Data Totals'!G56/V$31</f>
        <v>0</v>
      </c>
      <c r="H64" s="90">
        <f>'Raw Data Totals'!H56/W$31</f>
        <v>0</v>
      </c>
      <c r="I64" s="90">
        <f>'Raw Data Totals'!I56/X$31</f>
        <v>0.79099530939781526</v>
      </c>
      <c r="J64" s="90">
        <f>'Raw Data Totals'!J56/Y$31</f>
        <v>0</v>
      </c>
      <c r="K64" s="90">
        <f>'Raw Data Totals'!K56/Z$31</f>
        <v>0</v>
      </c>
      <c r="L64" s="90">
        <f>'Raw Data Totals'!L56/AA$31</f>
        <v>0</v>
      </c>
      <c r="M64" s="90">
        <f t="shared" si="3"/>
        <v>0.20378917632183483</v>
      </c>
      <c r="N64" s="34" t="s">
        <v>2</v>
      </c>
      <c r="O64" s="33" t="s">
        <v>7</v>
      </c>
    </row>
    <row r="65" spans="1:15" x14ac:dyDescent="0.35">
      <c r="A65" s="173"/>
      <c r="B65" s="172"/>
      <c r="C65" s="33" t="s">
        <v>25</v>
      </c>
      <c r="D65" s="90">
        <f>'Raw Data Totals'!D57/S$31</f>
        <v>0.91271886781136102</v>
      </c>
      <c r="E65" s="90">
        <f>'Raw Data Totals'!E57/T$31</f>
        <v>124.6458923512748</v>
      </c>
      <c r="F65" s="90">
        <f>'Raw Data Totals'!F57/U$31</f>
        <v>1.507352109916116</v>
      </c>
      <c r="G65" s="90">
        <f>'Raw Data Totals'!G57/V$31</f>
        <v>0.50336879566498793</v>
      </c>
      <c r="H65" s="90">
        <f>'Raw Data Totals'!H57/W$31</f>
        <v>11.981428785382658</v>
      </c>
      <c r="I65" s="90">
        <f>'Raw Data Totals'!I57/X$31</f>
        <v>1.5819906187956305</v>
      </c>
      <c r="J65" s="90">
        <f>'Raw Data Totals'!J57/Y$31</f>
        <v>2.9519859485468851</v>
      </c>
      <c r="K65" s="90">
        <f>'Raw Data Totals'!K57/Z$31</f>
        <v>1.17101503583306</v>
      </c>
      <c r="L65" s="90">
        <f>'Raw Data Totals'!L57/AA$31</f>
        <v>1.6407025488314095</v>
      </c>
      <c r="M65" s="90">
        <f t="shared" si="3"/>
        <v>16.321828340228542</v>
      </c>
      <c r="N65" s="34" t="s">
        <v>2</v>
      </c>
      <c r="O65" s="33" t="s">
        <v>7</v>
      </c>
    </row>
    <row r="66" spans="1:15" x14ac:dyDescent="0.35">
      <c r="A66" s="173"/>
      <c r="B66" s="172"/>
      <c r="C66" s="33" t="s">
        <v>26</v>
      </c>
      <c r="D66" s="90">
        <f>'Raw Data Totals'!D58/S$31</f>
        <v>0</v>
      </c>
      <c r="E66" s="90">
        <f>'Raw Data Totals'!E58/T$31</f>
        <v>11.3314447592068</v>
      </c>
      <c r="F66" s="90">
        <f>'Raw Data Totals'!F58/U$31</f>
        <v>0</v>
      </c>
      <c r="G66" s="90">
        <f>'Raw Data Totals'!G58/V$31</f>
        <v>0</v>
      </c>
      <c r="H66" s="90">
        <f>'Raw Data Totals'!H58/W$31</f>
        <v>0</v>
      </c>
      <c r="I66" s="90">
        <f>'Raw Data Totals'!I58/X$31</f>
        <v>0</v>
      </c>
      <c r="J66" s="90">
        <f>'Raw Data Totals'!J58/Y$31</f>
        <v>1.4759929742734426</v>
      </c>
      <c r="K66" s="90">
        <f>'Raw Data Totals'!K58/Z$31</f>
        <v>0</v>
      </c>
      <c r="L66" s="90">
        <f>'Raw Data Totals'!L58/AA$31</f>
        <v>0</v>
      </c>
      <c r="M66" s="90">
        <f t="shared" si="3"/>
        <v>1.4230486370533602</v>
      </c>
      <c r="N66" s="34" t="s">
        <v>2</v>
      </c>
      <c r="O66" s="33" t="s">
        <v>7</v>
      </c>
    </row>
    <row r="67" spans="1:15" x14ac:dyDescent="0.35">
      <c r="A67" s="173"/>
      <c r="B67" s="172"/>
      <c r="C67" s="33" t="s">
        <v>27</v>
      </c>
      <c r="D67" s="90">
        <f>'Raw Data Totals'!D59/S$31</f>
        <v>0.78233045812402369</v>
      </c>
      <c r="E67" s="90">
        <f>'Raw Data Totals'!E59/T$31</f>
        <v>0</v>
      </c>
      <c r="F67" s="90">
        <f>'Raw Data Totals'!F59/U$31</f>
        <v>0</v>
      </c>
      <c r="G67" s="90">
        <f>'Raw Data Totals'!G59/V$31</f>
        <v>0</v>
      </c>
      <c r="H67" s="90">
        <f>'Raw Data Totals'!H59/W$31</f>
        <v>0</v>
      </c>
      <c r="I67" s="90">
        <f>'Raw Data Totals'!I59/X$31</f>
        <v>0</v>
      </c>
      <c r="J67" s="90">
        <f>'Raw Data Totals'!J59/Y$31</f>
        <v>0</v>
      </c>
      <c r="K67" s="90">
        <f>'Raw Data Totals'!K59/Z$31</f>
        <v>0</v>
      </c>
      <c r="L67" s="90">
        <f>'Raw Data Totals'!L59/AA$31</f>
        <v>0</v>
      </c>
      <c r="M67" s="90">
        <f t="shared" si="3"/>
        <v>8.6925606458224849E-2</v>
      </c>
      <c r="N67" s="34" t="s">
        <v>2</v>
      </c>
      <c r="O67" s="33" t="s">
        <v>7</v>
      </c>
    </row>
    <row r="68" spans="1:15" ht="14.5" customHeight="1" thickBot="1" x14ac:dyDescent="0.4">
      <c r="A68" s="173"/>
      <c r="B68" s="189"/>
      <c r="C68" s="67" t="s">
        <v>63</v>
      </c>
      <c r="D68" s="91" t="e">
        <f>'Raw Data Totals'!#REF!/S$31</f>
        <v>#REF!</v>
      </c>
      <c r="E68" s="91" t="e">
        <f>'Raw Data Totals'!#REF!/T$31</f>
        <v>#REF!</v>
      </c>
      <c r="F68" s="91" t="e">
        <f>'Raw Data Totals'!#REF!/U$31</f>
        <v>#REF!</v>
      </c>
      <c r="G68" s="91" t="e">
        <f>'Raw Data Totals'!#REF!/V$31</f>
        <v>#REF!</v>
      </c>
      <c r="H68" s="91" t="e">
        <f>'Raw Data Totals'!#REF!/W$31</f>
        <v>#REF!</v>
      </c>
      <c r="I68" s="91" t="e">
        <f>'Raw Data Totals'!#REF!/X$31</f>
        <v>#REF!</v>
      </c>
      <c r="J68" s="91" t="e">
        <f>'Raw Data Totals'!#REF!/Y$31</f>
        <v>#REF!</v>
      </c>
      <c r="K68" s="91" t="e">
        <f>'Raw Data Totals'!#REF!/Z$31</f>
        <v>#REF!</v>
      </c>
      <c r="L68" s="91" t="e">
        <f>'Raw Data Totals'!#REF!/AA$31</f>
        <v>#REF!</v>
      </c>
      <c r="M68" s="68">
        <f>AVERAGE(M62:M67)</f>
        <v>3.3807996259396362</v>
      </c>
      <c r="N68" s="68" t="s">
        <v>6</v>
      </c>
      <c r="O68" s="67" t="s">
        <v>7</v>
      </c>
    </row>
    <row r="69" spans="1:15" x14ac:dyDescent="0.35">
      <c r="A69" s="173"/>
      <c r="B69" s="171" t="s">
        <v>8</v>
      </c>
      <c r="C69" s="33" t="s">
        <v>28</v>
      </c>
      <c r="D69" s="90">
        <f>'Raw Data Totals'!D60/S$31</f>
        <v>42.33277034515551</v>
      </c>
      <c r="E69" s="90">
        <f>'Raw Data Totals'!E60/T$31</f>
        <v>1087.8186968838527</v>
      </c>
      <c r="F69" s="90">
        <f>'Raw Data Totals'!F60/U$31</f>
        <v>42.205859077651247</v>
      </c>
      <c r="G69" s="90">
        <f>'Raw Data Totals'!G60/V$31</f>
        <v>22.399911407091963</v>
      </c>
      <c r="H69" s="90">
        <f>'Raw Data Totals'!H60/W$31</f>
        <v>67.395536917777449</v>
      </c>
      <c r="I69" s="90">
        <f>'Raw Data Totals'!I60/X$31</f>
        <v>82.263512177372789</v>
      </c>
      <c r="J69" s="90">
        <f>'Raw Data Totals'!J60/Y$31</f>
        <v>91.511564404953447</v>
      </c>
      <c r="K69" s="90">
        <f>'Raw Data Totals'!K60/Z$31</f>
        <v>19.321748091245489</v>
      </c>
      <c r="L69" s="90">
        <f>'Raw Data Totals'!L60/AA$31</f>
        <v>41.01756372078524</v>
      </c>
      <c r="M69" s="90">
        <f t="shared" si="3"/>
        <v>166.25190700287621</v>
      </c>
      <c r="N69" s="34" t="s">
        <v>2</v>
      </c>
      <c r="O69" s="33" t="s">
        <v>8</v>
      </c>
    </row>
    <row r="70" spans="1:15" x14ac:dyDescent="0.35">
      <c r="A70" s="173"/>
      <c r="B70" s="172"/>
      <c r="C70" s="33" t="s">
        <v>29</v>
      </c>
      <c r="D70" s="90">
        <f>'Raw Data Totals'!D61/S$31</f>
        <v>13.647320213941303</v>
      </c>
      <c r="E70" s="90">
        <f>'Raw Data Totals'!E61/T$31</f>
        <v>260.62322946175641</v>
      </c>
      <c r="F70" s="90">
        <f>'Raw Data Totals'!F61/U$31</f>
        <v>10.551464769412812</v>
      </c>
      <c r="G70" s="90">
        <f>'Raw Data Totals'!G61/V$31</f>
        <v>3.7752659674874094</v>
      </c>
      <c r="H70" s="90">
        <f>'Raw Data Totals'!H61/W$31</f>
        <v>26.958214767110981</v>
      </c>
      <c r="I70" s="90">
        <f>'Raw Data Totals'!I61/X$31</f>
        <v>15.02891087855849</v>
      </c>
      <c r="J70" s="90">
        <f>'Raw Data Totals'!J61/Y$31</f>
        <v>70.84766276512525</v>
      </c>
      <c r="K70" s="90">
        <f>'Raw Data Totals'!K61/Z$31</f>
        <v>7.6115977329148903</v>
      </c>
      <c r="L70" s="90">
        <f>'Raw Data Totals'!L61/AA$31</f>
        <v>14.356147302274834</v>
      </c>
      <c r="M70" s="90">
        <f t="shared" si="3"/>
        <v>47.044423762064717</v>
      </c>
      <c r="N70" s="34" t="s">
        <v>2</v>
      </c>
      <c r="O70" s="33" t="s">
        <v>8</v>
      </c>
    </row>
    <row r="71" spans="1:15" x14ac:dyDescent="0.35">
      <c r="A71" s="173"/>
      <c r="B71" s="172"/>
      <c r="C71" s="33" t="s">
        <v>30</v>
      </c>
      <c r="D71" s="90">
        <f>'Raw Data Totals'!D62/S$31</f>
        <v>3.1727846357252072</v>
      </c>
      <c r="E71" s="90">
        <f>'Raw Data Totals'!E62/T$31</f>
        <v>67.988668555240793</v>
      </c>
      <c r="F71" s="90">
        <f>'Raw Data Totals'!F62/U$31</f>
        <v>2.2610281648741739</v>
      </c>
      <c r="G71" s="90">
        <f>'Raw Data Totals'!G62/V$31</f>
        <v>2.7685283761574335</v>
      </c>
      <c r="H71" s="90">
        <f>'Raw Data Totals'!H62/W$31</f>
        <v>25.460536168938148</v>
      </c>
      <c r="I71" s="90">
        <f>'Raw Data Totals'!I62/X$31</f>
        <v>22.938863972536645</v>
      </c>
      <c r="J71" s="90">
        <f>'Raw Data Totals'!J62/Y$31</f>
        <v>11.80794379418754</v>
      </c>
      <c r="K71" s="90">
        <f>'Raw Data Totals'!K62/Z$31</f>
        <v>4.0985526254157101</v>
      </c>
      <c r="L71" s="90">
        <f>'Raw Data Totals'!L62/AA$31</f>
        <v>11.484917841819867</v>
      </c>
      <c r="M71" s="90">
        <f t="shared" si="3"/>
        <v>16.886869348321724</v>
      </c>
      <c r="N71" s="34" t="s">
        <v>2</v>
      </c>
      <c r="O71" s="33" t="s">
        <v>8</v>
      </c>
    </row>
    <row r="72" spans="1:15" x14ac:dyDescent="0.35">
      <c r="A72" s="173"/>
      <c r="B72" s="172"/>
      <c r="C72" s="33" t="s">
        <v>31</v>
      </c>
      <c r="D72" s="90">
        <f>'Raw Data Totals'!D63/S$31</f>
        <v>0.60847924520757402</v>
      </c>
      <c r="E72" s="90">
        <f>'Raw Data Totals'!E63/T$31</f>
        <v>33.994334277620396</v>
      </c>
      <c r="F72" s="90">
        <f>'Raw Data Totals'!F63/U$31</f>
        <v>0</v>
      </c>
      <c r="G72" s="90">
        <f>'Raw Data Totals'!G63/V$31</f>
        <v>0</v>
      </c>
      <c r="H72" s="90">
        <f>'Raw Data Totals'!H63/W$31</f>
        <v>2.9953571963456644</v>
      </c>
      <c r="I72" s="90">
        <f>'Raw Data Totals'!I63/X$31</f>
        <v>0.79099530939781526</v>
      </c>
      <c r="J72" s="90">
        <f>'Raw Data Totals'!J63/Y$31</f>
        <v>0</v>
      </c>
      <c r="K72" s="90">
        <f>'Raw Data Totals'!K63/Z$31</f>
        <v>0</v>
      </c>
      <c r="L72" s="90">
        <f>'Raw Data Totals'!L63/AA$31</f>
        <v>0</v>
      </c>
      <c r="M72" s="90">
        <f t="shared" si="3"/>
        <v>4.2654628920634945</v>
      </c>
      <c r="N72" s="34" t="s">
        <v>2</v>
      </c>
      <c r="O72" s="33" t="s">
        <v>8</v>
      </c>
    </row>
    <row r="73" spans="1:15" x14ac:dyDescent="0.35">
      <c r="A73" s="173"/>
      <c r="B73" s="172"/>
      <c r="C73" s="33" t="s">
        <v>32</v>
      </c>
      <c r="D73" s="90">
        <f>'Raw Data Totals'!D64/S$31</f>
        <v>72.539418589388646</v>
      </c>
      <c r="E73" s="90">
        <f>'Raw Data Totals'!E64/T$31</f>
        <v>2492.917847025496</v>
      </c>
      <c r="F73" s="90">
        <f>'Raw Data Totals'!F64/U$31</f>
        <v>97.224211089589474</v>
      </c>
      <c r="G73" s="90">
        <f>'Raw Data Totals'!G64/V$31</f>
        <v>50.336879566498794</v>
      </c>
      <c r="H73" s="90">
        <f>'Raw Data Totals'!H64/W$31</f>
        <v>287.55429084918376</v>
      </c>
      <c r="I73" s="90">
        <f>'Raw Data Totals'!I64/X$31</f>
        <v>351.99291268202779</v>
      </c>
      <c r="J73" s="90">
        <f>'Raw Data Totals'!J64/Y$31</f>
        <v>157.93124824725837</v>
      </c>
      <c r="K73" s="90">
        <f>'Raw Data Totals'!K64/Z$31</f>
        <v>54.452199166237293</v>
      </c>
      <c r="L73" s="90">
        <f>'Raw Data Totals'!L64/AA$31</f>
        <v>66.038277590464233</v>
      </c>
      <c r="M73" s="90">
        <f t="shared" ref="M73:M105" si="8">AVERAGE(D73:L73)</f>
        <v>403.44303164512718</v>
      </c>
      <c r="N73" s="34" t="s">
        <v>2</v>
      </c>
      <c r="O73" s="33" t="s">
        <v>8</v>
      </c>
    </row>
    <row r="74" spans="1:15" x14ac:dyDescent="0.35">
      <c r="A74" s="173"/>
      <c r="B74" s="172"/>
      <c r="C74" s="33" t="s">
        <v>33</v>
      </c>
      <c r="D74" s="90">
        <f>'Raw Data Totals'!D65/S$31</f>
        <v>18.949782207893019</v>
      </c>
      <c r="E74" s="90">
        <f>'Raw Data Totals'!E65/T$31</f>
        <v>543.90934844192634</v>
      </c>
      <c r="F74" s="90">
        <f>'Raw Data Totals'!F65/U$31</f>
        <v>29.01652811588523</v>
      </c>
      <c r="G74" s="90">
        <f>'Raw Data Totals'!G65/V$31</f>
        <v>22.148227009259468</v>
      </c>
      <c r="H74" s="90">
        <f>'Raw Data Totals'!H65/W$31</f>
        <v>70.390894114123114</v>
      </c>
      <c r="I74" s="90">
        <f>'Raw Data Totals'!I65/X$31</f>
        <v>115.48531517208103</v>
      </c>
      <c r="J74" s="90">
        <f>'Raw Data Totals'!J65/Y$31</f>
        <v>72.323655739398689</v>
      </c>
      <c r="K74" s="90">
        <f>'Raw Data Totals'!K65/Z$31</f>
        <v>21.078270644995079</v>
      </c>
      <c r="L74" s="90">
        <f>'Raw Data Totals'!L65/AA$31</f>
        <v>14.766322939482686</v>
      </c>
      <c r="M74" s="90">
        <f t="shared" si="8"/>
        <v>100.89648270944942</v>
      </c>
      <c r="N74" s="34" t="s">
        <v>2</v>
      </c>
      <c r="O74" s="33" t="s">
        <v>8</v>
      </c>
    </row>
    <row r="75" spans="1:15" x14ac:dyDescent="0.35">
      <c r="A75" s="173"/>
      <c r="B75" s="172"/>
      <c r="C75" s="33" t="s">
        <v>34</v>
      </c>
      <c r="D75" s="90">
        <f>'Raw Data Totals'!D66/S$31</f>
        <v>14.64696468821089</v>
      </c>
      <c r="E75" s="90">
        <f>'Raw Data Totals'!E66/T$31</f>
        <v>396.60056657223799</v>
      </c>
      <c r="F75" s="90">
        <f>'Raw Data Totals'!F66/U$31</f>
        <v>7.9135985770596085</v>
      </c>
      <c r="G75" s="90">
        <f>'Raw Data Totals'!G66/V$31</f>
        <v>28.440336955071817</v>
      </c>
      <c r="H75" s="90">
        <f>'Raw Data Totals'!H66/W$31</f>
        <v>28.455893365283814</v>
      </c>
      <c r="I75" s="90">
        <f>'Raw Data Totals'!I66/X$31</f>
        <v>28.47583113832135</v>
      </c>
      <c r="J75" s="90">
        <f>'Raw Data Totals'!J66/Y$31</f>
        <v>25.091880562648523</v>
      </c>
      <c r="K75" s="90">
        <f>'Raw Data Totals'!K66/Z$31</f>
        <v>18.150733055412431</v>
      </c>
      <c r="L75" s="90">
        <f>'Raw Data Totals'!L66/AA$31</f>
        <v>10.664566567404162</v>
      </c>
      <c r="M75" s="90">
        <f t="shared" si="8"/>
        <v>62.048930164627826</v>
      </c>
      <c r="N75" s="34" t="s">
        <v>2</v>
      </c>
      <c r="O75" s="33" t="s">
        <v>8</v>
      </c>
    </row>
    <row r="76" spans="1:15" ht="15" thickBot="1" x14ac:dyDescent="0.4">
      <c r="A76" s="55"/>
      <c r="B76" s="189"/>
      <c r="C76" s="75" t="s">
        <v>63</v>
      </c>
      <c r="D76" s="91" t="e">
        <f>'Raw Data Totals'!#REF!/S$31</f>
        <v>#REF!</v>
      </c>
      <c r="E76" s="91" t="e">
        <f>'Raw Data Totals'!#REF!/T$31</f>
        <v>#REF!</v>
      </c>
      <c r="F76" s="91" t="e">
        <f>'Raw Data Totals'!#REF!/U$31</f>
        <v>#REF!</v>
      </c>
      <c r="G76" s="91" t="e">
        <f>'Raw Data Totals'!#REF!/V$31</f>
        <v>#REF!</v>
      </c>
      <c r="H76" s="91" t="e">
        <f>'Raw Data Totals'!#REF!/W$31</f>
        <v>#REF!</v>
      </c>
      <c r="I76" s="91" t="e">
        <f>'Raw Data Totals'!#REF!/X$31</f>
        <v>#REF!</v>
      </c>
      <c r="J76" s="91" t="e">
        <f>'Raw Data Totals'!#REF!/Y$31</f>
        <v>#REF!</v>
      </c>
      <c r="K76" s="91" t="e">
        <f>'Raw Data Totals'!#REF!/Z$31</f>
        <v>#REF!</v>
      </c>
      <c r="L76" s="91" t="e">
        <f>'Raw Data Totals'!#REF!/AA$31</f>
        <v>#REF!</v>
      </c>
      <c r="M76" s="68">
        <f>AVERAGE(M69:M75)</f>
        <v>114.40530107493294</v>
      </c>
      <c r="N76" s="68" t="s">
        <v>6</v>
      </c>
      <c r="O76" s="67" t="s">
        <v>8</v>
      </c>
    </row>
    <row r="77" spans="1:15" x14ac:dyDescent="0.35">
      <c r="A77" s="174" t="s">
        <v>1</v>
      </c>
      <c r="B77" s="169" t="s">
        <v>7</v>
      </c>
      <c r="C77" s="45" t="s">
        <v>22</v>
      </c>
      <c r="D77" s="92">
        <f>'Raw Data Totals'!D67/S$31</f>
        <v>1.9558261453100594</v>
      </c>
      <c r="E77" s="92">
        <f>'Raw Data Totals'!E67/T$31</f>
        <v>0</v>
      </c>
      <c r="F77" s="92">
        <f>'Raw Data Totals'!F67/U$31</f>
        <v>3.014704219832232</v>
      </c>
      <c r="G77" s="92">
        <f>'Raw Data Totals'!G67/V$31</f>
        <v>0</v>
      </c>
      <c r="H77" s="92">
        <f>'Raw Data Totals'!H67/W$31</f>
        <v>0</v>
      </c>
      <c r="I77" s="92">
        <f>'Raw Data Totals'!I67/X$31</f>
        <v>4.745971856386892</v>
      </c>
      <c r="J77" s="92">
        <f>'Raw Data Totals'!J67/Y$31</f>
        <v>0</v>
      </c>
      <c r="K77" s="92">
        <f>'Raw Data Totals'!K67/Z$31</f>
        <v>0.58550751791653</v>
      </c>
      <c r="L77" s="92">
        <f>'Raw Data Totals'!L67/AA$31</f>
        <v>1.6407025488314095</v>
      </c>
      <c r="M77" s="92">
        <f t="shared" si="8"/>
        <v>1.3269680320307915</v>
      </c>
      <c r="N77" s="46" t="s">
        <v>1</v>
      </c>
      <c r="O77" s="45" t="s">
        <v>7</v>
      </c>
    </row>
    <row r="78" spans="1:15" x14ac:dyDescent="0.35">
      <c r="A78" s="174"/>
      <c r="B78" s="170"/>
      <c r="C78" s="45" t="s">
        <v>23</v>
      </c>
      <c r="D78" s="92">
        <f>'Raw Data Totals'!D68/S$31</f>
        <v>3.3031730454125445</v>
      </c>
      <c r="E78" s="92">
        <f>'Raw Data Totals'!E68/T$31</f>
        <v>0</v>
      </c>
      <c r="F78" s="92">
        <f>'Raw Data Totals'!F68/U$31</f>
        <v>11.30514082437087</v>
      </c>
      <c r="G78" s="92">
        <f>'Raw Data Totals'!G68/V$31</f>
        <v>0</v>
      </c>
      <c r="H78" s="92">
        <f>'Raw Data Totals'!H68/W$31</f>
        <v>0</v>
      </c>
      <c r="I78" s="92">
        <f>'Raw Data Totals'!I68/X$31</f>
        <v>5.5369671657847075</v>
      </c>
      <c r="J78" s="92">
        <f>'Raw Data Totals'!J68/Y$31</f>
        <v>0</v>
      </c>
      <c r="K78" s="92">
        <f>'Raw Data Totals'!K68/Z$31</f>
        <v>1.7565225537495901</v>
      </c>
      <c r="L78" s="92">
        <f>'Raw Data Totals'!L68/AA$31</f>
        <v>0.82035127441570477</v>
      </c>
      <c r="M78" s="92">
        <f t="shared" si="8"/>
        <v>2.5246838737481574</v>
      </c>
      <c r="N78" s="46" t="s">
        <v>1</v>
      </c>
      <c r="O78" s="45" t="s">
        <v>7</v>
      </c>
    </row>
    <row r="79" spans="1:15" x14ac:dyDescent="0.35">
      <c r="A79" s="174"/>
      <c r="B79" s="170"/>
      <c r="C79" s="45" t="s">
        <v>24</v>
      </c>
      <c r="D79" s="92">
        <f>'Raw Data Totals'!D69/S$31</f>
        <v>0.69540485166579891</v>
      </c>
      <c r="E79" s="92">
        <f>'Raw Data Totals'!E69/T$31</f>
        <v>0</v>
      </c>
      <c r="F79" s="92">
        <f>'Raw Data Totals'!F69/U$31</f>
        <v>0.376838027479029</v>
      </c>
      <c r="G79" s="92">
        <f>'Raw Data Totals'!G69/V$31</f>
        <v>0.25168439783249397</v>
      </c>
      <c r="H79" s="92">
        <f>'Raw Data Totals'!H69/W$31</f>
        <v>0</v>
      </c>
      <c r="I79" s="92">
        <f>'Raw Data Totals'!I69/X$31</f>
        <v>0.79099530939781526</v>
      </c>
      <c r="J79" s="92">
        <f>'Raw Data Totals'!J69/Y$31</f>
        <v>0</v>
      </c>
      <c r="K79" s="92">
        <f>'Raw Data Totals'!K69/Z$31</f>
        <v>1.17101503583306</v>
      </c>
      <c r="L79" s="92">
        <f>'Raw Data Totals'!L69/AA$31</f>
        <v>0.82035127441570477</v>
      </c>
      <c r="M79" s="92">
        <f t="shared" si="8"/>
        <v>0.45625432184710019</v>
      </c>
      <c r="N79" s="46" t="s">
        <v>1</v>
      </c>
      <c r="O79" s="45" t="s">
        <v>7</v>
      </c>
    </row>
    <row r="80" spans="1:15" x14ac:dyDescent="0.35">
      <c r="A80" s="174"/>
      <c r="B80" s="170"/>
      <c r="C80" s="45" t="s">
        <v>25</v>
      </c>
      <c r="D80" s="92">
        <f>'Raw Data Totals'!D70/S$31</f>
        <v>0.60847924520757402</v>
      </c>
      <c r="E80" s="92">
        <f>'Raw Data Totals'!E70/T$31</f>
        <v>22.6628895184136</v>
      </c>
      <c r="F80" s="92">
        <f>'Raw Data Totals'!F70/U$31</f>
        <v>1.130514082437087</v>
      </c>
      <c r="G80" s="92">
        <f>'Raw Data Totals'!G70/V$31</f>
        <v>0.7550531934974819</v>
      </c>
      <c r="H80" s="92">
        <f>'Raw Data Totals'!H70/W$31</f>
        <v>13.47910738355549</v>
      </c>
      <c r="I80" s="92">
        <f>'Raw Data Totals'!I70/X$31</f>
        <v>4.745971856386892</v>
      </c>
      <c r="J80" s="92">
        <f>'Raw Data Totals'!J70/Y$31</f>
        <v>1.4759929742734426</v>
      </c>
      <c r="K80" s="92">
        <f>'Raw Data Totals'!K70/Z$31</f>
        <v>0</v>
      </c>
      <c r="L80" s="92">
        <f>'Raw Data Totals'!L70/AA$31</f>
        <v>1.2305269116235571</v>
      </c>
      <c r="M80" s="92">
        <f t="shared" si="8"/>
        <v>5.1209483517105703</v>
      </c>
      <c r="N80" s="46" t="s">
        <v>1</v>
      </c>
      <c r="O80" s="45" t="s">
        <v>7</v>
      </c>
    </row>
    <row r="81" spans="1:15" ht="14.5" customHeight="1" x14ac:dyDescent="0.35">
      <c r="A81" s="174"/>
      <c r="B81" s="170"/>
      <c r="C81" s="45" t="s">
        <v>26</v>
      </c>
      <c r="D81" s="92">
        <f>'Raw Data Totals'!D71/S$31</f>
        <v>0.13038840968733728</v>
      </c>
      <c r="E81" s="92">
        <f>'Raw Data Totals'!E71/T$31</f>
        <v>0</v>
      </c>
      <c r="F81" s="92">
        <f>'Raw Data Totals'!F71/U$31</f>
        <v>0</v>
      </c>
      <c r="G81" s="92">
        <f>'Raw Data Totals'!G71/V$31</f>
        <v>0</v>
      </c>
      <c r="H81" s="92">
        <f>'Raw Data Totals'!H71/W$31</f>
        <v>0</v>
      </c>
      <c r="I81" s="92">
        <f>'Raw Data Totals'!I71/X$31</f>
        <v>0</v>
      </c>
      <c r="J81" s="92">
        <f>'Raw Data Totals'!J71/Y$31</f>
        <v>0</v>
      </c>
      <c r="K81" s="92">
        <f>'Raw Data Totals'!K71/Z$31</f>
        <v>0</v>
      </c>
      <c r="L81" s="92">
        <f>'Raw Data Totals'!L71/AA$31</f>
        <v>0.82035127441570477</v>
      </c>
      <c r="M81" s="92">
        <f t="shared" si="8"/>
        <v>0.10563774267811578</v>
      </c>
      <c r="N81" s="46" t="s">
        <v>1</v>
      </c>
      <c r="O81" s="45" t="s">
        <v>7</v>
      </c>
    </row>
    <row r="82" spans="1:15" x14ac:dyDescent="0.35">
      <c r="A82" s="174"/>
      <c r="B82" s="170"/>
      <c r="C82" s="45" t="s">
        <v>27</v>
      </c>
      <c r="D82" s="92">
        <f>'Raw Data Totals'!D72/S$31</f>
        <v>0.60847924520757402</v>
      </c>
      <c r="E82" s="92">
        <f>'Raw Data Totals'!E72/T$31</f>
        <v>11.3314447592068</v>
      </c>
      <c r="F82" s="92">
        <f>'Raw Data Totals'!F72/U$31</f>
        <v>0</v>
      </c>
      <c r="G82" s="92">
        <f>'Raw Data Totals'!G72/V$31</f>
        <v>0</v>
      </c>
      <c r="H82" s="92">
        <f>'Raw Data Totals'!H72/W$31</f>
        <v>0</v>
      </c>
      <c r="I82" s="92">
        <f>'Raw Data Totals'!I72/X$31</f>
        <v>0</v>
      </c>
      <c r="J82" s="92">
        <f>'Raw Data Totals'!J72/Y$31</f>
        <v>0</v>
      </c>
      <c r="K82" s="92">
        <f>'Raw Data Totals'!K72/Z$31</f>
        <v>0</v>
      </c>
      <c r="L82" s="92">
        <f>'Raw Data Totals'!L72/AA$31</f>
        <v>0</v>
      </c>
      <c r="M82" s="92">
        <f t="shared" si="8"/>
        <v>1.3266582227127082</v>
      </c>
      <c r="N82" s="46" t="s">
        <v>1</v>
      </c>
      <c r="O82" s="45" t="s">
        <v>7</v>
      </c>
    </row>
    <row r="83" spans="1:15" ht="15" thickBot="1" x14ac:dyDescent="0.4">
      <c r="A83" s="174"/>
      <c r="B83" s="190"/>
      <c r="C83" s="69" t="s">
        <v>63</v>
      </c>
      <c r="D83" s="93" t="e">
        <f>'Raw Data Totals'!#REF!/S$31</f>
        <v>#REF!</v>
      </c>
      <c r="E83" s="93" t="e">
        <f>'Raw Data Totals'!#REF!/T$31</f>
        <v>#REF!</v>
      </c>
      <c r="F83" s="93" t="e">
        <f>'Raw Data Totals'!#REF!/U$31</f>
        <v>#REF!</v>
      </c>
      <c r="G83" s="93" t="e">
        <f>'Raw Data Totals'!#REF!/V$31</f>
        <v>#REF!</v>
      </c>
      <c r="H83" s="93" t="e">
        <f>'Raw Data Totals'!#REF!/W$31</f>
        <v>#REF!</v>
      </c>
      <c r="I83" s="93" t="e">
        <f>'Raw Data Totals'!#REF!/X$31</f>
        <v>#REF!</v>
      </c>
      <c r="J83" s="93" t="e">
        <f>'Raw Data Totals'!#REF!/Y$31</f>
        <v>#REF!</v>
      </c>
      <c r="K83" s="93" t="e">
        <f>'Raw Data Totals'!#REF!/Z$31</f>
        <v>#REF!</v>
      </c>
      <c r="L83" s="93" t="e">
        <f>'Raw Data Totals'!#REF!/AA$31</f>
        <v>#REF!</v>
      </c>
      <c r="M83" s="70">
        <f>AVERAGE(M77:M82)</f>
        <v>1.8101917574545741</v>
      </c>
      <c r="N83" s="70" t="s">
        <v>6</v>
      </c>
      <c r="O83" s="69" t="s">
        <v>7</v>
      </c>
    </row>
    <row r="84" spans="1:15" x14ac:dyDescent="0.35">
      <c r="A84" s="174"/>
      <c r="B84" s="169" t="s">
        <v>8</v>
      </c>
      <c r="C84" s="45" t="s">
        <v>28</v>
      </c>
      <c r="D84" s="92">
        <f>'Raw Data Totals'!D73/S$31</f>
        <v>26.990400805278821</v>
      </c>
      <c r="E84" s="92">
        <f>'Raw Data Totals'!E73/T$31</f>
        <v>1212.4645892351275</v>
      </c>
      <c r="F84" s="92">
        <f>'Raw Data Totals'!F73/U$31</f>
        <v>29.770204170843289</v>
      </c>
      <c r="G84" s="92">
        <f>'Raw Data Totals'!G73/V$31</f>
        <v>33.222340513889201</v>
      </c>
      <c r="H84" s="92">
        <f>'Raw Data Totals'!H73/W$31</f>
        <v>217.16339673506067</v>
      </c>
      <c r="I84" s="92">
        <f>'Raw Data Totals'!I73/X$31</f>
        <v>64.070620061223039</v>
      </c>
      <c r="J84" s="92">
        <f>'Raw Data Totals'!J73/Y$31</f>
        <v>92.987557379226885</v>
      </c>
      <c r="K84" s="92">
        <f>'Raw Data Totals'!K73/Z$31</f>
        <v>14.63768794791325</v>
      </c>
      <c r="L84" s="92">
        <f>'Raw Data Totals'!L73/AA$31</f>
        <v>72.190912148582015</v>
      </c>
      <c r="M84" s="92">
        <f t="shared" si="8"/>
        <v>195.9441898885716</v>
      </c>
      <c r="N84" s="46" t="s">
        <v>1</v>
      </c>
      <c r="O84" s="45" t="s">
        <v>8</v>
      </c>
    </row>
    <row r="85" spans="1:15" x14ac:dyDescent="0.35">
      <c r="A85" s="174"/>
      <c r="B85" s="170"/>
      <c r="C85" s="45" t="s">
        <v>29</v>
      </c>
      <c r="D85" s="92">
        <f>'Raw Data Totals'!D74/S$31</f>
        <v>8.9968002684262736</v>
      </c>
      <c r="E85" s="92">
        <f>'Raw Data Totals'!E74/T$31</f>
        <v>453.25779036827197</v>
      </c>
      <c r="F85" s="92">
        <f>'Raw Data Totals'!F74/U$31</f>
        <v>7.9135985770596085</v>
      </c>
      <c r="G85" s="92">
        <f>'Raw Data Totals'!G74/V$31</f>
        <v>9.0606383219697832</v>
      </c>
      <c r="H85" s="92">
        <f>'Raw Data Totals'!H74/W$31</f>
        <v>41.9350007488393</v>
      </c>
      <c r="I85" s="92">
        <f>'Raw Data Totals'!I74/X$31</f>
        <v>19.774882734945383</v>
      </c>
      <c r="J85" s="92">
        <f>'Raw Data Totals'!J74/Y$31</f>
        <v>44.279789228203278</v>
      </c>
      <c r="K85" s="92">
        <f>'Raw Data Totals'!K74/Z$31</f>
        <v>4.68406014333224</v>
      </c>
      <c r="L85" s="92">
        <f>'Raw Data Totals'!L74/AA$31</f>
        <v>11.484917841819867</v>
      </c>
      <c r="M85" s="92">
        <f t="shared" si="8"/>
        <v>66.820830914763093</v>
      </c>
      <c r="N85" s="46" t="s">
        <v>1</v>
      </c>
      <c r="O85" s="45" t="s">
        <v>8</v>
      </c>
    </row>
    <row r="86" spans="1:15" x14ac:dyDescent="0.35">
      <c r="A86" s="174"/>
      <c r="B86" s="170"/>
      <c r="C86" s="45" t="s">
        <v>30</v>
      </c>
      <c r="D86" s="92">
        <f>'Raw Data Totals'!D75/S$31</f>
        <v>2.2166029646847338</v>
      </c>
      <c r="E86" s="92">
        <f>'Raw Data Totals'!E75/T$31</f>
        <v>226.62889518413598</v>
      </c>
      <c r="F86" s="92">
        <f>'Raw Data Totals'!F75/U$31</f>
        <v>13.943007016724072</v>
      </c>
      <c r="G86" s="92">
        <f>'Raw Data Totals'!G75/V$31</f>
        <v>9.0606383219697832</v>
      </c>
      <c r="H86" s="92">
        <f>'Raw Data Totals'!H75/W$31</f>
        <v>17.972143178073985</v>
      </c>
      <c r="I86" s="92">
        <f>'Raw Data Totals'!I75/X$31</f>
        <v>39.549765469890765</v>
      </c>
      <c r="J86" s="92">
        <f>'Raw Data Totals'!J75/Y$31</f>
        <v>29.519859485468853</v>
      </c>
      <c r="K86" s="92">
        <f>'Raw Data Totals'!K75/Z$31</f>
        <v>8.7826127687479509</v>
      </c>
      <c r="L86" s="92">
        <f>'Raw Data Totals'!L75/AA$31</f>
        <v>9.8442152929884568</v>
      </c>
      <c r="M86" s="92">
        <f t="shared" si="8"/>
        <v>39.724193298076059</v>
      </c>
      <c r="N86" s="46" t="s">
        <v>1</v>
      </c>
      <c r="O86" s="45" t="s">
        <v>8</v>
      </c>
    </row>
    <row r="87" spans="1:15" x14ac:dyDescent="0.35">
      <c r="A87" s="174"/>
      <c r="B87" s="170"/>
      <c r="C87" s="45" t="s">
        <v>31</v>
      </c>
      <c r="D87" s="92">
        <f>'Raw Data Totals'!D76/S$31</f>
        <v>1.6081237194771598</v>
      </c>
      <c r="E87" s="92">
        <f>'Raw Data Totals'!E76/T$31</f>
        <v>11.3314447592068</v>
      </c>
      <c r="F87" s="92">
        <f>'Raw Data Totals'!F76/U$31</f>
        <v>0</v>
      </c>
      <c r="G87" s="92">
        <f>'Raw Data Totals'!G76/V$31</f>
        <v>0</v>
      </c>
      <c r="H87" s="92">
        <f>'Raw Data Totals'!H76/W$31</f>
        <v>0</v>
      </c>
      <c r="I87" s="92">
        <f>'Raw Data Totals'!I76/X$31</f>
        <v>0.79099530939781526</v>
      </c>
      <c r="J87" s="92">
        <f>'Raw Data Totals'!J76/Y$31</f>
        <v>1.4759929742734426</v>
      </c>
      <c r="K87" s="92">
        <f>'Raw Data Totals'!K76/Z$31</f>
        <v>0.58550751791653</v>
      </c>
      <c r="L87" s="92">
        <f>'Raw Data Totals'!L76/AA$31</f>
        <v>8.6136883813649003</v>
      </c>
      <c r="M87" s="92">
        <f t="shared" si="8"/>
        <v>2.7117502957374051</v>
      </c>
      <c r="N87" s="46" t="s">
        <v>1</v>
      </c>
      <c r="O87" s="45" t="s">
        <v>8</v>
      </c>
    </row>
    <row r="88" spans="1:15" x14ac:dyDescent="0.35">
      <c r="A88" s="174"/>
      <c r="B88" s="170"/>
      <c r="C88" s="45" t="s">
        <v>32</v>
      </c>
      <c r="D88" s="92">
        <f>'Raw Data Totals'!D77/S$31</f>
        <v>55.284685707431009</v>
      </c>
      <c r="E88" s="92">
        <f>'Raw Data Totals'!E77/T$31</f>
        <v>3082.1529745042494</v>
      </c>
      <c r="F88" s="92">
        <f>'Raw Data Totals'!F77/U$31</f>
        <v>63.685626643955899</v>
      </c>
      <c r="G88" s="92">
        <f>'Raw Data Totals'!G77/V$31</f>
        <v>76.512056941078171</v>
      </c>
      <c r="H88" s="92">
        <f>'Raw Data Totals'!H77/W$31</f>
        <v>446.30822225550401</v>
      </c>
      <c r="I88" s="92">
        <f>'Raw Data Totals'!I77/X$31</f>
        <v>132.88721197883297</v>
      </c>
      <c r="J88" s="92">
        <f>'Raw Data Totals'!J77/Y$31</f>
        <v>264.2027423949462</v>
      </c>
      <c r="K88" s="92">
        <f>'Raw Data Totals'!K77/Z$31</f>
        <v>43.327556325823224</v>
      </c>
      <c r="L88" s="92">
        <f>'Raw Data Totals'!L77/AA$31</f>
        <v>125.51374498560283</v>
      </c>
      <c r="M88" s="92">
        <f t="shared" si="8"/>
        <v>476.65275797082478</v>
      </c>
      <c r="N88" s="46" t="s">
        <v>1</v>
      </c>
      <c r="O88" s="45" t="s">
        <v>8</v>
      </c>
    </row>
    <row r="89" spans="1:15" x14ac:dyDescent="0.35">
      <c r="A89" s="174"/>
      <c r="B89" s="170"/>
      <c r="C89" s="45" t="s">
        <v>33</v>
      </c>
      <c r="D89" s="92">
        <f>'Raw Data Totals'!D78/S$31</f>
        <v>19.297484633725919</v>
      </c>
      <c r="E89" s="92">
        <f>'Raw Data Totals'!E78/T$31</f>
        <v>963.17280453257797</v>
      </c>
      <c r="F89" s="92">
        <f>'Raw Data Totals'!F78/U$31</f>
        <v>52.757323847064058</v>
      </c>
      <c r="G89" s="92">
        <f>'Raw Data Totals'!G78/V$31</f>
        <v>29.698758944234289</v>
      </c>
      <c r="H89" s="92">
        <f>'Raw Data Totals'!H78/W$31</f>
        <v>299.53571963456642</v>
      </c>
      <c r="I89" s="92">
        <f>'Raw Data Totals'!I78/X$31</f>
        <v>63.279624751825224</v>
      </c>
      <c r="J89" s="92">
        <f>'Raw Data Totals'!J78/Y$31</f>
        <v>185.97511475845377</v>
      </c>
      <c r="K89" s="92">
        <f>'Raw Data Totals'!K78/Z$31</f>
        <v>79.043514918731546</v>
      </c>
      <c r="L89" s="92">
        <f>'Raw Data Totals'!L78/AA$31</f>
        <v>38.146334260330271</v>
      </c>
      <c r="M89" s="92">
        <f t="shared" si="8"/>
        <v>192.3229644757233</v>
      </c>
      <c r="N89" s="46" t="s">
        <v>1</v>
      </c>
      <c r="O89" s="45" t="s">
        <v>8</v>
      </c>
    </row>
    <row r="90" spans="1:15" x14ac:dyDescent="0.35">
      <c r="A90" s="174"/>
      <c r="B90" s="170"/>
      <c r="C90" s="45" t="s">
        <v>34</v>
      </c>
      <c r="D90" s="92">
        <f>'Raw Data Totals'!D79/S$31</f>
        <v>7.9102301876984624</v>
      </c>
      <c r="E90" s="92">
        <f>'Raw Data Totals'!E79/T$31</f>
        <v>271.95467422096317</v>
      </c>
      <c r="F90" s="92">
        <f>'Raw Data Totals'!F79/U$31</f>
        <v>10.174626741933782</v>
      </c>
      <c r="G90" s="92">
        <f>'Raw Data Totals'!G79/V$31</f>
        <v>13.590957482954675</v>
      </c>
      <c r="H90" s="92">
        <f>'Raw Data Totals'!H79/W$31</f>
        <v>38.939643552493635</v>
      </c>
      <c r="I90" s="92">
        <f>'Raw Data Totals'!I79/X$31</f>
        <v>18.192892116149753</v>
      </c>
      <c r="J90" s="92">
        <f>'Raw Data Totals'!J79/Y$31</f>
        <v>51.659754099570492</v>
      </c>
      <c r="K90" s="92">
        <f>'Raw Data Totals'!K79/Z$31</f>
        <v>10.53913532249754</v>
      </c>
      <c r="L90" s="92">
        <f>'Raw Data Totals'!L79/AA$31</f>
        <v>5.3322832837020808</v>
      </c>
      <c r="M90" s="92">
        <f t="shared" si="8"/>
        <v>47.588244111995948</v>
      </c>
      <c r="N90" s="46" t="s">
        <v>1</v>
      </c>
      <c r="O90" s="45" t="s">
        <v>8</v>
      </c>
    </row>
    <row r="91" spans="1:15" ht="15" thickBot="1" x14ac:dyDescent="0.4">
      <c r="A91" s="57"/>
      <c r="B91" s="190"/>
      <c r="C91" s="74" t="s">
        <v>63</v>
      </c>
      <c r="D91" s="93" t="e">
        <f>'Raw Data Totals'!#REF!/S$31</f>
        <v>#REF!</v>
      </c>
      <c r="E91" s="93" t="e">
        <f>'Raw Data Totals'!#REF!/T$31</f>
        <v>#REF!</v>
      </c>
      <c r="F91" s="93" t="e">
        <f>'Raw Data Totals'!#REF!/U$31</f>
        <v>#REF!</v>
      </c>
      <c r="G91" s="93" t="e">
        <f>'Raw Data Totals'!#REF!/V$31</f>
        <v>#REF!</v>
      </c>
      <c r="H91" s="93" t="e">
        <f>'Raw Data Totals'!#REF!/W$31</f>
        <v>#REF!</v>
      </c>
      <c r="I91" s="93" t="e">
        <f>'Raw Data Totals'!#REF!/X$31</f>
        <v>#REF!</v>
      </c>
      <c r="J91" s="93" t="e">
        <f>'Raw Data Totals'!#REF!/Y$31</f>
        <v>#REF!</v>
      </c>
      <c r="K91" s="93" t="e">
        <f>'Raw Data Totals'!#REF!/Z$31</f>
        <v>#REF!</v>
      </c>
      <c r="L91" s="93" t="e">
        <f>'Raw Data Totals'!#REF!/AA$31</f>
        <v>#REF!</v>
      </c>
      <c r="M91" s="70">
        <f>AVERAGE(M84:M90)</f>
        <v>145.96641870795605</v>
      </c>
      <c r="N91" s="70" t="s">
        <v>6</v>
      </c>
      <c r="O91" s="69" t="s">
        <v>8</v>
      </c>
    </row>
    <row r="92" spans="1:15" x14ac:dyDescent="0.35">
      <c r="A92" s="166" t="s">
        <v>0</v>
      </c>
      <c r="B92" s="167" t="s">
        <v>7</v>
      </c>
      <c r="C92" s="39" t="s">
        <v>22</v>
      </c>
      <c r="D92" s="94">
        <f>'Raw Data Totals'!D80/S$31</f>
        <v>3.4335614550998819</v>
      </c>
      <c r="E92" s="94">
        <f>'Raw Data Totals'!E80/T$31</f>
        <v>0</v>
      </c>
      <c r="F92" s="94">
        <f>'Raw Data Totals'!F80/U$31</f>
        <v>1.130514082437087</v>
      </c>
      <c r="G92" s="94">
        <f>'Raw Data Totals'!G80/V$31</f>
        <v>0.25168439783249397</v>
      </c>
      <c r="H92" s="94">
        <f>'Raw Data Totals'!H80/W$31</f>
        <v>2.9953571963456644</v>
      </c>
      <c r="I92" s="94">
        <f>'Raw Data Totals'!I80/X$31</f>
        <v>3.9549765469890765</v>
      </c>
      <c r="J92" s="94">
        <f>'Raw Data Totals'!J80/Y$31</f>
        <v>0</v>
      </c>
      <c r="K92" s="94">
        <f>'Raw Data Totals'!K80/Z$31</f>
        <v>0.58550751791653</v>
      </c>
      <c r="L92" s="94">
        <f>'Raw Data Totals'!L80/AA$31</f>
        <v>2.8712294604549666</v>
      </c>
      <c r="M92" s="94">
        <f t="shared" si="8"/>
        <v>1.6914256285639668</v>
      </c>
      <c r="N92" s="40" t="s">
        <v>0</v>
      </c>
      <c r="O92" s="39" t="s">
        <v>7</v>
      </c>
    </row>
    <row r="93" spans="1:15" x14ac:dyDescent="0.35">
      <c r="A93" s="166"/>
      <c r="B93" s="168"/>
      <c r="C93" s="39" t="s">
        <v>23</v>
      </c>
      <c r="D93" s="94">
        <f>'Raw Data Totals'!D81/S$31</f>
        <v>3.346635848641657</v>
      </c>
      <c r="E93" s="94">
        <f>'Raw Data Totals'!E81/T$31</f>
        <v>0</v>
      </c>
      <c r="F93" s="94">
        <f>'Raw Data Totals'!F81/U$31</f>
        <v>0.376838027479029</v>
      </c>
      <c r="G93" s="94">
        <f>'Raw Data Totals'!G81/V$31</f>
        <v>0.7550531934974819</v>
      </c>
      <c r="H93" s="94">
        <f>'Raw Data Totals'!H81/W$31</f>
        <v>0</v>
      </c>
      <c r="I93" s="94">
        <f>'Raw Data Totals'!I81/X$31</f>
        <v>0.79099530939781526</v>
      </c>
      <c r="J93" s="94">
        <f>'Raw Data Totals'!J81/Y$31</f>
        <v>0</v>
      </c>
      <c r="K93" s="94">
        <f>'Raw Data Totals'!K81/Z$31</f>
        <v>0.58550751791653</v>
      </c>
      <c r="L93" s="94">
        <f>'Raw Data Totals'!L81/AA$31</f>
        <v>0</v>
      </c>
      <c r="M93" s="94">
        <f t="shared" si="8"/>
        <v>0.65055887743694596</v>
      </c>
      <c r="N93" s="40" t="s">
        <v>0</v>
      </c>
      <c r="O93" s="39" t="s">
        <v>7</v>
      </c>
    </row>
    <row r="94" spans="1:15" x14ac:dyDescent="0.35">
      <c r="A94" s="166"/>
      <c r="B94" s="168"/>
      <c r="C94" s="39" t="s">
        <v>24</v>
      </c>
      <c r="D94" s="94">
        <f>'Raw Data Totals'!D82/S$31</f>
        <v>1.1300328839569231</v>
      </c>
      <c r="E94" s="94">
        <f>'Raw Data Totals'!E82/T$31</f>
        <v>0</v>
      </c>
      <c r="F94" s="94">
        <f>'Raw Data Totals'!F82/U$31</f>
        <v>0.376838027479029</v>
      </c>
      <c r="G94" s="94">
        <f>'Raw Data Totals'!G82/V$31</f>
        <v>0.50336879566498793</v>
      </c>
      <c r="H94" s="94">
        <f>'Raw Data Totals'!H82/W$31</f>
        <v>0</v>
      </c>
      <c r="I94" s="94">
        <f>'Raw Data Totals'!I82/X$31</f>
        <v>1.5819906187956305</v>
      </c>
      <c r="J94" s="94">
        <f>'Raw Data Totals'!J82/Y$31</f>
        <v>0</v>
      </c>
      <c r="K94" s="94">
        <f>'Raw Data Totals'!K82/Z$31</f>
        <v>0.58550751791653</v>
      </c>
      <c r="L94" s="94">
        <f>'Raw Data Totals'!L82/AA$31</f>
        <v>0</v>
      </c>
      <c r="M94" s="94">
        <f t="shared" si="8"/>
        <v>0.46419309375701118</v>
      </c>
      <c r="N94" s="40" t="s">
        <v>0</v>
      </c>
      <c r="O94" s="39" t="s">
        <v>7</v>
      </c>
    </row>
    <row r="95" spans="1:15" x14ac:dyDescent="0.35">
      <c r="A95" s="166"/>
      <c r="B95" s="168"/>
      <c r="C95" s="39" t="s">
        <v>25</v>
      </c>
      <c r="D95" s="94">
        <f>'Raw Data Totals'!D83/S$31</f>
        <v>0.65194204843668646</v>
      </c>
      <c r="E95" s="94">
        <f>'Raw Data Totals'!E83/T$31</f>
        <v>45.3257790368272</v>
      </c>
      <c r="F95" s="94">
        <f>'Raw Data Totals'!F83/U$31</f>
        <v>1.130514082437087</v>
      </c>
      <c r="G95" s="94">
        <f>'Raw Data Totals'!G83/V$31</f>
        <v>1.2584219891624697</v>
      </c>
      <c r="H95" s="94">
        <f>'Raw Data Totals'!H83/W$31</f>
        <v>13.47910738355549</v>
      </c>
      <c r="I95" s="94">
        <f>'Raw Data Totals'!I83/X$31</f>
        <v>7.1189577845803376</v>
      </c>
      <c r="J95" s="94">
        <f>'Raw Data Totals'!J83/Y$31</f>
        <v>0</v>
      </c>
      <c r="K95" s="94">
        <f>'Raw Data Totals'!K83/Z$31</f>
        <v>0.58550751791653</v>
      </c>
      <c r="L95" s="94">
        <f>'Raw Data Totals'!L83/AA$31</f>
        <v>2.0508781860392622</v>
      </c>
      <c r="M95" s="94">
        <f t="shared" si="8"/>
        <v>7.9556786698838948</v>
      </c>
      <c r="N95" s="40" t="s">
        <v>0</v>
      </c>
      <c r="O95" s="39" t="s">
        <v>7</v>
      </c>
    </row>
    <row r="96" spans="1:15" x14ac:dyDescent="0.35">
      <c r="A96" s="166"/>
      <c r="B96" s="168"/>
      <c r="C96" s="39" t="s">
        <v>26</v>
      </c>
      <c r="D96" s="94">
        <f>'Raw Data Totals'!D84/S$31</f>
        <v>0.17385121291644973</v>
      </c>
      <c r="E96" s="94">
        <f>'Raw Data Totals'!E84/T$31</f>
        <v>0</v>
      </c>
      <c r="F96" s="94">
        <f>'Raw Data Totals'!F84/U$31</f>
        <v>0.376838027479029</v>
      </c>
      <c r="G96" s="94">
        <f>'Raw Data Totals'!G84/V$31</f>
        <v>0.25168439783249397</v>
      </c>
      <c r="H96" s="94">
        <f>'Raw Data Totals'!H84/W$31</f>
        <v>0</v>
      </c>
      <c r="I96" s="94">
        <f>'Raw Data Totals'!I84/X$31</f>
        <v>0</v>
      </c>
      <c r="J96" s="94">
        <f>'Raw Data Totals'!J84/Y$31</f>
        <v>0</v>
      </c>
      <c r="K96" s="94">
        <f>'Raw Data Totals'!K84/Z$31</f>
        <v>0</v>
      </c>
      <c r="L96" s="94">
        <f>'Raw Data Totals'!L84/AA$31</f>
        <v>0</v>
      </c>
      <c r="M96" s="94">
        <f t="shared" si="8"/>
        <v>8.9152626469774746E-2</v>
      </c>
      <c r="N96" s="40" t="s">
        <v>0</v>
      </c>
      <c r="O96" s="39" t="s">
        <v>7</v>
      </c>
    </row>
    <row r="97" spans="1:15" x14ac:dyDescent="0.35">
      <c r="A97" s="166"/>
      <c r="B97" s="168"/>
      <c r="C97" s="39" t="s">
        <v>27</v>
      </c>
      <c r="D97" s="94">
        <f>'Raw Data Totals'!D85/S$31</f>
        <v>0.52155363874934912</v>
      </c>
      <c r="E97" s="94">
        <f>'Raw Data Totals'!E85/T$31</f>
        <v>0</v>
      </c>
      <c r="F97" s="94">
        <f>'Raw Data Totals'!F85/U$31</f>
        <v>0.75367605495805801</v>
      </c>
      <c r="G97" s="94">
        <f>'Raw Data Totals'!G85/V$31</f>
        <v>0</v>
      </c>
      <c r="H97" s="94">
        <f>'Raw Data Totals'!H85/W$31</f>
        <v>0</v>
      </c>
      <c r="I97" s="94">
        <f>'Raw Data Totals'!I85/X$31</f>
        <v>0</v>
      </c>
      <c r="J97" s="94">
        <f>'Raw Data Totals'!J85/Y$31</f>
        <v>0</v>
      </c>
      <c r="K97" s="94">
        <f>'Raw Data Totals'!K85/Z$31</f>
        <v>0</v>
      </c>
      <c r="L97" s="94">
        <f>'Raw Data Totals'!L85/AA$31</f>
        <v>0</v>
      </c>
      <c r="M97" s="94">
        <f t="shared" si="8"/>
        <v>0.14169218818971188</v>
      </c>
      <c r="N97" s="40" t="s">
        <v>0</v>
      </c>
      <c r="O97" s="39" t="s">
        <v>7</v>
      </c>
    </row>
    <row r="98" spans="1:15" ht="15" thickBot="1" x14ac:dyDescent="0.4">
      <c r="A98" s="166"/>
      <c r="B98" s="191"/>
      <c r="C98" s="71" t="s">
        <v>63</v>
      </c>
      <c r="D98" s="95" t="e">
        <f>'Raw Data Totals'!#REF!/S$31</f>
        <v>#REF!</v>
      </c>
      <c r="E98" s="95" t="e">
        <f>'Raw Data Totals'!#REF!/T$31</f>
        <v>#REF!</v>
      </c>
      <c r="F98" s="95" t="e">
        <f>'Raw Data Totals'!#REF!/U$31</f>
        <v>#REF!</v>
      </c>
      <c r="G98" s="95" t="e">
        <f>'Raw Data Totals'!#REF!/V$31</f>
        <v>#REF!</v>
      </c>
      <c r="H98" s="95" t="e">
        <f>'Raw Data Totals'!#REF!/W$31</f>
        <v>#REF!</v>
      </c>
      <c r="I98" s="95" t="e">
        <f>'Raw Data Totals'!#REF!/X$31</f>
        <v>#REF!</v>
      </c>
      <c r="J98" s="95" t="e">
        <f>'Raw Data Totals'!#REF!/Y$31</f>
        <v>#REF!</v>
      </c>
      <c r="K98" s="95" t="e">
        <f>'Raw Data Totals'!#REF!/Z$31</f>
        <v>#REF!</v>
      </c>
      <c r="L98" s="95" t="e">
        <f>'Raw Data Totals'!#REF!/AA$31</f>
        <v>#REF!</v>
      </c>
      <c r="M98" s="95">
        <f>AVERAGE(M92:M97)</f>
        <v>1.8321168473835507</v>
      </c>
      <c r="N98" s="72" t="s">
        <v>6</v>
      </c>
      <c r="O98" s="71" t="s">
        <v>7</v>
      </c>
    </row>
    <row r="99" spans="1:15" x14ac:dyDescent="0.35">
      <c r="A99" s="166"/>
      <c r="B99" s="167" t="s">
        <v>8</v>
      </c>
      <c r="C99" s="39" t="s">
        <v>28</v>
      </c>
      <c r="D99" s="94">
        <f>'Raw Data Totals'!D86/S$31</f>
        <v>23.122211317887814</v>
      </c>
      <c r="E99" s="94">
        <f>'Raw Data Totals'!E86/T$31</f>
        <v>1393.7677053824364</v>
      </c>
      <c r="F99" s="94">
        <f>'Raw Data Totals'!F86/U$31</f>
        <v>24.117633758657856</v>
      </c>
      <c r="G99" s="94">
        <f>'Raw Data Totals'!G86/V$31</f>
        <v>27.685283761574336</v>
      </c>
      <c r="H99" s="94">
        <f>'Raw Data Totals'!H86/W$31</f>
        <v>88.363037292197106</v>
      </c>
      <c r="I99" s="94">
        <f>'Raw Data Totals'!I86/X$31</f>
        <v>49.041709182664547</v>
      </c>
      <c r="J99" s="94">
        <f>'Raw Data Totals'!J86/Y$31</f>
        <v>75.275641687945566</v>
      </c>
      <c r="K99" s="94">
        <f>'Raw Data Totals'!K86/Z$31</f>
        <v>15.223195465829781</v>
      </c>
      <c r="L99" s="94">
        <f>'Raw Data Totals'!L86/AA$31</f>
        <v>58.655116120722894</v>
      </c>
      <c r="M99" s="94">
        <f t="shared" si="8"/>
        <v>195.02794821887957</v>
      </c>
      <c r="N99" s="40" t="s">
        <v>0</v>
      </c>
      <c r="O99" s="39" t="s">
        <v>8</v>
      </c>
    </row>
    <row r="100" spans="1:15" x14ac:dyDescent="0.35">
      <c r="A100" s="166"/>
      <c r="B100" s="168"/>
      <c r="C100" s="39" t="s">
        <v>29</v>
      </c>
      <c r="D100" s="94">
        <f>'Raw Data Totals'!D87/S$31</f>
        <v>8.7794862522807104</v>
      </c>
      <c r="E100" s="94">
        <f>'Raw Data Totals'!E87/T$31</f>
        <v>181.3031161473088</v>
      </c>
      <c r="F100" s="94">
        <f>'Raw Data Totals'!F87/U$31</f>
        <v>12.058816879328928</v>
      </c>
      <c r="G100" s="94">
        <f>'Raw Data Totals'!G87/V$31</f>
        <v>5.7887411501473611</v>
      </c>
      <c r="H100" s="94">
        <f>'Raw Data Totals'!H87/W$31</f>
        <v>28.455893365283814</v>
      </c>
      <c r="I100" s="94">
        <f>'Raw Data Totals'!I87/X$31</f>
        <v>20.565878044343197</v>
      </c>
      <c r="J100" s="94">
        <f>'Raw Data Totals'!J87/Y$31</f>
        <v>29.519859485468853</v>
      </c>
      <c r="K100" s="94">
        <f>'Raw Data Totals'!K87/Z$31</f>
        <v>4.0985526254157101</v>
      </c>
      <c r="L100" s="94">
        <f>'Raw Data Totals'!L87/AA$31</f>
        <v>14.356147302274834</v>
      </c>
      <c r="M100" s="94">
        <f t="shared" si="8"/>
        <v>33.880721250205802</v>
      </c>
      <c r="N100" s="40" t="s">
        <v>0</v>
      </c>
      <c r="O100" s="39" t="s">
        <v>8</v>
      </c>
    </row>
    <row r="101" spans="1:15" x14ac:dyDescent="0.35">
      <c r="A101" s="166"/>
      <c r="B101" s="168"/>
      <c r="C101" s="39" t="s">
        <v>30</v>
      </c>
      <c r="D101" s="94">
        <f>'Raw Data Totals'!D88/S$31</f>
        <v>5.0851479778061544</v>
      </c>
      <c r="E101" s="94">
        <f>'Raw Data Totals'!E88/T$31</f>
        <v>147.3087818696884</v>
      </c>
      <c r="F101" s="94">
        <f>'Raw Data Totals'!F88/U$31</f>
        <v>5.2757323847064059</v>
      </c>
      <c r="G101" s="94">
        <f>'Raw Data Totals'!G88/V$31</f>
        <v>3.5235815696549153</v>
      </c>
      <c r="H101" s="94">
        <f>'Raw Data Totals'!H88/W$31</f>
        <v>35.94428635614797</v>
      </c>
      <c r="I101" s="94">
        <f>'Raw Data Totals'!I88/X$31</f>
        <v>15.819906187956306</v>
      </c>
      <c r="J101" s="94">
        <f>'Raw Data Totals'!J88/Y$31</f>
        <v>7.3799648713672132</v>
      </c>
      <c r="K101" s="94">
        <f>'Raw Data Totals'!K88/Z$31</f>
        <v>56.794229237903409</v>
      </c>
      <c r="L101" s="94">
        <f>'Raw Data Totals'!L88/AA$31</f>
        <v>4.9221076464942284</v>
      </c>
      <c r="M101" s="94">
        <f t="shared" si="8"/>
        <v>31.339304233524995</v>
      </c>
      <c r="N101" s="40" t="s">
        <v>0</v>
      </c>
      <c r="O101" s="39" t="s">
        <v>8</v>
      </c>
    </row>
    <row r="102" spans="1:15" x14ac:dyDescent="0.35">
      <c r="A102" s="166"/>
      <c r="B102" s="168"/>
      <c r="C102" s="39" t="s">
        <v>31</v>
      </c>
      <c r="D102" s="94">
        <f>'Raw Data Totals'!D89/S$31</f>
        <v>2.1296773582265089</v>
      </c>
      <c r="E102" s="94">
        <f>'Raw Data Totals'!E89/T$31</f>
        <v>56.657223796033996</v>
      </c>
      <c r="F102" s="94">
        <f>'Raw Data Totals'!F89/U$31</f>
        <v>3.014704219832232</v>
      </c>
      <c r="G102" s="94">
        <f>'Raw Data Totals'!G89/V$31</f>
        <v>1.5101063869949638</v>
      </c>
      <c r="H102" s="94">
        <f>'Raw Data Totals'!H89/W$31</f>
        <v>7.4883929908641607</v>
      </c>
      <c r="I102" s="94">
        <f>'Raw Data Totals'!I89/X$31</f>
        <v>0</v>
      </c>
      <c r="J102" s="94">
        <f>'Raw Data Totals'!J89/Y$31</f>
        <v>1.4759929742734426</v>
      </c>
      <c r="K102" s="94">
        <f>'Raw Data Totals'!K89/Z$31</f>
        <v>0</v>
      </c>
      <c r="L102" s="94">
        <f>'Raw Data Totals'!L89/AA$31</f>
        <v>2.4610538232471142</v>
      </c>
      <c r="M102" s="94">
        <f t="shared" si="8"/>
        <v>8.30412794994138</v>
      </c>
      <c r="N102" s="40" t="s">
        <v>0</v>
      </c>
      <c r="O102" s="39" t="s">
        <v>8</v>
      </c>
    </row>
    <row r="103" spans="1:15" x14ac:dyDescent="0.35">
      <c r="A103" s="166"/>
      <c r="B103" s="168"/>
      <c r="C103" s="39" t="s">
        <v>32</v>
      </c>
      <c r="D103" s="94">
        <f>'Raw Data Totals'!D90/S$31</f>
        <v>70.670518050536813</v>
      </c>
      <c r="E103" s="94">
        <f>'Raw Data Totals'!E90/T$31</f>
        <v>2107.6487252124648</v>
      </c>
      <c r="F103" s="94">
        <f>'Raw Data Totals'!F90/U$31</f>
        <v>62.931950588997836</v>
      </c>
      <c r="G103" s="94">
        <f>'Raw Data Totals'!G90/V$31</f>
        <v>61.914361866793513</v>
      </c>
      <c r="H103" s="94">
        <f>'Raw Data Totals'!H90/W$31</f>
        <v>398.38250711397336</v>
      </c>
      <c r="I103" s="94">
        <f>'Raw Data Totals'!I90/X$31</f>
        <v>93.337446508942207</v>
      </c>
      <c r="J103" s="94">
        <f>'Raw Data Totals'!J90/Y$31</f>
        <v>131.36337471033639</v>
      </c>
      <c r="K103" s="94">
        <f>'Raw Data Totals'!K90/Z$31</f>
        <v>36.886973628741394</v>
      </c>
      <c r="L103" s="94">
        <f>'Raw Data Totals'!L90/AA$31</f>
        <v>99.672679841508128</v>
      </c>
      <c r="M103" s="94">
        <f t="shared" si="8"/>
        <v>340.31205972469945</v>
      </c>
      <c r="N103" s="40" t="s">
        <v>0</v>
      </c>
      <c r="O103" s="39" t="s">
        <v>8</v>
      </c>
    </row>
    <row r="104" spans="1:15" x14ac:dyDescent="0.35">
      <c r="A104" s="166"/>
      <c r="B104" s="168"/>
      <c r="C104" s="39" t="s">
        <v>33</v>
      </c>
      <c r="D104" s="94">
        <f>'Raw Data Totals'!D91/S$31</f>
        <v>41.506977083802369</v>
      </c>
      <c r="E104" s="94">
        <f>'Raw Data Totals'!E91/T$31</f>
        <v>634.56090651558077</v>
      </c>
      <c r="F104" s="94">
        <f>'Raw Data Totals'!F91/U$31</f>
        <v>41.075344995214159</v>
      </c>
      <c r="G104" s="94">
        <f>'Raw Data Totals'!G91/V$31</f>
        <v>38.759397266204068</v>
      </c>
      <c r="H104" s="94">
        <f>'Raw Data Totals'!H91/W$31</f>
        <v>67.395536917777449</v>
      </c>
      <c r="I104" s="94">
        <f>'Raw Data Totals'!I91/X$31</f>
        <v>51.414695110857991</v>
      </c>
      <c r="J104" s="94">
        <f>'Raw Data Totals'!J91/Y$31</f>
        <v>190.4030936812741</v>
      </c>
      <c r="K104" s="94">
        <f>'Raw Data Totals'!K91/Z$31</f>
        <v>36.301466110824862</v>
      </c>
      <c r="L104" s="94">
        <f>'Raw Data Totals'!L91/AA$31</f>
        <v>126.7442718972264</v>
      </c>
      <c r="M104" s="94">
        <f t="shared" si="8"/>
        <v>136.46240995319579</v>
      </c>
      <c r="N104" s="40" t="s">
        <v>0</v>
      </c>
      <c r="O104" s="39" t="s">
        <v>8</v>
      </c>
    </row>
    <row r="105" spans="1:15" x14ac:dyDescent="0.35">
      <c r="A105" s="166"/>
      <c r="B105" s="168"/>
      <c r="C105" s="39" t="s">
        <v>34</v>
      </c>
      <c r="D105" s="94">
        <f>'Raw Data Totals'!D92/S$31</f>
        <v>11.083014823423669</v>
      </c>
      <c r="E105" s="94">
        <f>'Raw Data Totals'!E92/T$31</f>
        <v>305.94900849858357</v>
      </c>
      <c r="F105" s="94">
        <f>'Raw Data Totals'!F92/U$31</f>
        <v>53.887837929501146</v>
      </c>
      <c r="G105" s="94">
        <f>'Raw Data Totals'!G92/V$31</f>
        <v>6.0404255479798552</v>
      </c>
      <c r="H105" s="94">
        <f>'Raw Data Totals'!H92/W$31</f>
        <v>23.962857570765316</v>
      </c>
      <c r="I105" s="94">
        <f>'Raw Data Totals'!I92/X$31</f>
        <v>18.983887425547568</v>
      </c>
      <c r="J105" s="94">
        <f>'Raw Data Totals'!J92/Y$31</f>
        <v>16.235922717007867</v>
      </c>
      <c r="K105" s="94">
        <f>'Raw Data Totals'!K92/Z$31</f>
        <v>28.689868377909971</v>
      </c>
      <c r="L105" s="94">
        <f>'Raw Data Totals'!L92/AA$31</f>
        <v>17.227376762729801</v>
      </c>
      <c r="M105" s="94">
        <f t="shared" si="8"/>
        <v>53.562244405938749</v>
      </c>
      <c r="N105" s="40" t="s">
        <v>0</v>
      </c>
      <c r="O105" s="39" t="s">
        <v>8</v>
      </c>
    </row>
    <row r="106" spans="1:15" ht="15" thickBot="1" x14ac:dyDescent="0.4">
      <c r="A106" s="56"/>
      <c r="B106" s="191"/>
      <c r="C106" s="73" t="s">
        <v>63</v>
      </c>
      <c r="D106" s="95" t="e">
        <f>'Raw Data Totals'!#REF!/S$31</f>
        <v>#REF!</v>
      </c>
      <c r="E106" s="95" t="e">
        <f>'Raw Data Totals'!#REF!/T$31</f>
        <v>#REF!</v>
      </c>
      <c r="F106" s="95" t="e">
        <f>'Raw Data Totals'!#REF!/U$31</f>
        <v>#REF!</v>
      </c>
      <c r="G106" s="95" t="e">
        <f>'Raw Data Totals'!#REF!/V$31</f>
        <v>#REF!</v>
      </c>
      <c r="H106" s="95" t="e">
        <f>'Raw Data Totals'!#REF!/W$31</f>
        <v>#REF!</v>
      </c>
      <c r="I106" s="95" t="e">
        <f>'Raw Data Totals'!#REF!/X$31</f>
        <v>#REF!</v>
      </c>
      <c r="J106" s="95" t="e">
        <f>'Raw Data Totals'!#REF!/Y$31</f>
        <v>#REF!</v>
      </c>
      <c r="K106" s="95" t="e">
        <f>'Raw Data Totals'!#REF!/Z$31</f>
        <v>#REF!</v>
      </c>
      <c r="L106" s="95" t="e">
        <f>'Raw Data Totals'!#REF!/AA$31</f>
        <v>#REF!</v>
      </c>
      <c r="M106" s="95">
        <f>AVERAGE(M99:M105)</f>
        <v>114.12697367662653</v>
      </c>
      <c r="N106" s="72" t="s">
        <v>6</v>
      </c>
      <c r="O106" s="71" t="s">
        <v>8</v>
      </c>
    </row>
  </sheetData>
  <mergeCells count="24">
    <mergeCell ref="A2:A15"/>
    <mergeCell ref="B2:B8"/>
    <mergeCell ref="S3:AA4"/>
    <mergeCell ref="B9:B16"/>
    <mergeCell ref="A17:A30"/>
    <mergeCell ref="B17:B23"/>
    <mergeCell ref="S17:Z18"/>
    <mergeCell ref="B24:B31"/>
    <mergeCell ref="A32:A45"/>
    <mergeCell ref="B32:B38"/>
    <mergeCell ref="S33:AA34"/>
    <mergeCell ref="B39:B46"/>
    <mergeCell ref="A47:A60"/>
    <mergeCell ref="B47:B53"/>
    <mergeCell ref="B54:B61"/>
    <mergeCell ref="A92:A105"/>
    <mergeCell ref="B92:B98"/>
    <mergeCell ref="B99:B106"/>
    <mergeCell ref="A62:A75"/>
    <mergeCell ref="B62:B68"/>
    <mergeCell ref="B69:B76"/>
    <mergeCell ref="A77:A90"/>
    <mergeCell ref="B77:B83"/>
    <mergeCell ref="B84:B9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A9027-9ABC-42E1-8921-695662900BA8}">
  <sheetPr codeName="Sheet9"/>
  <dimension ref="A1:K9"/>
  <sheetViews>
    <sheetView workbookViewId="0"/>
  </sheetViews>
  <sheetFormatPr defaultRowHeight="14.5" x14ac:dyDescent="0.35"/>
  <cols>
    <col min="1" max="1" width="12.36328125" bestFit="1" customWidth="1"/>
    <col min="2" max="2" width="14.453125" bestFit="1" customWidth="1"/>
    <col min="3" max="3" width="15.26953125" bestFit="1" customWidth="1"/>
    <col min="4" max="4" width="12.453125" bestFit="1" customWidth="1"/>
    <col min="5" max="5" width="13.453125" bestFit="1" customWidth="1"/>
    <col min="6" max="6" width="15.6328125" bestFit="1" customWidth="1"/>
    <col min="7" max="7" width="19" bestFit="1" customWidth="1"/>
    <col min="8" max="8" width="15.7265625" bestFit="1" customWidth="1"/>
    <col min="9" max="9" width="17.81640625" bestFit="1" customWidth="1"/>
    <col min="10" max="10" width="15.90625" bestFit="1" customWidth="1"/>
    <col min="11" max="11" width="10.90625" bestFit="1" customWidth="1"/>
  </cols>
  <sheetData>
    <row r="1" spans="1:11" x14ac:dyDescent="0.35">
      <c r="A1" s="2" t="s">
        <v>46</v>
      </c>
      <c r="B1" t="s">
        <v>48</v>
      </c>
      <c r="C1" t="s">
        <v>49</v>
      </c>
      <c r="D1" t="s">
        <v>50</v>
      </c>
      <c r="E1" t="s">
        <v>51</v>
      </c>
      <c r="F1" t="s">
        <v>52</v>
      </c>
      <c r="G1" t="s">
        <v>53</v>
      </c>
      <c r="H1" t="s">
        <v>54</v>
      </c>
      <c r="I1" t="s">
        <v>55</v>
      </c>
      <c r="J1" t="s">
        <v>56</v>
      </c>
      <c r="K1" t="s">
        <v>70</v>
      </c>
    </row>
    <row r="2" spans="1:11" x14ac:dyDescent="0.35">
      <c r="A2" s="3" t="s">
        <v>0</v>
      </c>
      <c r="K2">
        <v>0</v>
      </c>
    </row>
    <row r="3" spans="1:11" x14ac:dyDescent="0.35">
      <c r="A3" s="3" t="s">
        <v>1</v>
      </c>
      <c r="B3">
        <v>-2.634002180350953</v>
      </c>
      <c r="C3">
        <v>2.4774918607924112</v>
      </c>
      <c r="D3">
        <v>28.685339715963963</v>
      </c>
      <c r="E3">
        <v>-1.3113479133097368</v>
      </c>
      <c r="F3">
        <v>3.6210565254945273</v>
      </c>
      <c r="G3">
        <v>8.7474881187702405</v>
      </c>
      <c r="H3">
        <v>7.9050924405679321</v>
      </c>
      <c r="I3">
        <v>2.9784042478707304</v>
      </c>
      <c r="J3">
        <v>7.5719517447672784</v>
      </c>
      <c r="K3">
        <v>0</v>
      </c>
    </row>
    <row r="4" spans="1:11" x14ac:dyDescent="0.35">
      <c r="A4" s="3" t="s">
        <v>2</v>
      </c>
      <c r="B4">
        <v>2.8034492655579193</v>
      </c>
      <c r="C4">
        <v>5.1040590067802816</v>
      </c>
      <c r="D4">
        <v>-1.8990446554711404</v>
      </c>
      <c r="E4">
        <v>1.5593813544304176</v>
      </c>
      <c r="F4">
        <v>2.8688220587815585</v>
      </c>
      <c r="G4">
        <v>0.75821562763591721</v>
      </c>
      <c r="H4">
        <v>-0.54350447814134961</v>
      </c>
      <c r="I4">
        <v>0.99064564564564583</v>
      </c>
      <c r="J4">
        <v>-4.5185776167749605</v>
      </c>
      <c r="K4">
        <v>0</v>
      </c>
    </row>
    <row r="5" spans="1:11" x14ac:dyDescent="0.35">
      <c r="A5" s="3" t="s">
        <v>3</v>
      </c>
      <c r="B5">
        <v>-0.75975111844432486</v>
      </c>
      <c r="C5">
        <v>-0.5433829757199321</v>
      </c>
      <c r="D5">
        <v>6.8583194905869327</v>
      </c>
      <c r="E5">
        <v>7.2574725278036407</v>
      </c>
      <c r="F5">
        <v>0.8108391840312088</v>
      </c>
      <c r="G5">
        <v>1.0055552621275539</v>
      </c>
      <c r="H5">
        <v>26.706881230031957</v>
      </c>
      <c r="I5">
        <v>-2.6446241930112899</v>
      </c>
      <c r="J5">
        <v>16.178413229282796</v>
      </c>
      <c r="K5">
        <v>0</v>
      </c>
    </row>
    <row r="6" spans="1:11" x14ac:dyDescent="0.35">
      <c r="A6" s="3" t="s">
        <v>4</v>
      </c>
      <c r="B6">
        <v>3.1370215686540699</v>
      </c>
      <c r="C6">
        <v>12.506560251563158</v>
      </c>
      <c r="D6">
        <v>7.1039475816424877</v>
      </c>
      <c r="E6">
        <v>3.2373397376457347</v>
      </c>
      <c r="F6">
        <v>5.6190256981210212</v>
      </c>
      <c r="G6">
        <v>0.67429656742235788</v>
      </c>
      <c r="H6">
        <v>2.347935450222562</v>
      </c>
      <c r="I6">
        <v>3.5771909827760893</v>
      </c>
      <c r="J6">
        <v>1.2156200013395957</v>
      </c>
      <c r="K6">
        <v>0</v>
      </c>
    </row>
    <row r="7" spans="1:11" x14ac:dyDescent="0.35">
      <c r="A7" s="3" t="s">
        <v>5</v>
      </c>
      <c r="B7">
        <v>5.3225399043985187</v>
      </c>
      <c r="C7">
        <v>9.8814117825946575</v>
      </c>
      <c r="D7">
        <v>5.138334768935823</v>
      </c>
      <c r="E7">
        <v>4.3086339327465112E-2</v>
      </c>
      <c r="F7">
        <v>3.5094283933569654</v>
      </c>
      <c r="G7">
        <v>5.4410642592838094</v>
      </c>
      <c r="H7">
        <v>4.0249258854735528</v>
      </c>
      <c r="I7">
        <v>18.171848290598295</v>
      </c>
      <c r="J7">
        <v>2.3173928193856925</v>
      </c>
      <c r="K7">
        <v>0</v>
      </c>
    </row>
    <row r="8" spans="1:11" x14ac:dyDescent="0.35">
      <c r="A8" s="3" t="s">
        <v>6</v>
      </c>
      <c r="B8">
        <v>1.2285234556915499</v>
      </c>
      <c r="C8">
        <v>2.3179012724311141</v>
      </c>
      <c r="D8">
        <v>0.6848214794395453</v>
      </c>
      <c r="E8">
        <v>3.3307667816083955</v>
      </c>
      <c r="F8">
        <v>2.4560755245408825</v>
      </c>
      <c r="G8">
        <v>0.55290312040317802</v>
      </c>
      <c r="H8">
        <v>2.6813472282222284</v>
      </c>
      <c r="I8">
        <v>19.032823162125716</v>
      </c>
      <c r="J8">
        <v>3.8577216269767085</v>
      </c>
      <c r="K8">
        <v>0</v>
      </c>
    </row>
    <row r="9" spans="1:11" x14ac:dyDescent="0.35">
      <c r="A9" s="3" t="s">
        <v>21</v>
      </c>
      <c r="B9">
        <v>9.09778089550678</v>
      </c>
      <c r="C9">
        <v>31.744041198441693</v>
      </c>
      <c r="D9">
        <v>46.571718381097611</v>
      </c>
      <c r="E9">
        <v>14.116698827505918</v>
      </c>
      <c r="F9">
        <v>18.885247384326163</v>
      </c>
      <c r="G9">
        <v>17.179522955643058</v>
      </c>
      <c r="H9">
        <v>43.122677756376881</v>
      </c>
      <c r="I9">
        <v>42.10628813600519</v>
      </c>
      <c r="J9">
        <v>26.622521804977108</v>
      </c>
      <c r="K9">
        <v>0</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4C2C8-9FB2-4BCD-B235-D45A1AFFF1F9}">
  <sheetPr codeName="Sheet10"/>
  <dimension ref="A1:AD198"/>
  <sheetViews>
    <sheetView topLeftCell="D1" workbookViewId="0">
      <selection activeCell="D2" sqref="D2"/>
    </sheetView>
  </sheetViews>
  <sheetFormatPr defaultRowHeight="14.5" x14ac:dyDescent="0.35"/>
  <cols>
    <col min="1" max="1" width="4.26953125" bestFit="1" customWidth="1"/>
    <col min="2" max="2" width="14.08984375" bestFit="1" customWidth="1"/>
    <col min="3" max="3" width="27.1796875" bestFit="1" customWidth="1"/>
    <col min="4" max="4" width="8.26953125" bestFit="1" customWidth="1"/>
    <col min="5" max="5" width="9.08984375" bestFit="1" customWidth="1"/>
    <col min="6" max="6" width="7.81640625" bestFit="1" customWidth="1"/>
    <col min="7" max="7" width="7.453125" bestFit="1" customWidth="1"/>
    <col min="8" max="8" width="9.453125" bestFit="1" customWidth="1"/>
    <col min="9" max="9" width="12.7265625" bestFit="1" customWidth="1"/>
    <col min="10" max="10" width="9.54296875" bestFit="1" customWidth="1"/>
    <col min="11" max="11" width="11.54296875" bestFit="1" customWidth="1"/>
    <col min="12" max="12" width="9.7265625" bestFit="1" customWidth="1"/>
    <col min="13" max="13" width="9.7265625" customWidth="1"/>
    <col min="14" max="14" width="12.7265625" customWidth="1"/>
    <col min="15" max="15" width="20.36328125" customWidth="1"/>
    <col min="21" max="21" width="38" bestFit="1" customWidth="1"/>
    <col min="22" max="22" width="10.81640625" bestFit="1" customWidth="1"/>
    <col min="23" max="26" width="11.81640625" bestFit="1" customWidth="1"/>
    <col min="27" max="27" width="12.54296875" bestFit="1" customWidth="1"/>
    <col min="28" max="30" width="11.81640625" bestFit="1" customWidth="1"/>
  </cols>
  <sheetData>
    <row r="1" spans="1:30" ht="48" customHeight="1" thickBot="1" x14ac:dyDescent="0.4">
      <c r="C1" s="1" t="s">
        <v>9</v>
      </c>
      <c r="D1" s="1" t="s">
        <v>10</v>
      </c>
      <c r="E1" s="1" t="s">
        <v>11</v>
      </c>
      <c r="F1" s="1" t="s">
        <v>12</v>
      </c>
      <c r="G1" s="1" t="s">
        <v>13</v>
      </c>
      <c r="H1" s="1" t="s">
        <v>14</v>
      </c>
      <c r="I1" s="1" t="s">
        <v>15</v>
      </c>
      <c r="J1" s="1" t="s">
        <v>16</v>
      </c>
      <c r="K1" s="1" t="s">
        <v>17</v>
      </c>
      <c r="L1" s="1" t="s">
        <v>18</v>
      </c>
      <c r="M1" s="1" t="s">
        <v>69</v>
      </c>
      <c r="N1" s="1" t="s">
        <v>45</v>
      </c>
      <c r="O1" s="1" t="s">
        <v>44</v>
      </c>
    </row>
    <row r="2" spans="1:30" x14ac:dyDescent="0.35">
      <c r="A2" s="181" t="s">
        <v>6</v>
      </c>
      <c r="B2" s="164" t="s">
        <v>7</v>
      </c>
      <c r="C2" s="7" t="s">
        <v>22</v>
      </c>
      <c r="D2" s="149">
        <f>IF('Raw Data Totals'!D15 &lt;&gt; 0, ('Raw Data Totals'!D2-'Raw Data Totals'!D15)/'Raw Data Totals'!D15, ('Raw Data Totals'!D2)/1)</f>
        <v>0.16091954022988506</v>
      </c>
      <c r="E2" s="149">
        <f>IF('Raw Data Totals'!E15 &lt;&gt; 0, ('Raw Data Totals'!E2-'Raw Data Totals'!E15)/'Raw Data Totals'!E15, ('Raw Data Totals'!E2)/1)</f>
        <v>-0.5</v>
      </c>
      <c r="F2" s="149">
        <f>IF('Raw Data Totals'!F15 &lt;&gt; 0, ('Raw Data Totals'!F2-'Raw Data Totals'!F15)/'Raw Data Totals'!F15, ('Raw Data Totals'!F2)/1)</f>
        <v>0.33333333333333331</v>
      </c>
      <c r="G2" s="149">
        <f>IF('Raw Data Totals'!G15 &lt;&gt; 0, ('Raw Data Totals'!G2-'Raw Data Totals'!G15)/'Raw Data Totals'!G15, ('Raw Data Totals'!G2)/1)</f>
        <v>0.2857142857142857</v>
      </c>
      <c r="H2" s="149">
        <f>IF('Raw Data Totals'!H15 &lt;&gt; 0, ('Raw Data Totals'!H2-'Raw Data Totals'!H15)/'Raw Data Totals'!H15, ('Raw Data Totals'!H2)/1)</f>
        <v>-0.75</v>
      </c>
      <c r="I2" s="149">
        <f>IF('Raw Data Totals'!I15 &lt;&gt; 0, ('Raw Data Totals'!I2-'Raw Data Totals'!I15)/'Raw Data Totals'!I15, ('Raw Data Totals'!I2)/1)</f>
        <v>-0.8</v>
      </c>
      <c r="J2" s="149">
        <f>IF('Raw Data Totals'!J15 &lt;&gt; 0, ('Raw Data Totals'!J2-'Raw Data Totals'!J15)/'Raw Data Totals'!J15, ('Raw Data Totals'!J2)/1)</f>
        <v>-1</v>
      </c>
      <c r="K2" s="149">
        <f>IF('Raw Data Totals'!K15 &lt;&gt; 0, ('Raw Data Totals'!K2-'Raw Data Totals'!K15)/'Raw Data Totals'!K15, ('Raw Data Totals'!K2)/1)</f>
        <v>3</v>
      </c>
      <c r="L2" s="149">
        <f>IF('Raw Data Totals'!L15 &lt;&gt; 0, ('Raw Data Totals'!L2-'Raw Data Totals'!L15)/'Raw Data Totals'!L15, ('Raw Data Totals'!L2)/1)</f>
        <v>1</v>
      </c>
      <c r="M2" s="149">
        <v>0</v>
      </c>
      <c r="N2" s="8" t="s">
        <v>6</v>
      </c>
      <c r="O2" s="109" t="s">
        <v>7</v>
      </c>
    </row>
    <row r="3" spans="1:30" x14ac:dyDescent="0.35">
      <c r="A3" s="181"/>
      <c r="B3" s="165"/>
      <c r="C3" s="10" t="s">
        <v>23</v>
      </c>
      <c r="D3" s="150">
        <f>IF('Raw Data Totals'!D16 &lt;&gt; 0, ('Raw Data Totals'!D3-'Raw Data Totals'!D16)/'Raw Data Totals'!D16, ('Raw Data Totals'!D3)/1)</f>
        <v>0.7857142857142857</v>
      </c>
      <c r="E3" s="150">
        <f>IF('Raw Data Totals'!E16 &lt;&gt; 0, ('Raw Data Totals'!E3-'Raw Data Totals'!E16)/'Raw Data Totals'!E16, ('Raw Data Totals'!E3)/1)</f>
        <v>0</v>
      </c>
      <c r="F3" s="150">
        <f>IF('Raw Data Totals'!F16 &lt;&gt; 0, ('Raw Data Totals'!F3-'Raw Data Totals'!F16)/'Raw Data Totals'!F16, ('Raw Data Totals'!F3)/1)</f>
        <v>0</v>
      </c>
      <c r="G3" s="150">
        <f>IF('Raw Data Totals'!G16 &lt;&gt; 0, ('Raw Data Totals'!G3-'Raw Data Totals'!G16)/'Raw Data Totals'!G16, ('Raw Data Totals'!G3)/1)</f>
        <v>1.5</v>
      </c>
      <c r="H3" s="150">
        <f>IF('Raw Data Totals'!H16 &lt;&gt; 0, ('Raw Data Totals'!H3-'Raw Data Totals'!H16)/'Raw Data Totals'!H16, ('Raw Data Totals'!H3)/1)</f>
        <v>1</v>
      </c>
      <c r="I3" s="150">
        <f>IF('Raw Data Totals'!I16 &lt;&gt; 0, ('Raw Data Totals'!I3-'Raw Data Totals'!I16)/'Raw Data Totals'!I16, ('Raw Data Totals'!I3)/1)</f>
        <v>0.25</v>
      </c>
      <c r="J3" s="150">
        <f>IF('Raw Data Totals'!J16 &lt;&gt; 0, ('Raw Data Totals'!J3-'Raw Data Totals'!J16)/'Raw Data Totals'!J16, ('Raw Data Totals'!J3)/1)</f>
        <v>0</v>
      </c>
      <c r="K3" s="150">
        <f>IF('Raw Data Totals'!K16 &lt;&gt; 0, ('Raw Data Totals'!K3-'Raw Data Totals'!K16)/'Raw Data Totals'!K16, ('Raw Data Totals'!K3)/1)</f>
        <v>1</v>
      </c>
      <c r="L3" s="150">
        <f>IF('Raw Data Totals'!L16 &lt;&gt; 0, ('Raw Data Totals'!L3-'Raw Data Totals'!L16)/'Raw Data Totals'!L16, ('Raw Data Totals'!L3)/1)</f>
        <v>2</v>
      </c>
      <c r="M3" s="150">
        <v>0</v>
      </c>
      <c r="N3" s="11" t="s">
        <v>6</v>
      </c>
      <c r="O3" s="110" t="s">
        <v>7</v>
      </c>
    </row>
    <row r="4" spans="1:30" x14ac:dyDescent="0.35">
      <c r="A4" s="181"/>
      <c r="B4" s="165"/>
      <c r="C4" s="10" t="s">
        <v>24</v>
      </c>
      <c r="D4" s="150">
        <f>IF('Raw Data Totals'!D17 &lt;&gt; 0, ('Raw Data Totals'!D4-'Raw Data Totals'!D17)/'Raw Data Totals'!D17, ('Raw Data Totals'!D4)/1)</f>
        <v>-0.19047619047619047</v>
      </c>
      <c r="E4" s="150">
        <f>IF('Raw Data Totals'!E17 &lt;&gt; 0, ('Raw Data Totals'!E4-'Raw Data Totals'!E17)/'Raw Data Totals'!E17, ('Raw Data Totals'!E4)/1)</f>
        <v>0</v>
      </c>
      <c r="F4" s="150">
        <f>IF('Raw Data Totals'!F17 &lt;&gt; 0, ('Raw Data Totals'!F4-'Raw Data Totals'!F17)/'Raw Data Totals'!F17, ('Raw Data Totals'!F4)/1)</f>
        <v>-0.66666666666666663</v>
      </c>
      <c r="G4" s="150">
        <f>IF('Raw Data Totals'!G17 &lt;&gt; 0, ('Raw Data Totals'!G4-'Raw Data Totals'!G17)/'Raw Data Totals'!G17, ('Raw Data Totals'!G4)/1)</f>
        <v>-1</v>
      </c>
      <c r="H4" s="150">
        <f>IF('Raw Data Totals'!H17 &lt;&gt; 0, ('Raw Data Totals'!H4-'Raw Data Totals'!H17)/'Raw Data Totals'!H17, ('Raw Data Totals'!H4)/1)</f>
        <v>0</v>
      </c>
      <c r="I4" s="150">
        <f>IF('Raw Data Totals'!I17 &lt;&gt; 0, ('Raw Data Totals'!I4-'Raw Data Totals'!I17)/'Raw Data Totals'!I17, ('Raw Data Totals'!I4)/1)</f>
        <v>1</v>
      </c>
      <c r="J4" s="150">
        <f>IF('Raw Data Totals'!J17 &lt;&gt; 0, ('Raw Data Totals'!J4-'Raw Data Totals'!J17)/'Raw Data Totals'!J17, ('Raw Data Totals'!J4)/1)</f>
        <v>0</v>
      </c>
      <c r="K4" s="150">
        <f>IF('Raw Data Totals'!K17 &lt;&gt; 0, ('Raw Data Totals'!K4-'Raw Data Totals'!K17)/'Raw Data Totals'!K17, ('Raw Data Totals'!K4)/1)</f>
        <v>0</v>
      </c>
      <c r="L4" s="150">
        <f>IF('Raw Data Totals'!L17 &lt;&gt; 0, ('Raw Data Totals'!L4-'Raw Data Totals'!L17)/'Raw Data Totals'!L17, ('Raw Data Totals'!L4)/1)</f>
        <v>1</v>
      </c>
      <c r="M4" s="150">
        <v>0</v>
      </c>
      <c r="N4" s="11" t="s">
        <v>6</v>
      </c>
      <c r="O4" s="110" t="s">
        <v>7</v>
      </c>
    </row>
    <row r="5" spans="1:30" x14ac:dyDescent="0.35">
      <c r="A5" s="181"/>
      <c r="B5" s="165"/>
      <c r="C5" s="10" t="s">
        <v>25</v>
      </c>
      <c r="D5" s="150">
        <f>IF('Raw Data Totals'!D18 &lt;&gt; 0, ('Raw Data Totals'!D5-'Raw Data Totals'!D18)/'Raw Data Totals'!D18, ('Raw Data Totals'!D5)/1)</f>
        <v>-6.25E-2</v>
      </c>
      <c r="E5" s="150">
        <f>IF('Raw Data Totals'!E18 &lt;&gt; 0, ('Raw Data Totals'!E5-'Raw Data Totals'!E18)/'Raw Data Totals'!E18, ('Raw Data Totals'!E5)/1)</f>
        <v>-0.4</v>
      </c>
      <c r="F5" s="150">
        <f>IF('Raw Data Totals'!F18 &lt;&gt; 0, ('Raw Data Totals'!F5-'Raw Data Totals'!F18)/'Raw Data Totals'!F18, ('Raw Data Totals'!F5)/1)</f>
        <v>0</v>
      </c>
      <c r="G5" s="150">
        <f>IF('Raw Data Totals'!G18 &lt;&gt; 0, ('Raw Data Totals'!G5-'Raw Data Totals'!G18)/'Raw Data Totals'!G18, ('Raw Data Totals'!G5)/1)</f>
        <v>0</v>
      </c>
      <c r="H5" s="150">
        <f>IF('Raw Data Totals'!H18 &lt;&gt; 0, ('Raw Data Totals'!H5-'Raw Data Totals'!H18)/'Raw Data Totals'!H18, ('Raw Data Totals'!H5)/1)</f>
        <v>2.5</v>
      </c>
      <c r="I5" s="150">
        <f>IF('Raw Data Totals'!I18 &lt;&gt; 0, ('Raw Data Totals'!I5-'Raw Data Totals'!I18)/'Raw Data Totals'!I18, ('Raw Data Totals'!I5)/1)</f>
        <v>-0.18181818181818182</v>
      </c>
      <c r="J5" s="150">
        <f>IF('Raw Data Totals'!J18 &lt;&gt; 0, ('Raw Data Totals'!J5-'Raw Data Totals'!J18)/'Raw Data Totals'!J18, ('Raw Data Totals'!J5)/1)</f>
        <v>0</v>
      </c>
      <c r="K5" s="150">
        <f>IF('Raw Data Totals'!K18 &lt;&gt; 0, ('Raw Data Totals'!K5-'Raw Data Totals'!K18)/'Raw Data Totals'!K18, ('Raw Data Totals'!K5)/1)</f>
        <v>-0.33333333333333331</v>
      </c>
      <c r="L5" s="150">
        <f>IF('Raw Data Totals'!L18 &lt;&gt; 0, ('Raw Data Totals'!L5-'Raw Data Totals'!L18)/'Raw Data Totals'!L18, ('Raw Data Totals'!L5)/1)</f>
        <v>-0.5</v>
      </c>
      <c r="M5" s="150">
        <v>0</v>
      </c>
      <c r="N5" s="11" t="s">
        <v>6</v>
      </c>
      <c r="O5" s="110" t="s">
        <v>7</v>
      </c>
      <c r="V5" s="145" t="s">
        <v>10</v>
      </c>
      <c r="W5" s="145" t="s">
        <v>11</v>
      </c>
      <c r="X5" s="145" t="s">
        <v>12</v>
      </c>
      <c r="Y5" s="145" t="s">
        <v>13</v>
      </c>
      <c r="Z5" s="145" t="s">
        <v>14</v>
      </c>
      <c r="AA5" s="145" t="s">
        <v>15</v>
      </c>
      <c r="AB5" s="145" t="s">
        <v>16</v>
      </c>
      <c r="AC5" s="145" t="s">
        <v>17</v>
      </c>
      <c r="AD5" s="145" t="s">
        <v>18</v>
      </c>
    </row>
    <row r="6" spans="1:30" x14ac:dyDescent="0.35">
      <c r="A6" s="181"/>
      <c r="B6" s="165"/>
      <c r="C6" s="10" t="s">
        <v>26</v>
      </c>
      <c r="D6" s="150">
        <f>IF('Raw Data Totals'!D19 &lt;&gt; 0, ('Raw Data Totals'!D6-'Raw Data Totals'!D19)/'Raw Data Totals'!D19, ('Raw Data Totals'!D6)/1)</f>
        <v>-0.25</v>
      </c>
      <c r="E6" s="150">
        <f>IF('Raw Data Totals'!E19 &lt;&gt; 0, ('Raw Data Totals'!E6-'Raw Data Totals'!E19)/'Raw Data Totals'!E19, ('Raw Data Totals'!E6)/1)</f>
        <v>0</v>
      </c>
      <c r="F6" s="150">
        <f>IF('Raw Data Totals'!F19 &lt;&gt; 0, ('Raw Data Totals'!F6-'Raw Data Totals'!F19)/'Raw Data Totals'!F19, ('Raw Data Totals'!F6)/1)</f>
        <v>0</v>
      </c>
      <c r="G6" s="150">
        <f>IF('Raw Data Totals'!G19 &lt;&gt; 0, ('Raw Data Totals'!G6-'Raw Data Totals'!G19)/'Raw Data Totals'!G19, ('Raw Data Totals'!G6)/1)</f>
        <v>0</v>
      </c>
      <c r="H6" s="150">
        <f>IF('Raw Data Totals'!H19 &lt;&gt; 0, ('Raw Data Totals'!H6-'Raw Data Totals'!H19)/'Raw Data Totals'!H19, ('Raw Data Totals'!H6)/1)</f>
        <v>0</v>
      </c>
      <c r="I6" s="150">
        <f>IF('Raw Data Totals'!I19 &lt;&gt; 0, ('Raw Data Totals'!I6-'Raw Data Totals'!I19)/'Raw Data Totals'!I19, ('Raw Data Totals'!I6)/1)</f>
        <v>0</v>
      </c>
      <c r="J6" s="150">
        <f>IF('Raw Data Totals'!J19 &lt;&gt; 0, ('Raw Data Totals'!J6-'Raw Data Totals'!J19)/'Raw Data Totals'!J19, ('Raw Data Totals'!J6)/1)</f>
        <v>0</v>
      </c>
      <c r="K6" s="150">
        <f>IF('Raw Data Totals'!K19 &lt;&gt; 0, ('Raw Data Totals'!K6-'Raw Data Totals'!K19)/'Raw Data Totals'!K19, ('Raw Data Totals'!K6)/1)</f>
        <v>0</v>
      </c>
      <c r="L6" s="150">
        <f>IF('Raw Data Totals'!L19 &lt;&gt; 0, ('Raw Data Totals'!L6-'Raw Data Totals'!L19)/'Raw Data Totals'!L19, ('Raw Data Totals'!L6)/1)</f>
        <v>0</v>
      </c>
      <c r="M6" s="150">
        <v>0</v>
      </c>
      <c r="N6" s="11" t="s">
        <v>6</v>
      </c>
      <c r="O6" s="110" t="s">
        <v>7</v>
      </c>
      <c r="U6" s="145" t="s">
        <v>67</v>
      </c>
      <c r="V6" s="146">
        <f>('Raw Data Totals With Totals'!D8+'Raw Data Totals With Totals'!D16)-('Raw Data Totals With Totals'!D98+'Raw Data Totals With Totals'!D106)</f>
        <v>1127</v>
      </c>
      <c r="W6" s="146">
        <f>('Raw Data Totals With Totals'!E8+'Raw Data Totals With Totals'!E16)-('Raw Data Totals With Totals'!E98+'Raw Data Totals With Totals'!E106)</f>
        <v>115</v>
      </c>
      <c r="X6" s="146">
        <f>('Raw Data Totals With Totals'!F8+'Raw Data Totals With Totals'!F16)-('Raw Data Totals With Totals'!F98+'Raw Data Totals With Totals'!F106)</f>
        <v>31</v>
      </c>
      <c r="Y6" s="146">
        <f>('Raw Data Totals With Totals'!G8+'Raw Data Totals With Totals'!G16)-('Raw Data Totals With Totals'!G98+'Raw Data Totals With Totals'!G106)</f>
        <v>9</v>
      </c>
      <c r="Z6" s="146">
        <f>('Raw Data Totals With Totals'!H8+'Raw Data Totals With Totals'!H16)-('Raw Data Totals With Totals'!H98+'Raw Data Totals With Totals'!H106)</f>
        <v>48</v>
      </c>
      <c r="AA6" s="146">
        <f>('Raw Data Totals With Totals'!I8+'Raw Data Totals With Totals'!I16)-('Raw Data Totals With Totals'!I98+'Raw Data Totals With Totals'!I106)</f>
        <v>148</v>
      </c>
      <c r="AB6" s="146">
        <f>('Raw Data Totals With Totals'!J8+'Raw Data Totals With Totals'!J16)-('Raw Data Totals With Totals'!J98+'Raw Data Totals With Totals'!J106)</f>
        <v>270</v>
      </c>
      <c r="AC6" s="146">
        <f>('Raw Data Totals With Totals'!K8+'Raw Data Totals With Totals'!K16)-('Raw Data Totals With Totals'!K98+'Raw Data Totals With Totals'!K106)</f>
        <v>295</v>
      </c>
      <c r="AD6" s="146">
        <f>('Raw Data Totals With Totals'!L8+'Raw Data Totals With Totals'!L16)-('Raw Data Totals With Totals'!L98+'Raw Data Totals With Totals'!L106)</f>
        <v>-231</v>
      </c>
    </row>
    <row r="7" spans="1:30" ht="15" thickBot="1" x14ac:dyDescent="0.4">
      <c r="A7" s="181"/>
      <c r="B7" s="165"/>
      <c r="C7" s="10" t="s">
        <v>27</v>
      </c>
      <c r="D7" s="150">
        <f>IF('Raw Data Totals'!D20 &lt;&gt; 0, ('Raw Data Totals'!D7-'Raw Data Totals'!D20)/'Raw Data Totals'!D20, ('Raw Data Totals'!D7)/1)</f>
        <v>-0.33333333333333331</v>
      </c>
      <c r="E7" s="150">
        <f>IF('Raw Data Totals'!E20 &lt;&gt; 0, ('Raw Data Totals'!E7-'Raw Data Totals'!E20)/'Raw Data Totals'!E20, ('Raw Data Totals'!E7)/1)</f>
        <v>2</v>
      </c>
      <c r="F7" s="150">
        <f>IF('Raw Data Totals'!F20 &lt;&gt; 0, ('Raw Data Totals'!F7-'Raw Data Totals'!F20)/'Raw Data Totals'!F20, ('Raw Data Totals'!F7)/1)</f>
        <v>1</v>
      </c>
      <c r="G7" s="150">
        <f>IF('Raw Data Totals'!G20 &lt;&gt; 0, ('Raw Data Totals'!G7-'Raw Data Totals'!G20)/'Raw Data Totals'!G20, ('Raw Data Totals'!G7)/1)</f>
        <v>2</v>
      </c>
      <c r="H7" s="150">
        <f>IF('Raw Data Totals'!H20 &lt;&gt; 0, ('Raw Data Totals'!H7-'Raw Data Totals'!H20)/'Raw Data Totals'!H20, ('Raw Data Totals'!H7)/1)</f>
        <v>-1</v>
      </c>
      <c r="I7" s="150">
        <f>IF('Raw Data Totals'!I20 &lt;&gt; 0, ('Raw Data Totals'!I7-'Raw Data Totals'!I20)/'Raw Data Totals'!I20, ('Raw Data Totals'!I7)/1)</f>
        <v>0</v>
      </c>
      <c r="J7" s="150">
        <f>IF('Raw Data Totals'!J20 &lt;&gt; 0, ('Raw Data Totals'!J7-'Raw Data Totals'!J20)/'Raw Data Totals'!J20, ('Raw Data Totals'!J7)/1)</f>
        <v>0</v>
      </c>
      <c r="K7" s="150">
        <f>IF('Raw Data Totals'!K20 &lt;&gt; 0, ('Raw Data Totals'!K7-'Raw Data Totals'!K20)/'Raw Data Totals'!K20, ('Raw Data Totals'!K7)/1)</f>
        <v>2</v>
      </c>
      <c r="L7" s="150">
        <f>IF('Raw Data Totals'!L20 &lt;&gt; 0, ('Raw Data Totals'!L7-'Raw Data Totals'!L20)/'Raw Data Totals'!L20, ('Raw Data Totals'!L7)/1)</f>
        <v>1</v>
      </c>
      <c r="M7" s="150">
        <v>0</v>
      </c>
      <c r="N7" s="11" t="s">
        <v>6</v>
      </c>
      <c r="O7" s="110" t="s">
        <v>7</v>
      </c>
      <c r="U7" s="145" t="s">
        <v>68</v>
      </c>
      <c r="V7" s="147">
        <f t="shared" ref="V7:AD7" si="0">AVERAGE(D102,D110,D117,D125,D132,D140,D147,D155,D162,D170,D185)</f>
        <v>0.14388512043442511</v>
      </c>
      <c r="W7" s="147">
        <f t="shared" si="0"/>
        <v>0.42979274283690505</v>
      </c>
      <c r="X7" s="147">
        <f t="shared" si="0"/>
        <v>0.24669259080790543</v>
      </c>
      <c r="Y7" s="147">
        <f t="shared" si="0"/>
        <v>0.25991418115842901</v>
      </c>
      <c r="Z7" s="147">
        <f t="shared" si="0"/>
        <v>0.28335217863242251</v>
      </c>
      <c r="AA7" s="147">
        <f t="shared" si="0"/>
        <v>0.16321910024663408</v>
      </c>
      <c r="AB7" s="147">
        <f t="shared" si="0"/>
        <v>0.5625600285820952</v>
      </c>
      <c r="AC7" s="147">
        <f t="shared" si="0"/>
        <v>0.5354712744935739</v>
      </c>
      <c r="AD7" s="147">
        <f t="shared" si="0"/>
        <v>0.29878764661174151</v>
      </c>
    </row>
    <row r="8" spans="1:30" x14ac:dyDescent="0.35">
      <c r="A8" s="181"/>
      <c r="B8" s="164" t="s">
        <v>8</v>
      </c>
      <c r="C8" s="10" t="s">
        <v>28</v>
      </c>
      <c r="D8" s="150">
        <f>IF('Raw Data Totals'!D21 &lt;&gt; 0, ('Raw Data Totals'!D8-'Raw Data Totals'!D21)/'Raw Data Totals'!D21, ('Raw Data Totals'!D8)/1)</f>
        <v>0.75342465753424659</v>
      </c>
      <c r="E8" s="150">
        <f>IF('Raw Data Totals'!E21 &lt;&gt; 0, ('Raw Data Totals'!E8-'Raw Data Totals'!E21)/'Raw Data Totals'!E21, ('Raw Data Totals'!E8)/1)</f>
        <v>-9.4890510948905105E-2</v>
      </c>
      <c r="F8" s="150">
        <f>IF('Raw Data Totals'!F21 &lt;&gt; 0, ('Raw Data Totals'!F8-'Raw Data Totals'!F21)/'Raw Data Totals'!F21, ('Raw Data Totals'!F8)/1)</f>
        <v>-0.2932330827067669</v>
      </c>
      <c r="G8" s="150">
        <f>IF('Raw Data Totals'!G21 &lt;&gt; 0, ('Raw Data Totals'!G8-'Raw Data Totals'!G21)/'Raw Data Totals'!G21, ('Raw Data Totals'!G8)/1)</f>
        <v>2.8901734104046242E-2</v>
      </c>
      <c r="H8" s="150">
        <f>IF('Raw Data Totals'!H21 &lt;&gt; 0, ('Raw Data Totals'!H8-'Raw Data Totals'!H21)/'Raw Data Totals'!H21, ('Raw Data Totals'!H8)/1)</f>
        <v>0.30434782608695654</v>
      </c>
      <c r="I8" s="150">
        <f>IF('Raw Data Totals'!I21 &lt;&gt; 0, ('Raw Data Totals'!I8-'Raw Data Totals'!I21)/'Raw Data Totals'!I21, ('Raw Data Totals'!I8)/1)</f>
        <v>-5.5045871559633031E-2</v>
      </c>
      <c r="J8" s="150">
        <f>IF('Raw Data Totals'!J21 &lt;&gt; 0, ('Raw Data Totals'!J8-'Raw Data Totals'!J21)/'Raw Data Totals'!J21, ('Raw Data Totals'!J8)/1)</f>
        <v>0.2857142857142857</v>
      </c>
      <c r="K8" s="150">
        <f>IF('Raw Data Totals'!K21 &lt;&gt; 0, ('Raw Data Totals'!K8-'Raw Data Totals'!K21)/'Raw Data Totals'!K21, ('Raw Data Totals'!K8)/1)</f>
        <v>2.2253521126760565</v>
      </c>
      <c r="L8" s="150">
        <f>IF('Raw Data Totals'!L21 &lt;&gt; 0, ('Raw Data Totals'!L8-'Raw Data Totals'!L21)/'Raw Data Totals'!L21, ('Raw Data Totals'!L8)/1)</f>
        <v>-0.13698630136986301</v>
      </c>
      <c r="M8" s="150">
        <v>0</v>
      </c>
      <c r="N8" s="11" t="s">
        <v>6</v>
      </c>
      <c r="O8" s="130" t="s">
        <v>8</v>
      </c>
    </row>
    <row r="9" spans="1:30" x14ac:dyDescent="0.35">
      <c r="A9" s="181"/>
      <c r="B9" s="165"/>
      <c r="C9" s="10" t="s">
        <v>29</v>
      </c>
      <c r="D9" s="150">
        <f>IF('Raw Data Totals'!D22 &lt;&gt; 0, ('Raw Data Totals'!D9-'Raw Data Totals'!D22)/'Raw Data Totals'!D22, ('Raw Data Totals'!D9)/1)</f>
        <v>6.25E-2</v>
      </c>
      <c r="E9" s="150">
        <f>IF('Raw Data Totals'!E22 &lt;&gt; 0, ('Raw Data Totals'!E9-'Raw Data Totals'!E22)/'Raw Data Totals'!E22, ('Raw Data Totals'!E9)/1)</f>
        <v>0.55882352941176472</v>
      </c>
      <c r="F9" s="150">
        <f>IF('Raw Data Totals'!F22 &lt;&gt; 0, ('Raw Data Totals'!F9-'Raw Data Totals'!F22)/'Raw Data Totals'!F22, ('Raw Data Totals'!F9)/1)</f>
        <v>1.1764705882352942</v>
      </c>
      <c r="G9" s="150">
        <f>IF('Raw Data Totals'!G22 &lt;&gt; 0, ('Raw Data Totals'!G9-'Raw Data Totals'!G22)/'Raw Data Totals'!G22, ('Raw Data Totals'!G9)/1)</f>
        <v>-0.22916666666666666</v>
      </c>
      <c r="H9" s="150">
        <f>IF('Raw Data Totals'!H22 &lt;&gt; 0, ('Raw Data Totals'!H9-'Raw Data Totals'!H22)/'Raw Data Totals'!H22, ('Raw Data Totals'!H9)/1)</f>
        <v>-0.10526315789473684</v>
      </c>
      <c r="I9" s="150">
        <f>IF('Raw Data Totals'!I22 &lt;&gt; 0, ('Raw Data Totals'!I9-'Raw Data Totals'!I22)/'Raw Data Totals'!I22, ('Raw Data Totals'!I9)/1)</f>
        <v>-0.21875</v>
      </c>
      <c r="J9" s="150">
        <f>IF('Raw Data Totals'!J22 &lt;&gt; 0, ('Raw Data Totals'!J9-'Raw Data Totals'!J22)/'Raw Data Totals'!J22, ('Raw Data Totals'!J9)/1)</f>
        <v>-0.171875</v>
      </c>
      <c r="K9" s="150">
        <f>IF('Raw Data Totals'!K22 &lt;&gt; 0, ('Raw Data Totals'!K9-'Raw Data Totals'!K22)/'Raw Data Totals'!K22, ('Raw Data Totals'!K9)/1)</f>
        <v>0.13636363636363635</v>
      </c>
      <c r="L9" s="150">
        <f>IF('Raw Data Totals'!L22 &lt;&gt; 0, ('Raw Data Totals'!L9-'Raw Data Totals'!L22)/'Raw Data Totals'!L22, ('Raw Data Totals'!L9)/1)</f>
        <v>-0.24444444444444444</v>
      </c>
      <c r="M9" s="150">
        <v>0</v>
      </c>
      <c r="N9" s="11" t="s">
        <v>6</v>
      </c>
      <c r="O9" s="130" t="s">
        <v>8</v>
      </c>
    </row>
    <row r="10" spans="1:30" x14ac:dyDescent="0.35">
      <c r="A10" s="181"/>
      <c r="B10" s="165"/>
      <c r="C10" s="10" t="s">
        <v>30</v>
      </c>
      <c r="D10" s="150">
        <f>IF('Raw Data Totals'!D23 &lt;&gt; 0, ('Raw Data Totals'!D10-'Raw Data Totals'!D23)/'Raw Data Totals'!D23, ('Raw Data Totals'!D10)/1)</f>
        <v>0.72549019607843135</v>
      </c>
      <c r="E10" s="150">
        <f>IF('Raw Data Totals'!E23 &lt;&gt; 0, ('Raw Data Totals'!E10-'Raw Data Totals'!E23)/'Raw Data Totals'!E23, ('Raw Data Totals'!E10)/1)</f>
        <v>-0.7142857142857143</v>
      </c>
      <c r="F10" s="150">
        <f>IF('Raw Data Totals'!F23 &lt;&gt; 0, ('Raw Data Totals'!F10-'Raw Data Totals'!F23)/'Raw Data Totals'!F23, ('Raw Data Totals'!F10)/1)</f>
        <v>-0.6</v>
      </c>
      <c r="G10" s="150">
        <f>IF('Raw Data Totals'!G23 &lt;&gt; 0, ('Raw Data Totals'!G10-'Raw Data Totals'!G23)/'Raw Data Totals'!G23, ('Raw Data Totals'!G10)/1)</f>
        <v>0.7142857142857143</v>
      </c>
      <c r="H10" s="150">
        <f>IF('Raw Data Totals'!H23 &lt;&gt; 0, ('Raw Data Totals'!H10-'Raw Data Totals'!H23)/'Raw Data Totals'!H23, ('Raw Data Totals'!H10)/1)</f>
        <v>0.66666666666666663</v>
      </c>
      <c r="I10" s="150">
        <f>IF('Raw Data Totals'!I23 &lt;&gt; 0, ('Raw Data Totals'!I10-'Raw Data Totals'!I23)/'Raw Data Totals'!I23, ('Raw Data Totals'!I10)/1)</f>
        <v>-0.5</v>
      </c>
      <c r="J10" s="150">
        <f>IF('Raw Data Totals'!J23 &lt;&gt; 0, ('Raw Data Totals'!J10-'Raw Data Totals'!J23)/'Raw Data Totals'!J23, ('Raw Data Totals'!J10)/1)</f>
        <v>1.0909090909090908</v>
      </c>
      <c r="K10" s="150">
        <f>IF('Raw Data Totals'!K23 &lt;&gt; 0, ('Raw Data Totals'!K10-'Raw Data Totals'!K23)/'Raw Data Totals'!K23, ('Raw Data Totals'!K10)/1)</f>
        <v>-0.53846153846153844</v>
      </c>
      <c r="L10" s="150">
        <f>IF('Raw Data Totals'!L23 &lt;&gt; 0, ('Raw Data Totals'!L10-'Raw Data Totals'!L23)/'Raw Data Totals'!L23, ('Raw Data Totals'!L10)/1)</f>
        <v>-5.8823529411764705E-2</v>
      </c>
      <c r="M10" s="150">
        <v>0</v>
      </c>
      <c r="N10" s="11" t="s">
        <v>6</v>
      </c>
      <c r="O10" s="130" t="s">
        <v>8</v>
      </c>
      <c r="U10" s="1" t="s">
        <v>58</v>
      </c>
      <c r="V10" s="1" t="s">
        <v>0</v>
      </c>
      <c r="W10" s="1" t="s">
        <v>1</v>
      </c>
      <c r="X10" s="1" t="s">
        <v>2</v>
      </c>
      <c r="Y10" s="1" t="s">
        <v>3</v>
      </c>
      <c r="Z10" s="1" t="s">
        <v>4</v>
      </c>
      <c r="AA10" s="1" t="s">
        <v>5</v>
      </c>
      <c r="AB10" s="1" t="s">
        <v>6</v>
      </c>
    </row>
    <row r="11" spans="1:30" x14ac:dyDescent="0.35">
      <c r="A11" s="181"/>
      <c r="B11" s="165"/>
      <c r="C11" s="10" t="s">
        <v>31</v>
      </c>
      <c r="D11" s="150">
        <f>IF('Raw Data Totals'!D24 &lt;&gt; 0, ('Raw Data Totals'!D11-'Raw Data Totals'!D24)/'Raw Data Totals'!D24, ('Raw Data Totals'!D11)/1)</f>
        <v>-0.66666666666666663</v>
      </c>
      <c r="E11" s="150">
        <f>IF('Raw Data Totals'!E24 &lt;&gt; 0, ('Raw Data Totals'!E11-'Raw Data Totals'!E24)/'Raw Data Totals'!E24, ('Raw Data Totals'!E11)/1)</f>
        <v>0.8</v>
      </c>
      <c r="F11" s="150">
        <f>IF('Raw Data Totals'!F24 &lt;&gt; 0, ('Raw Data Totals'!F11-'Raw Data Totals'!F24)/'Raw Data Totals'!F24, ('Raw Data Totals'!F11)/1)</f>
        <v>-1</v>
      </c>
      <c r="G11" s="150">
        <f>IF('Raw Data Totals'!G24 &lt;&gt; 0, ('Raw Data Totals'!G11-'Raw Data Totals'!G24)/'Raw Data Totals'!G24, ('Raw Data Totals'!G11)/1)</f>
        <v>0</v>
      </c>
      <c r="H11" s="150">
        <f>IF('Raw Data Totals'!H24 &lt;&gt; 0, ('Raw Data Totals'!H11-'Raw Data Totals'!H24)/'Raw Data Totals'!H24, ('Raw Data Totals'!H11)/1)</f>
        <v>1</v>
      </c>
      <c r="I11" s="150">
        <f>IF('Raw Data Totals'!I24 &lt;&gt; 0, ('Raw Data Totals'!I11-'Raw Data Totals'!I24)/'Raw Data Totals'!I24, ('Raw Data Totals'!I11)/1)</f>
        <v>0</v>
      </c>
      <c r="J11" s="150">
        <f>IF('Raw Data Totals'!J24 &lt;&gt; 0, ('Raw Data Totals'!J11-'Raw Data Totals'!J24)/'Raw Data Totals'!J24, ('Raw Data Totals'!J11)/1)</f>
        <v>3</v>
      </c>
      <c r="K11" s="150">
        <f>IF('Raw Data Totals'!K24 &lt;&gt; 0, ('Raw Data Totals'!K11-'Raw Data Totals'!K24)/'Raw Data Totals'!K24, ('Raw Data Totals'!K11)/1)</f>
        <v>-1</v>
      </c>
      <c r="L11" s="150">
        <f>IF('Raw Data Totals'!L24 &lt;&gt; 0, ('Raw Data Totals'!L11-'Raw Data Totals'!L24)/'Raw Data Totals'!L24, ('Raw Data Totals'!L11)/1)</f>
        <v>1</v>
      </c>
      <c r="M11" s="150">
        <v>0</v>
      </c>
      <c r="N11" s="11" t="s">
        <v>6</v>
      </c>
      <c r="O11" s="130" t="s">
        <v>8</v>
      </c>
      <c r="U11" s="1" t="s">
        <v>10</v>
      </c>
      <c r="V11">
        <v>1.9516862018413652</v>
      </c>
      <c r="W11">
        <v>1.811163794589139</v>
      </c>
      <c r="X11">
        <v>1.8539966879633214</v>
      </c>
      <c r="Y11">
        <v>1.6212868332240147</v>
      </c>
      <c r="Z11">
        <v>0.6826328492066891</v>
      </c>
      <c r="AA11">
        <v>2.1351790480208304</v>
      </c>
      <c r="AB11">
        <v>3.0741924096271056</v>
      </c>
    </row>
    <row r="12" spans="1:30" x14ac:dyDescent="0.35">
      <c r="A12" s="181"/>
      <c r="B12" s="165"/>
      <c r="C12" s="10" t="s">
        <v>32</v>
      </c>
      <c r="D12" s="150">
        <f>IF('Raw Data Totals'!D25 &lt;&gt; 0, ('Raw Data Totals'!D12-'Raw Data Totals'!D25)/'Raw Data Totals'!D25, ('Raw Data Totals'!D12)/1)</f>
        <v>0.41763341067285381</v>
      </c>
      <c r="E12" s="150">
        <f>IF('Raw Data Totals'!E25 &lt;&gt; 0, ('Raw Data Totals'!E12-'Raw Data Totals'!E25)/'Raw Data Totals'!E25, ('Raw Data Totals'!E12)/1)</f>
        <v>-0.14285714285714285</v>
      </c>
      <c r="F12" s="150">
        <f>IF('Raw Data Totals'!F25 &lt;&gt; 0, ('Raw Data Totals'!F12-'Raw Data Totals'!F25)/'Raw Data Totals'!F25, ('Raw Data Totals'!F12)/1)</f>
        <v>0</v>
      </c>
      <c r="G12" s="150">
        <f>IF('Raw Data Totals'!G25 &lt;&gt; 0, ('Raw Data Totals'!G12-'Raw Data Totals'!G25)/'Raw Data Totals'!G25, ('Raw Data Totals'!G12)/1)</f>
        <v>-2.6415094339622643E-2</v>
      </c>
      <c r="H12" s="150">
        <f>IF('Raw Data Totals'!H25 &lt;&gt; 0, ('Raw Data Totals'!H12-'Raw Data Totals'!H25)/'Raw Data Totals'!H25, ('Raw Data Totals'!H12)/1)</f>
        <v>7.9497907949790794E-2</v>
      </c>
      <c r="I12" s="150">
        <f>IF('Raw Data Totals'!I25 &lt;&gt; 0, ('Raw Data Totals'!I12-'Raw Data Totals'!I25)/'Raw Data Totals'!I25, ('Raw Data Totals'!I12)/1)</f>
        <v>-6.030150753768844E-2</v>
      </c>
      <c r="J12" s="150">
        <f>IF('Raw Data Totals'!J25 &lt;&gt; 0, ('Raw Data Totals'!J12-'Raw Data Totals'!J25)/'Raw Data Totals'!J25, ('Raw Data Totals'!J12)/1)</f>
        <v>0.10256410256410256</v>
      </c>
      <c r="K12" s="150">
        <f>IF('Raw Data Totals'!K25 &lt;&gt; 0, ('Raw Data Totals'!K12-'Raw Data Totals'!K25)/'Raw Data Totals'!K25, ('Raw Data Totals'!K12)/1)</f>
        <v>0.68595041322314054</v>
      </c>
      <c r="L12" s="150">
        <f>IF('Raw Data Totals'!L25 &lt;&gt; 0, ('Raw Data Totals'!L12-'Raw Data Totals'!L25)/'Raw Data Totals'!L25, ('Raw Data Totals'!L12)/1)</f>
        <v>-0.28901734104046245</v>
      </c>
      <c r="M12" s="150">
        <v>0</v>
      </c>
      <c r="N12" s="11" t="s">
        <v>6</v>
      </c>
      <c r="O12" s="130" t="s">
        <v>8</v>
      </c>
      <c r="U12" s="1" t="s">
        <v>11</v>
      </c>
      <c r="V12">
        <v>8.2236842105263885E-2</v>
      </c>
      <c r="W12">
        <v>9.3907735649720311E-2</v>
      </c>
      <c r="X12">
        <v>0.35182361909228888</v>
      </c>
      <c r="Y12">
        <v>2.3372677340196477E-2</v>
      </c>
      <c r="Z12">
        <v>-5.8418039490588262E-2</v>
      </c>
      <c r="AA12">
        <v>0.73649754500817355</v>
      </c>
      <c r="AB12">
        <v>2.4138331205756045</v>
      </c>
    </row>
    <row r="13" spans="1:30" x14ac:dyDescent="0.35">
      <c r="A13" s="181"/>
      <c r="B13" s="165"/>
      <c r="C13" s="10" t="s">
        <v>33</v>
      </c>
      <c r="D13" s="150">
        <f>IF('Raw Data Totals'!D26 &lt;&gt; 0, ('Raw Data Totals'!D13-'Raw Data Totals'!D26)/'Raw Data Totals'!D26, ('Raw Data Totals'!D13)/1)</f>
        <v>-0.14285714285714285</v>
      </c>
      <c r="E13" s="150">
        <f>IF('Raw Data Totals'!E26 &lt;&gt; 0, ('Raw Data Totals'!E13-'Raw Data Totals'!E26)/'Raw Data Totals'!E26, ('Raw Data Totals'!E13)/1)</f>
        <v>-0.72222222222222221</v>
      </c>
      <c r="F13" s="150">
        <f>IF('Raw Data Totals'!F26 &lt;&gt; 0, ('Raw Data Totals'!F13-'Raw Data Totals'!F26)/'Raw Data Totals'!F26, ('Raw Data Totals'!F13)/1)</f>
        <v>0.71604938271604934</v>
      </c>
      <c r="G13" s="150">
        <f>IF('Raw Data Totals'!G26 &lt;&gt; 0, ('Raw Data Totals'!G13-'Raw Data Totals'!G26)/'Raw Data Totals'!G26, ('Raw Data Totals'!G13)/1)</f>
        <v>0.1</v>
      </c>
      <c r="H13" s="150">
        <f>IF('Raw Data Totals'!H26 &lt;&gt; 0, ('Raw Data Totals'!H13-'Raw Data Totals'!H26)/'Raw Data Totals'!H26, ('Raw Data Totals'!H13)/1)</f>
        <v>-0.33673469387755101</v>
      </c>
      <c r="I13" s="150">
        <f>IF('Raw Data Totals'!I26 &lt;&gt; 0, ('Raw Data Totals'!I13-'Raw Data Totals'!I26)/'Raw Data Totals'!I26, ('Raw Data Totals'!I13)/1)</f>
        <v>-0.31868131868131866</v>
      </c>
      <c r="J13" s="150">
        <f>IF('Raw Data Totals'!J26 &lt;&gt; 0, ('Raw Data Totals'!J13-'Raw Data Totals'!J26)/'Raw Data Totals'!J26, ('Raw Data Totals'!J13)/1)</f>
        <v>-1.7857142857142856E-2</v>
      </c>
      <c r="K13" s="150">
        <f>IF('Raw Data Totals'!K26 &lt;&gt; 0, ('Raw Data Totals'!K13-'Raw Data Totals'!K26)/'Raw Data Totals'!K26, ('Raw Data Totals'!K13)/1)</f>
        <v>-0.89304812834224601</v>
      </c>
      <c r="L13" s="150">
        <f>IF('Raw Data Totals'!L26 &lt;&gt; 0, ('Raw Data Totals'!L13-'Raw Data Totals'!L26)/'Raw Data Totals'!L26, ('Raw Data Totals'!L13)/1)</f>
        <v>-0.25675675675675674</v>
      </c>
      <c r="M13" s="150">
        <v>0</v>
      </c>
      <c r="N13" s="11" t="s">
        <v>6</v>
      </c>
      <c r="O13" s="130" t="s">
        <v>8</v>
      </c>
      <c r="U13" s="1" t="s">
        <v>12</v>
      </c>
      <c r="V13">
        <v>1.2149146276207641</v>
      </c>
      <c r="W13">
        <v>1.0124919397150753</v>
      </c>
      <c r="X13">
        <v>0.76523835390489126</v>
      </c>
      <c r="Y13">
        <v>0.83536962056197928</v>
      </c>
      <c r="Z13">
        <v>0.31335117965208281</v>
      </c>
      <c r="AA13">
        <v>1.4000350106004305</v>
      </c>
      <c r="AB13">
        <v>1.8038547708927908</v>
      </c>
    </row>
    <row r="14" spans="1:30" ht="15" thickBot="1" x14ac:dyDescent="0.4">
      <c r="A14" s="181"/>
      <c r="B14" s="165"/>
      <c r="C14" s="10" t="s">
        <v>34</v>
      </c>
      <c r="D14" s="150">
        <f>IF('Raw Data Totals'!D27 &lt;&gt; 0, ('Raw Data Totals'!D14-'Raw Data Totals'!D27)/'Raw Data Totals'!D27, ('Raw Data Totals'!D14)/1)</f>
        <v>-3.1325301204819279E-2</v>
      </c>
      <c r="E14" s="150">
        <f>IF('Raw Data Totals'!E27 &lt;&gt; 0, ('Raw Data Totals'!E14-'Raw Data Totals'!E27)/'Raw Data Totals'!E27, ('Raw Data Totals'!E14)/1)</f>
        <v>1.5333333333333334</v>
      </c>
      <c r="F14" s="150">
        <f>IF('Raw Data Totals'!F27 &lt;&gt; 0, ('Raw Data Totals'!F14-'Raw Data Totals'!F27)/'Raw Data Totals'!F27, ('Raw Data Totals'!F14)/1)</f>
        <v>1.8867924528301886E-2</v>
      </c>
      <c r="G14" s="150">
        <f>IF('Raw Data Totals'!G27 &lt;&gt; 0, ('Raw Data Totals'!G14-'Raw Data Totals'!G27)/'Raw Data Totals'!G27, ('Raw Data Totals'!G14)/1)</f>
        <v>-4.2553191489361701E-2</v>
      </c>
      <c r="H14" s="150">
        <f>IF('Raw Data Totals'!H27 &lt;&gt; 0, ('Raw Data Totals'!H14-'Raw Data Totals'!H27)/'Raw Data Totals'!H27, ('Raw Data Totals'!H14)/1)</f>
        <v>-0.90243902439024393</v>
      </c>
      <c r="I14" s="150">
        <f>IF('Raw Data Totals'!I27 &lt;&gt; 0, ('Raw Data Totals'!I14-'Raw Data Totals'!I27)/'Raw Data Totals'!I27, ('Raw Data Totals'!I14)/1)</f>
        <v>1.4375</v>
      </c>
      <c r="J14" s="150">
        <f>IF('Raw Data Totals'!J27 &lt;&gt; 0, ('Raw Data Totals'!J14-'Raw Data Totals'!J27)/'Raw Data Totals'!J27, ('Raw Data Totals'!J14)/1)</f>
        <v>-0.60810810810810811</v>
      </c>
      <c r="K14" s="150">
        <f>IF('Raw Data Totals'!K27 &lt;&gt; 0, ('Raw Data Totals'!K14-'Raw Data Totals'!K27)/'Raw Data Totals'!K27, ('Raw Data Totals'!K14)/1)</f>
        <v>12.75</v>
      </c>
      <c r="L14" s="150">
        <f>IF('Raw Data Totals'!L27 &lt;&gt; 0, ('Raw Data Totals'!L14-'Raw Data Totals'!L27)/'Raw Data Totals'!L27, ('Raw Data Totals'!L14)/1)</f>
        <v>-0.65625</v>
      </c>
      <c r="M14" s="150">
        <v>0</v>
      </c>
      <c r="N14" s="11" t="s">
        <v>6</v>
      </c>
      <c r="O14" s="130" t="s">
        <v>8</v>
      </c>
      <c r="U14" s="1" t="s">
        <v>13</v>
      </c>
      <c r="V14">
        <v>2.203762638521793</v>
      </c>
      <c r="W14">
        <v>2.382306717958349</v>
      </c>
      <c r="X14">
        <v>2.6516333935695227</v>
      </c>
      <c r="Y14">
        <v>2.1389911840196412</v>
      </c>
      <c r="Z14">
        <v>2.0545905978306847</v>
      </c>
      <c r="AA14">
        <v>3.0254610857294337</v>
      </c>
      <c r="AB14">
        <v>3.2187419628870453</v>
      </c>
    </row>
    <row r="15" spans="1:30" x14ac:dyDescent="0.35">
      <c r="A15" s="182" t="s">
        <v>5</v>
      </c>
      <c r="B15" s="162" t="s">
        <v>7</v>
      </c>
      <c r="C15" s="17" t="s">
        <v>22</v>
      </c>
      <c r="D15" s="151">
        <f>IF('Raw Data Totals'!D28 &lt;&gt; 0, ('Raw Data Totals'!D15-'Raw Data Totals'!D28)/'Raw Data Totals'!D28, ('Raw Data Totals'!D15)/1)</f>
        <v>4.8192771084337352E-2</v>
      </c>
      <c r="E15" s="151">
        <f>IF('Raw Data Totals'!E28 &lt;&gt; 0, ('Raw Data Totals'!E15-'Raw Data Totals'!E28)/'Raw Data Totals'!E28, ('Raw Data Totals'!E15)/1)</f>
        <v>2</v>
      </c>
      <c r="F15" s="151">
        <f>IF('Raw Data Totals'!F28 &lt;&gt; 0, ('Raw Data Totals'!F15-'Raw Data Totals'!F28)/'Raw Data Totals'!F28, ('Raw Data Totals'!F15)/1)</f>
        <v>-0.625</v>
      </c>
      <c r="G15" s="151">
        <f>IF('Raw Data Totals'!G28 &lt;&gt; 0, ('Raw Data Totals'!G15-'Raw Data Totals'!G28)/'Raw Data Totals'!G28, ('Raw Data Totals'!G15)/1)</f>
        <v>0.75</v>
      </c>
      <c r="H15" s="151">
        <f>IF('Raw Data Totals'!H28 &lt;&gt; 0, ('Raw Data Totals'!H15-'Raw Data Totals'!H28)/'Raw Data Totals'!H28, ('Raw Data Totals'!H15)/1)</f>
        <v>4</v>
      </c>
      <c r="I15" s="151">
        <f>IF('Raw Data Totals'!I28 &lt;&gt; 0, ('Raw Data Totals'!I15-'Raw Data Totals'!I28)/'Raw Data Totals'!I28, ('Raw Data Totals'!I15)/1)</f>
        <v>0.66666666666666663</v>
      </c>
      <c r="J15" s="151">
        <f>IF('Raw Data Totals'!J28 &lt;&gt; 0, ('Raw Data Totals'!J15-'Raw Data Totals'!J28)/'Raw Data Totals'!J28, ('Raw Data Totals'!J15)/1)</f>
        <v>0.66666666666666663</v>
      </c>
      <c r="K15" s="151">
        <f>IF('Raw Data Totals'!K28 &lt;&gt; 0, ('Raw Data Totals'!K15-'Raw Data Totals'!K28)/'Raw Data Totals'!K28, ('Raw Data Totals'!K15)/1)</f>
        <v>1</v>
      </c>
      <c r="L15" s="151">
        <f>IF('Raw Data Totals'!L28 &lt;&gt; 0, ('Raw Data Totals'!L15-'Raw Data Totals'!L28)/'Raw Data Totals'!L28, ('Raw Data Totals'!L15)/1)</f>
        <v>2</v>
      </c>
      <c r="M15" s="151">
        <v>0</v>
      </c>
      <c r="N15" s="18" t="s">
        <v>5</v>
      </c>
      <c r="O15" s="131" t="s">
        <v>7</v>
      </c>
      <c r="U15" s="1" t="s">
        <v>14</v>
      </c>
      <c r="V15">
        <v>2.4033116094490357</v>
      </c>
      <c r="W15">
        <v>2.2717402198242835</v>
      </c>
      <c r="X15">
        <v>2.1412471825694892</v>
      </c>
      <c r="Y15">
        <v>1.6838031885124072</v>
      </c>
      <c r="Z15">
        <v>1.489227866016666</v>
      </c>
      <c r="AA15">
        <v>1.3651083874366619</v>
      </c>
      <c r="AB15">
        <v>2.0667094683420428</v>
      </c>
    </row>
    <row r="16" spans="1:30" x14ac:dyDescent="0.35">
      <c r="A16" s="182"/>
      <c r="B16" s="163"/>
      <c r="C16" s="17" t="s">
        <v>23</v>
      </c>
      <c r="D16" s="151">
        <f>IF('Raw Data Totals'!D29 &lt;&gt; 0, ('Raw Data Totals'!D16-'Raw Data Totals'!D29)/'Raw Data Totals'!D29, ('Raw Data Totals'!D16)/1)</f>
        <v>0.19148936170212766</v>
      </c>
      <c r="E16" s="151">
        <f>IF('Raw Data Totals'!E29 &lt;&gt; 0, ('Raw Data Totals'!E16-'Raw Data Totals'!E29)/'Raw Data Totals'!E29, ('Raw Data Totals'!E16)/1)</f>
        <v>0</v>
      </c>
      <c r="F16" s="151">
        <f>IF('Raw Data Totals'!F29 &lt;&gt; 0, ('Raw Data Totals'!F16-'Raw Data Totals'!F29)/'Raw Data Totals'!F29, ('Raw Data Totals'!F16)/1)</f>
        <v>-1</v>
      </c>
      <c r="G16" s="151">
        <f>IF('Raw Data Totals'!G29 &lt;&gt; 0, ('Raw Data Totals'!G16-'Raw Data Totals'!G29)/'Raw Data Totals'!G29, ('Raw Data Totals'!G16)/1)</f>
        <v>1</v>
      </c>
      <c r="H16" s="151">
        <f>IF('Raw Data Totals'!H29 &lt;&gt; 0, ('Raw Data Totals'!H16-'Raw Data Totals'!H29)/'Raw Data Totals'!H29, ('Raw Data Totals'!H16)/1)</f>
        <v>0</v>
      </c>
      <c r="I16" s="151">
        <f>IF('Raw Data Totals'!I29 &lt;&gt; 0, ('Raw Data Totals'!I16-'Raw Data Totals'!I29)/'Raw Data Totals'!I29, ('Raw Data Totals'!I16)/1)</f>
        <v>3</v>
      </c>
      <c r="J16" s="151">
        <f>IF('Raw Data Totals'!J29 &lt;&gt; 0, ('Raw Data Totals'!J16-'Raw Data Totals'!J29)/'Raw Data Totals'!J29, ('Raw Data Totals'!J16)/1)</f>
        <v>0</v>
      </c>
      <c r="K16" s="151">
        <f>IF('Raw Data Totals'!K29 &lt;&gt; 0, ('Raw Data Totals'!K16-'Raw Data Totals'!K29)/'Raw Data Totals'!K29, ('Raw Data Totals'!K16)/1)</f>
        <v>0</v>
      </c>
      <c r="L16" s="151">
        <f>IF('Raw Data Totals'!L29 &lt;&gt; 0, ('Raw Data Totals'!L16-'Raw Data Totals'!L29)/'Raw Data Totals'!L29, ('Raw Data Totals'!L16)/1)</f>
        <v>-1</v>
      </c>
      <c r="M16" s="151">
        <v>0</v>
      </c>
      <c r="N16" s="18" t="s">
        <v>5</v>
      </c>
      <c r="O16" s="131" t="s">
        <v>7</v>
      </c>
      <c r="U16" s="1" t="s">
        <v>15</v>
      </c>
      <c r="V16">
        <v>0.42444534632034836</v>
      </c>
      <c r="W16">
        <v>0.49000623031976154</v>
      </c>
      <c r="X16">
        <v>0.86631589530480391</v>
      </c>
      <c r="Y16">
        <v>0.97018024752887566</v>
      </c>
      <c r="Z16">
        <v>0.98800572566181188</v>
      </c>
      <c r="AA16">
        <v>1.4157821422461858</v>
      </c>
      <c r="AB16">
        <v>1.5470252295236075</v>
      </c>
    </row>
    <row r="17" spans="1:28" x14ac:dyDescent="0.35">
      <c r="A17" s="182"/>
      <c r="B17" s="163"/>
      <c r="C17" s="17" t="s">
        <v>24</v>
      </c>
      <c r="D17" s="151">
        <f>IF('Raw Data Totals'!D30 &lt;&gt; 0, ('Raw Data Totals'!D17-'Raw Data Totals'!D30)/'Raw Data Totals'!D30, ('Raw Data Totals'!D17)/1)</f>
        <v>0.23529411764705882</v>
      </c>
      <c r="E17" s="151">
        <f>IF('Raw Data Totals'!E30 &lt;&gt; 0, ('Raw Data Totals'!E17-'Raw Data Totals'!E30)/'Raw Data Totals'!E30, ('Raw Data Totals'!E17)/1)</f>
        <v>0</v>
      </c>
      <c r="F17" s="151">
        <f>IF('Raw Data Totals'!F30 &lt;&gt; 0, ('Raw Data Totals'!F17-'Raw Data Totals'!F30)/'Raw Data Totals'!F30, ('Raw Data Totals'!F17)/1)</f>
        <v>-0.25</v>
      </c>
      <c r="G17" s="151">
        <f>IF('Raw Data Totals'!G30 &lt;&gt; 0, ('Raw Data Totals'!G17-'Raw Data Totals'!G30)/'Raw Data Totals'!G30, ('Raw Data Totals'!G17)/1)</f>
        <v>0</v>
      </c>
      <c r="H17" s="151">
        <f>IF('Raw Data Totals'!H30 &lt;&gt; 0, ('Raw Data Totals'!H17-'Raw Data Totals'!H30)/'Raw Data Totals'!H30, ('Raw Data Totals'!H17)/1)</f>
        <v>-1</v>
      </c>
      <c r="I17" s="151">
        <f>IF('Raw Data Totals'!I30 &lt;&gt; 0, ('Raw Data Totals'!I17-'Raw Data Totals'!I30)/'Raw Data Totals'!I30, ('Raw Data Totals'!I17)/1)</f>
        <v>0</v>
      </c>
      <c r="J17" s="151">
        <f>IF('Raw Data Totals'!J30 &lt;&gt; 0, ('Raw Data Totals'!J17-'Raw Data Totals'!J30)/'Raw Data Totals'!J30, ('Raw Data Totals'!J17)/1)</f>
        <v>1</v>
      </c>
      <c r="K17" s="151">
        <f>IF('Raw Data Totals'!K30 &lt;&gt; 0, ('Raw Data Totals'!K17-'Raw Data Totals'!K30)/'Raw Data Totals'!K30, ('Raw Data Totals'!K17)/1)</f>
        <v>0</v>
      </c>
      <c r="L17" s="151">
        <f>IF('Raw Data Totals'!L30 &lt;&gt; 0, ('Raw Data Totals'!L17-'Raw Data Totals'!L30)/'Raw Data Totals'!L30, ('Raw Data Totals'!L17)/1)</f>
        <v>2</v>
      </c>
      <c r="M17" s="151">
        <v>0</v>
      </c>
      <c r="N17" s="18" t="s">
        <v>5</v>
      </c>
      <c r="O17" s="131" t="s">
        <v>7</v>
      </c>
      <c r="U17" s="1" t="s">
        <v>16</v>
      </c>
      <c r="V17">
        <v>2.5747903572542108</v>
      </c>
      <c r="W17">
        <v>1.6046459539884323</v>
      </c>
      <c r="X17">
        <v>1.1384213261112532</v>
      </c>
      <c r="Y17">
        <v>1.4976958525345563</v>
      </c>
      <c r="Z17">
        <v>0.30217504678345053</v>
      </c>
      <c r="AA17">
        <v>1.1928247006468824</v>
      </c>
      <c r="AB17">
        <v>2.3877529431321767</v>
      </c>
    </row>
    <row r="18" spans="1:28" x14ac:dyDescent="0.35">
      <c r="A18" s="182"/>
      <c r="B18" s="163"/>
      <c r="C18" s="17" t="s">
        <v>25</v>
      </c>
      <c r="D18" s="151">
        <f>IF('Raw Data Totals'!D31 &lt;&gt; 0, ('Raw Data Totals'!D18-'Raw Data Totals'!D31)/'Raw Data Totals'!D31, ('Raw Data Totals'!D18)/1)</f>
        <v>-0.1111111111111111</v>
      </c>
      <c r="E18" s="151">
        <f>IF('Raw Data Totals'!E31 &lt;&gt; 0, ('Raw Data Totals'!E18-'Raw Data Totals'!E31)/'Raw Data Totals'!E31, ('Raw Data Totals'!E18)/1)</f>
        <v>1.5</v>
      </c>
      <c r="F18" s="151">
        <f>IF('Raw Data Totals'!F31 &lt;&gt; 0, ('Raw Data Totals'!F18-'Raw Data Totals'!F31)/'Raw Data Totals'!F31, ('Raw Data Totals'!F18)/1)</f>
        <v>-0.25</v>
      </c>
      <c r="G18" s="151">
        <f>IF('Raw Data Totals'!G31 &lt;&gt; 0, ('Raw Data Totals'!G18-'Raw Data Totals'!G31)/'Raw Data Totals'!G31, ('Raw Data Totals'!G18)/1)</f>
        <v>0.5</v>
      </c>
      <c r="H18" s="151">
        <f>IF('Raw Data Totals'!H31 &lt;&gt; 0, ('Raw Data Totals'!H18-'Raw Data Totals'!H31)/'Raw Data Totals'!H31, ('Raw Data Totals'!H18)/1)</f>
        <v>-0.66666666666666663</v>
      </c>
      <c r="I18" s="151">
        <f>IF('Raw Data Totals'!I31 &lt;&gt; 0, ('Raw Data Totals'!I18-'Raw Data Totals'!I31)/'Raw Data Totals'!I31, ('Raw Data Totals'!I18)/1)</f>
        <v>2.6666666666666665</v>
      </c>
      <c r="J18" s="151">
        <f>IF('Raw Data Totals'!J31 &lt;&gt; 0, ('Raw Data Totals'!J18-'Raw Data Totals'!J31)/'Raw Data Totals'!J31, ('Raw Data Totals'!J18)/1)</f>
        <v>0</v>
      </c>
      <c r="K18" s="151">
        <f>IF('Raw Data Totals'!K31 &lt;&gt; 0, ('Raw Data Totals'!K18-'Raw Data Totals'!K31)/'Raw Data Totals'!K31, ('Raw Data Totals'!K18)/1)</f>
        <v>-0.25</v>
      </c>
      <c r="L18" s="151">
        <f>IF('Raw Data Totals'!L31 &lt;&gt; 0, ('Raw Data Totals'!L18-'Raw Data Totals'!L31)/'Raw Data Totals'!L31, ('Raw Data Totals'!L18)/1)</f>
        <v>0</v>
      </c>
      <c r="M18" s="151">
        <v>0</v>
      </c>
      <c r="N18" s="18" t="s">
        <v>5</v>
      </c>
      <c r="O18" s="131" t="s">
        <v>7</v>
      </c>
      <c r="U18" s="1" t="s">
        <v>17</v>
      </c>
      <c r="V18">
        <v>1.7093849354319572</v>
      </c>
      <c r="W18">
        <v>1.6214825534651842</v>
      </c>
      <c r="X18">
        <v>1.4772525886731256</v>
      </c>
      <c r="Y18">
        <v>1.2661385891598569</v>
      </c>
      <c r="Z18">
        <v>1.0606060606060614</v>
      </c>
      <c r="AA18">
        <v>1.8996599261345024</v>
      </c>
      <c r="AB18">
        <v>2.148936297465895</v>
      </c>
    </row>
    <row r="19" spans="1:28" x14ac:dyDescent="0.35">
      <c r="A19" s="182"/>
      <c r="B19" s="163"/>
      <c r="C19" s="17" t="s">
        <v>26</v>
      </c>
      <c r="D19" s="151">
        <f>IF('Raw Data Totals'!D32 &lt;&gt; 0, ('Raw Data Totals'!D19-'Raw Data Totals'!D32)/'Raw Data Totals'!D32, ('Raw Data Totals'!D19)/1)</f>
        <v>0.33333333333333331</v>
      </c>
      <c r="E19" s="151">
        <f>IF('Raw Data Totals'!E32 &lt;&gt; 0, ('Raw Data Totals'!E19-'Raw Data Totals'!E32)/'Raw Data Totals'!E32, ('Raw Data Totals'!E19)/1)</f>
        <v>0</v>
      </c>
      <c r="F19" s="151">
        <f>IF('Raw Data Totals'!F32 &lt;&gt; 0, ('Raw Data Totals'!F19-'Raw Data Totals'!F32)/'Raw Data Totals'!F32, ('Raw Data Totals'!F19)/1)</f>
        <v>-1</v>
      </c>
      <c r="G19" s="151">
        <f>IF('Raw Data Totals'!G32 &lt;&gt; 0, ('Raw Data Totals'!G19-'Raw Data Totals'!G32)/'Raw Data Totals'!G32, ('Raw Data Totals'!G19)/1)</f>
        <v>0</v>
      </c>
      <c r="H19" s="151">
        <f>IF('Raw Data Totals'!H32 &lt;&gt; 0, ('Raw Data Totals'!H19-'Raw Data Totals'!H32)/'Raw Data Totals'!H32, ('Raw Data Totals'!H19)/1)</f>
        <v>0</v>
      </c>
      <c r="I19" s="151">
        <f>IF('Raw Data Totals'!I32 &lt;&gt; 0, ('Raw Data Totals'!I19-'Raw Data Totals'!I32)/'Raw Data Totals'!I32, ('Raw Data Totals'!I19)/1)</f>
        <v>0</v>
      </c>
      <c r="J19" s="151">
        <f>IF('Raw Data Totals'!J32 &lt;&gt; 0, ('Raw Data Totals'!J19-'Raw Data Totals'!J32)/'Raw Data Totals'!J32, ('Raw Data Totals'!J19)/1)</f>
        <v>0</v>
      </c>
      <c r="K19" s="151">
        <f>IF('Raw Data Totals'!K32 &lt;&gt; 0, ('Raw Data Totals'!K19-'Raw Data Totals'!K32)/'Raw Data Totals'!K32, ('Raw Data Totals'!K19)/1)</f>
        <v>0</v>
      </c>
      <c r="L19" s="151">
        <f>IF('Raw Data Totals'!L32 &lt;&gt; 0, ('Raw Data Totals'!L19-'Raw Data Totals'!L32)/'Raw Data Totals'!L32, ('Raw Data Totals'!L19)/1)</f>
        <v>0</v>
      </c>
      <c r="M19" s="151">
        <v>0</v>
      </c>
      <c r="N19" s="18" t="s">
        <v>5</v>
      </c>
      <c r="O19" s="131" t="s">
        <v>7</v>
      </c>
      <c r="U19" s="1" t="s">
        <v>18</v>
      </c>
      <c r="V19">
        <v>0.35209764841448798</v>
      </c>
      <c r="W19">
        <v>0.1373678950390135</v>
      </c>
      <c r="X19">
        <v>0.12189010354288876</v>
      </c>
      <c r="Y19">
        <v>0.38473774629366098</v>
      </c>
      <c r="Z19">
        <v>0.3088923820631107</v>
      </c>
      <c r="AA19">
        <v>1.2123867336751264</v>
      </c>
      <c r="AB19">
        <v>1.4721490379212565</v>
      </c>
    </row>
    <row r="20" spans="1:28" ht="15" thickBot="1" x14ac:dyDescent="0.4">
      <c r="A20" s="182"/>
      <c r="B20" s="163"/>
      <c r="C20" s="17" t="s">
        <v>27</v>
      </c>
      <c r="D20" s="151">
        <f>IF('Raw Data Totals'!D33 &lt;&gt; 0, ('Raw Data Totals'!D20-'Raw Data Totals'!D33)/'Raw Data Totals'!D33, ('Raw Data Totals'!D20)/1)</f>
        <v>1.5714285714285714</v>
      </c>
      <c r="E20" s="151">
        <f>IF('Raw Data Totals'!E33 &lt;&gt; 0, ('Raw Data Totals'!E20-'Raw Data Totals'!E33)/'Raw Data Totals'!E33, ('Raw Data Totals'!E20)/1)</f>
        <v>0</v>
      </c>
      <c r="F20" s="151">
        <f>IF('Raw Data Totals'!F33 &lt;&gt; 0, ('Raw Data Totals'!F20-'Raw Data Totals'!F33)/'Raw Data Totals'!F33, ('Raw Data Totals'!F20)/1)</f>
        <v>0</v>
      </c>
      <c r="G20" s="151">
        <f>IF('Raw Data Totals'!G33 &lt;&gt; 0, ('Raw Data Totals'!G20-'Raw Data Totals'!G33)/'Raw Data Totals'!G33, ('Raw Data Totals'!G20)/1)</f>
        <v>0</v>
      </c>
      <c r="H20" s="151">
        <f>IF('Raw Data Totals'!H33 &lt;&gt; 0, ('Raw Data Totals'!H20-'Raw Data Totals'!H33)/'Raw Data Totals'!H33, ('Raw Data Totals'!H20)/1)</f>
        <v>1</v>
      </c>
      <c r="I20" s="151">
        <f>IF('Raw Data Totals'!I33 &lt;&gt; 0, ('Raw Data Totals'!I20-'Raw Data Totals'!I33)/'Raw Data Totals'!I33, ('Raw Data Totals'!I20)/1)</f>
        <v>0</v>
      </c>
      <c r="J20" s="151">
        <f>IF('Raw Data Totals'!J33 &lt;&gt; 0, ('Raw Data Totals'!J20-'Raw Data Totals'!J33)/'Raw Data Totals'!J33, ('Raw Data Totals'!J20)/1)</f>
        <v>0</v>
      </c>
      <c r="K20" s="151">
        <f>IF('Raw Data Totals'!K33 &lt;&gt; 0, ('Raw Data Totals'!K20-'Raw Data Totals'!K33)/'Raw Data Totals'!K33, ('Raw Data Totals'!K20)/1)</f>
        <v>-1</v>
      </c>
      <c r="L20" s="151">
        <f>IF('Raw Data Totals'!L33 &lt;&gt; 0, ('Raw Data Totals'!L20-'Raw Data Totals'!L33)/'Raw Data Totals'!L33, ('Raw Data Totals'!L20)/1)</f>
        <v>0</v>
      </c>
      <c r="M20" s="151">
        <v>0</v>
      </c>
      <c r="N20" s="18" t="s">
        <v>5</v>
      </c>
      <c r="O20" s="131" t="s">
        <v>7</v>
      </c>
    </row>
    <row r="21" spans="1:28" x14ac:dyDescent="0.35">
      <c r="A21" s="182"/>
      <c r="B21" s="162" t="s">
        <v>8</v>
      </c>
      <c r="C21" s="17" t="s">
        <v>28</v>
      </c>
      <c r="D21" s="151">
        <f>IF('Raw Data Totals'!D34 &lt;&gt; 0, ('Raw Data Totals'!D21-'Raw Data Totals'!D34)/'Raw Data Totals'!D34, ('Raw Data Totals'!D21)/1)</f>
        <v>0.12307692307692308</v>
      </c>
      <c r="E21" s="151">
        <f>IF('Raw Data Totals'!E34 &lt;&gt; 0, ('Raw Data Totals'!E21-'Raw Data Totals'!E34)/'Raw Data Totals'!E34, ('Raw Data Totals'!E21)/1)</f>
        <v>0.85135135135135132</v>
      </c>
      <c r="F21" s="151">
        <f>IF('Raw Data Totals'!F34 &lt;&gt; 0, ('Raw Data Totals'!F21-'Raw Data Totals'!F34)/'Raw Data Totals'!F34, ('Raw Data Totals'!F21)/1)</f>
        <v>0.56470588235294117</v>
      </c>
      <c r="G21" s="151">
        <f>IF('Raw Data Totals'!G34 &lt;&gt; 0, ('Raw Data Totals'!G21-'Raw Data Totals'!G34)/'Raw Data Totals'!G34, ('Raw Data Totals'!G21)/1)</f>
        <v>-0.15609756097560976</v>
      </c>
      <c r="H21" s="151">
        <f>IF('Raw Data Totals'!H34 &lt;&gt; 0, ('Raw Data Totals'!H21-'Raw Data Totals'!H34)/'Raw Data Totals'!H34, ('Raw Data Totals'!H21)/1)</f>
        <v>-6.1224489795918366E-2</v>
      </c>
      <c r="I21" s="151">
        <f>IF('Raw Data Totals'!I34 &lt;&gt; 0, ('Raw Data Totals'!I21-'Raw Data Totals'!I34)/'Raw Data Totals'!I34, ('Raw Data Totals'!I21)/1)</f>
        <v>-0.11382113821138211</v>
      </c>
      <c r="J21" s="151">
        <f>IF('Raw Data Totals'!J34 &lt;&gt; 0, ('Raw Data Totals'!J21-'Raw Data Totals'!J34)/'Raw Data Totals'!J34, ('Raw Data Totals'!J21)/1)</f>
        <v>1.7094017094017096E-2</v>
      </c>
      <c r="K21" s="151">
        <f>IF('Raw Data Totals'!K34 &lt;&gt; 0, ('Raw Data Totals'!K21-'Raw Data Totals'!K34)/'Raw Data Totals'!K34, ('Raw Data Totals'!K21)/1)</f>
        <v>1.7307692307692308</v>
      </c>
      <c r="L21" s="151">
        <f>IF('Raw Data Totals'!L34 &lt;&gt; 0, ('Raw Data Totals'!L21-'Raw Data Totals'!L34)/'Raw Data Totals'!L34, ('Raw Data Totals'!L21)/1)</f>
        <v>0.140625</v>
      </c>
      <c r="M21" s="151">
        <v>0</v>
      </c>
      <c r="N21" s="18" t="s">
        <v>5</v>
      </c>
      <c r="O21" s="131" t="s">
        <v>8</v>
      </c>
    </row>
    <row r="22" spans="1:28" x14ac:dyDescent="0.35">
      <c r="A22" s="182"/>
      <c r="B22" s="163"/>
      <c r="C22" s="17" t="s">
        <v>29</v>
      </c>
      <c r="D22" s="151">
        <f>IF('Raw Data Totals'!D35 &lt;&gt; 0, ('Raw Data Totals'!D22-'Raw Data Totals'!D35)/'Raw Data Totals'!D35, ('Raw Data Totals'!D22)/1)</f>
        <v>0.18120805369127516</v>
      </c>
      <c r="E22" s="151">
        <f>IF('Raw Data Totals'!E35 &lt;&gt; 0, ('Raw Data Totals'!E22-'Raw Data Totals'!E35)/'Raw Data Totals'!E35, ('Raw Data Totals'!E22)/1)</f>
        <v>0.78947368421052633</v>
      </c>
      <c r="F22" s="151">
        <f>IF('Raw Data Totals'!F35 &lt;&gt; 0, ('Raw Data Totals'!F22-'Raw Data Totals'!F35)/'Raw Data Totals'!F35, ('Raw Data Totals'!F22)/1)</f>
        <v>1.125</v>
      </c>
      <c r="G22" s="151">
        <f>IF('Raw Data Totals'!G35 &lt;&gt; 0, ('Raw Data Totals'!G22-'Raw Data Totals'!G35)/'Raw Data Totals'!G35, ('Raw Data Totals'!G22)/1)</f>
        <v>-0.38461538461538464</v>
      </c>
      <c r="H22" s="151">
        <f>IF('Raw Data Totals'!H35 &lt;&gt; 0, ('Raw Data Totals'!H22-'Raw Data Totals'!H35)/'Raw Data Totals'!H35, ('Raw Data Totals'!H22)/1)</f>
        <v>0.1875</v>
      </c>
      <c r="I22" s="151">
        <f>IF('Raw Data Totals'!I35 &lt;&gt; 0, ('Raw Data Totals'!I22-'Raw Data Totals'!I35)/'Raw Data Totals'!I35, ('Raw Data Totals'!I22)/1)</f>
        <v>-0.34693877551020408</v>
      </c>
      <c r="J22" s="151">
        <f>IF('Raw Data Totals'!J35 &lt;&gt; 0, ('Raw Data Totals'!J22-'Raw Data Totals'!J35)/'Raw Data Totals'!J35, ('Raw Data Totals'!J22)/1)</f>
        <v>0.88235294117647056</v>
      </c>
      <c r="K22" s="151">
        <f>IF('Raw Data Totals'!K35 &lt;&gt; 0, ('Raw Data Totals'!K22-'Raw Data Totals'!K35)/'Raw Data Totals'!K35, ('Raw Data Totals'!K22)/1)</f>
        <v>4.5</v>
      </c>
      <c r="L22" s="151">
        <f>IF('Raw Data Totals'!L35 &lt;&gt; 0, ('Raw Data Totals'!L22-'Raw Data Totals'!L35)/'Raw Data Totals'!L35, ('Raw Data Totals'!L22)/1)</f>
        <v>-0.1</v>
      </c>
      <c r="M22" s="151">
        <v>0</v>
      </c>
      <c r="N22" s="18" t="s">
        <v>5</v>
      </c>
      <c r="O22" s="131" t="s">
        <v>8</v>
      </c>
    </row>
    <row r="23" spans="1:28" x14ac:dyDescent="0.35">
      <c r="A23" s="182"/>
      <c r="B23" s="163"/>
      <c r="C23" s="17" t="s">
        <v>30</v>
      </c>
      <c r="D23" s="151">
        <f>IF('Raw Data Totals'!D36 &lt;&gt; 0, ('Raw Data Totals'!D23-'Raw Data Totals'!D36)/'Raw Data Totals'!D36, ('Raw Data Totals'!D23)/1)</f>
        <v>-0.35443037974683544</v>
      </c>
      <c r="E23" s="151">
        <f>IF('Raw Data Totals'!E36 &lt;&gt; 0, ('Raw Data Totals'!E23-'Raw Data Totals'!E36)/'Raw Data Totals'!E36, ('Raw Data Totals'!E23)/1)</f>
        <v>1.3333333333333333</v>
      </c>
      <c r="F23" s="151">
        <f>IF('Raw Data Totals'!F36 &lt;&gt; 0, ('Raw Data Totals'!F23-'Raw Data Totals'!F36)/'Raw Data Totals'!F36, ('Raw Data Totals'!F23)/1)</f>
        <v>-0.44444444444444442</v>
      </c>
      <c r="G23" s="151">
        <f>IF('Raw Data Totals'!G36 &lt;&gt; 0, ('Raw Data Totals'!G23-'Raw Data Totals'!G36)/'Raw Data Totals'!G36, ('Raw Data Totals'!G23)/1)</f>
        <v>-0.5625</v>
      </c>
      <c r="H23" s="151">
        <f>IF('Raw Data Totals'!H36 &lt;&gt; 0, ('Raw Data Totals'!H23-'Raw Data Totals'!H36)/'Raw Data Totals'!H36, ('Raw Data Totals'!H23)/1)</f>
        <v>0</v>
      </c>
      <c r="I23" s="151">
        <f>IF('Raw Data Totals'!I36 &lt;&gt; 0, ('Raw Data Totals'!I23-'Raw Data Totals'!I36)/'Raw Data Totals'!I36, ('Raw Data Totals'!I23)/1)</f>
        <v>-0.30769230769230771</v>
      </c>
      <c r="J23" s="151">
        <f>IF('Raw Data Totals'!J36 &lt;&gt; 0, ('Raw Data Totals'!J23-'Raw Data Totals'!J36)/'Raw Data Totals'!J36, ('Raw Data Totals'!J23)/1)</f>
        <v>-0.75555555555555554</v>
      </c>
      <c r="K23" s="151">
        <f>IF('Raw Data Totals'!K36 &lt;&gt; 0, ('Raw Data Totals'!K23-'Raw Data Totals'!K36)/'Raw Data Totals'!K36, ('Raw Data Totals'!K23)/1)</f>
        <v>0.44444444444444442</v>
      </c>
      <c r="L23" s="151">
        <f>IF('Raw Data Totals'!L36 &lt;&gt; 0, ('Raw Data Totals'!L23-'Raw Data Totals'!L36)/'Raw Data Totals'!L36, ('Raw Data Totals'!L23)/1)</f>
        <v>-0.2608695652173913</v>
      </c>
      <c r="M23" s="151">
        <v>0</v>
      </c>
      <c r="N23" s="18" t="s">
        <v>5</v>
      </c>
      <c r="O23" s="131" t="s">
        <v>8</v>
      </c>
    </row>
    <row r="24" spans="1:28" x14ac:dyDescent="0.35">
      <c r="A24" s="182"/>
      <c r="B24" s="163"/>
      <c r="C24" s="17" t="s">
        <v>31</v>
      </c>
      <c r="D24" s="151">
        <f>IF('Raw Data Totals'!D37 &lt;&gt; 0, ('Raw Data Totals'!D24-'Raw Data Totals'!D37)/'Raw Data Totals'!D37, ('Raw Data Totals'!D24)/1)</f>
        <v>2.75</v>
      </c>
      <c r="E24" s="151">
        <f>IF('Raw Data Totals'!E37 &lt;&gt; 0, ('Raw Data Totals'!E24-'Raw Data Totals'!E37)/'Raw Data Totals'!E37, ('Raw Data Totals'!E24)/1)</f>
        <v>4</v>
      </c>
      <c r="F24" s="151">
        <f>IF('Raw Data Totals'!F37 &lt;&gt; 0, ('Raw Data Totals'!F24-'Raw Data Totals'!F37)/'Raw Data Totals'!F37, ('Raw Data Totals'!F24)/1)</f>
        <v>7</v>
      </c>
      <c r="G24" s="151">
        <f>IF('Raw Data Totals'!G37 &lt;&gt; 0, ('Raw Data Totals'!G24-'Raw Data Totals'!G37)/'Raw Data Totals'!G37, ('Raw Data Totals'!G24)/1)</f>
        <v>0</v>
      </c>
      <c r="H24" s="151">
        <f>IF('Raw Data Totals'!H37 &lt;&gt; 0, ('Raw Data Totals'!H24-'Raw Data Totals'!H37)/'Raw Data Totals'!H37, ('Raw Data Totals'!H24)/1)</f>
        <v>-1</v>
      </c>
      <c r="I24" s="151">
        <f>IF('Raw Data Totals'!I37 &lt;&gt; 0, ('Raw Data Totals'!I24-'Raw Data Totals'!I37)/'Raw Data Totals'!I37, ('Raw Data Totals'!I24)/1)</f>
        <v>0</v>
      </c>
      <c r="J24" s="151">
        <f>IF('Raw Data Totals'!J37 &lt;&gt; 0, ('Raw Data Totals'!J24-'Raw Data Totals'!J37)/'Raw Data Totals'!J37, ('Raw Data Totals'!J24)/1)</f>
        <v>-1</v>
      </c>
      <c r="K24" s="151">
        <f>IF('Raw Data Totals'!K37 &lt;&gt; 0, ('Raw Data Totals'!K24-'Raw Data Totals'!K37)/'Raw Data Totals'!K37, ('Raw Data Totals'!K24)/1)</f>
        <v>1</v>
      </c>
      <c r="L24" s="151">
        <f>IF('Raw Data Totals'!L37 &lt;&gt; 0, ('Raw Data Totals'!L24-'Raw Data Totals'!L37)/'Raw Data Totals'!L37, ('Raw Data Totals'!L24)/1)</f>
        <v>-1</v>
      </c>
      <c r="M24" s="151">
        <v>0</v>
      </c>
      <c r="N24" s="18" t="s">
        <v>5</v>
      </c>
      <c r="O24" s="131" t="s">
        <v>8</v>
      </c>
    </row>
    <row r="25" spans="1:28" x14ac:dyDescent="0.35">
      <c r="A25" s="182"/>
      <c r="B25" s="163"/>
      <c r="C25" s="17" t="s">
        <v>32</v>
      </c>
      <c r="D25" s="151">
        <f>IF('Raw Data Totals'!D38 &lt;&gt; 0, ('Raw Data Totals'!D25-'Raw Data Totals'!D38)/'Raw Data Totals'!D38, ('Raw Data Totals'!D25)/1)</f>
        <v>-8.0369843527738266E-2</v>
      </c>
      <c r="E25" s="151">
        <f>IF('Raw Data Totals'!E38 &lt;&gt; 0, ('Raw Data Totals'!E25-'Raw Data Totals'!E38)/'Raw Data Totals'!E38, ('Raw Data Totals'!E25)/1)</f>
        <v>0.16262975778546712</v>
      </c>
      <c r="F25" s="151">
        <f>IF('Raw Data Totals'!F38 &lt;&gt; 0, ('Raw Data Totals'!F25-'Raw Data Totals'!F38)/'Raw Data Totals'!F38, ('Raw Data Totals'!F25)/1)</f>
        <v>0.25</v>
      </c>
      <c r="G25" s="151">
        <f>IF('Raw Data Totals'!G38 &lt;&gt; 0, ('Raw Data Totals'!G25-'Raw Data Totals'!G38)/'Raw Data Totals'!G38, ('Raw Data Totals'!G25)/1)</f>
        <v>-0.19939577039274925</v>
      </c>
      <c r="H25" s="151">
        <f>IF('Raw Data Totals'!H38 &lt;&gt; 0, ('Raw Data Totals'!H25-'Raw Data Totals'!H38)/'Raw Data Totals'!H38, ('Raw Data Totals'!H25)/1)</f>
        <v>-7.7220077220077218E-2</v>
      </c>
      <c r="I25" s="151">
        <f>IF('Raw Data Totals'!I38 &lt;&gt; 0, ('Raw Data Totals'!I25-'Raw Data Totals'!I38)/'Raw Data Totals'!I38, ('Raw Data Totals'!I25)/1)</f>
        <v>-0.11946902654867257</v>
      </c>
      <c r="J25" s="151">
        <f>IF('Raw Data Totals'!J38 &lt;&gt; 0, ('Raw Data Totals'!J25-'Raw Data Totals'!J38)/'Raw Data Totals'!J38, ('Raw Data Totals'!J25)/1)</f>
        <v>0.2</v>
      </c>
      <c r="K25" s="151">
        <f>IF('Raw Data Totals'!K38 &lt;&gt; 0, ('Raw Data Totals'!K25-'Raw Data Totals'!K38)/'Raw Data Totals'!K38, ('Raw Data Totals'!K25)/1)</f>
        <v>2.78125</v>
      </c>
      <c r="L25" s="151">
        <f>IF('Raw Data Totals'!L38 &lt;&gt; 0, ('Raw Data Totals'!L25-'Raw Data Totals'!L38)/'Raw Data Totals'!L38, ('Raw Data Totals'!L25)/1)</f>
        <v>-8.7071240105540904E-2</v>
      </c>
      <c r="M25" s="151">
        <v>0</v>
      </c>
      <c r="N25" s="18" t="s">
        <v>5</v>
      </c>
      <c r="O25" s="131" t="s">
        <v>8</v>
      </c>
    </row>
    <row r="26" spans="1:28" x14ac:dyDescent="0.35">
      <c r="A26" s="182"/>
      <c r="B26" s="163"/>
      <c r="C26" s="17" t="s">
        <v>33</v>
      </c>
      <c r="D26" s="151">
        <f>IF('Raw Data Totals'!D39 &lt;&gt; 0, ('Raw Data Totals'!D26-'Raw Data Totals'!D39)/'Raw Data Totals'!D39, ('Raw Data Totals'!D26)/1)</f>
        <v>0.35087719298245612</v>
      </c>
      <c r="E26" s="151">
        <f>IF('Raw Data Totals'!E39 &lt;&gt; 0, ('Raw Data Totals'!E26-'Raw Data Totals'!E39)/'Raw Data Totals'!E39, ('Raw Data Totals'!E26)/1)</f>
        <v>0.16129032258064516</v>
      </c>
      <c r="F26" s="151">
        <f>IF('Raw Data Totals'!F39 &lt;&gt; 0, ('Raw Data Totals'!F26-'Raw Data Totals'!F39)/'Raw Data Totals'!F39, ('Raw Data Totals'!F26)/1)</f>
        <v>-0.3135593220338983</v>
      </c>
      <c r="G26" s="151">
        <f>IF('Raw Data Totals'!G39 &lt;&gt; 0, ('Raw Data Totals'!G26-'Raw Data Totals'!G39)/'Raw Data Totals'!G39, ('Raw Data Totals'!G26)/1)</f>
        <v>-0.67479674796747968</v>
      </c>
      <c r="H26" s="151">
        <f>IF('Raw Data Totals'!H39 &lt;&gt; 0, ('Raw Data Totals'!H26-'Raw Data Totals'!H39)/'Raw Data Totals'!H39, ('Raw Data Totals'!H26)/1)</f>
        <v>0.88461538461538458</v>
      </c>
      <c r="I26" s="151">
        <f>IF('Raw Data Totals'!I39 &lt;&gt; 0, ('Raw Data Totals'!I26-'Raw Data Totals'!I39)/'Raw Data Totals'!I39, ('Raw Data Totals'!I26)/1)</f>
        <v>0.3</v>
      </c>
      <c r="J26" s="151">
        <f>IF('Raw Data Totals'!J39 &lt;&gt; 0, ('Raw Data Totals'!J26-'Raw Data Totals'!J39)/'Raw Data Totals'!J39, ('Raw Data Totals'!J26)/1)</f>
        <v>0.93103448275862066</v>
      </c>
      <c r="K26" s="151">
        <f>IF('Raw Data Totals'!K39 &lt;&gt; 0, ('Raw Data Totals'!K26-'Raw Data Totals'!K39)/'Raw Data Totals'!K39, ('Raw Data Totals'!K26)/1)</f>
        <v>8.35</v>
      </c>
      <c r="L26" s="151">
        <f>IF('Raw Data Totals'!L39 &lt;&gt; 0, ('Raw Data Totals'!L26-'Raw Data Totals'!L39)/'Raw Data Totals'!L39, ('Raw Data Totals'!L26)/1)</f>
        <v>0.89743589743589747</v>
      </c>
      <c r="M26" s="151">
        <v>0</v>
      </c>
      <c r="N26" s="18" t="s">
        <v>5</v>
      </c>
      <c r="O26" s="131" t="s">
        <v>8</v>
      </c>
    </row>
    <row r="27" spans="1:28" ht="15" thickBot="1" x14ac:dyDescent="0.4">
      <c r="A27" s="182"/>
      <c r="B27" s="163"/>
      <c r="C27" s="17" t="s">
        <v>34</v>
      </c>
      <c r="D27" s="151">
        <f>IF('Raw Data Totals'!D40 &lt;&gt; 0, ('Raw Data Totals'!D27-'Raw Data Totals'!D40)/'Raw Data Totals'!D40, ('Raw Data Totals'!D27)/1)</f>
        <v>8.3550913838120106E-2</v>
      </c>
      <c r="E27" s="151">
        <f>IF('Raw Data Totals'!E40 &lt;&gt; 0, ('Raw Data Totals'!E27-'Raw Data Totals'!E40)/'Raw Data Totals'!E40, ('Raw Data Totals'!E27)/1)</f>
        <v>-0.91666666666666663</v>
      </c>
      <c r="F27" s="151">
        <f>IF('Raw Data Totals'!F40 &lt;&gt; 0, ('Raw Data Totals'!F27-'Raw Data Totals'!F40)/'Raw Data Totals'!F40, ('Raw Data Totals'!F27)/1)</f>
        <v>8.1632653061224483E-2</v>
      </c>
      <c r="G27" s="151">
        <f>IF('Raw Data Totals'!G40 &lt;&gt; 0, ('Raw Data Totals'!G27-'Raw Data Totals'!G40)/'Raw Data Totals'!G40, ('Raw Data Totals'!G27)/1)</f>
        <v>-0.22950819672131148</v>
      </c>
      <c r="H27" s="151">
        <f>IF('Raw Data Totals'!H40 &lt;&gt; 0, ('Raw Data Totals'!H27-'Raw Data Totals'!H40)/'Raw Data Totals'!H40, ('Raw Data Totals'!H27)/1)</f>
        <v>0.24242424242424243</v>
      </c>
      <c r="I27" s="151">
        <f>IF('Raw Data Totals'!I40 &lt;&gt; 0, ('Raw Data Totals'!I27-'Raw Data Totals'!I40)/'Raw Data Totals'!I40, ('Raw Data Totals'!I27)/1)</f>
        <v>-0.30434782608695654</v>
      </c>
      <c r="J27" s="151">
        <f>IF('Raw Data Totals'!J40 &lt;&gt; 0, ('Raw Data Totals'!J27-'Raw Data Totals'!J40)/'Raw Data Totals'!J40, ('Raw Data Totals'!J27)/1)</f>
        <v>2.0833333333333335</v>
      </c>
      <c r="K27" s="151">
        <f>IF('Raw Data Totals'!K40 &lt;&gt; 0, ('Raw Data Totals'!K27-'Raw Data Totals'!K40)/'Raw Data Totals'!K40, ('Raw Data Totals'!K27)/1)</f>
        <v>-0.38461538461538464</v>
      </c>
      <c r="L27" s="151">
        <f>IF('Raw Data Totals'!L40 &lt;&gt; 0, ('Raw Data Totals'!L27-'Raw Data Totals'!L40)/'Raw Data Totals'!L40, ('Raw Data Totals'!L27)/1)</f>
        <v>-0.27272727272727271</v>
      </c>
      <c r="M27" s="151">
        <v>0</v>
      </c>
      <c r="N27" s="18" t="s">
        <v>5</v>
      </c>
      <c r="O27" s="131" t="s">
        <v>8</v>
      </c>
    </row>
    <row r="28" spans="1:28" x14ac:dyDescent="0.35">
      <c r="A28" s="175" t="s">
        <v>4</v>
      </c>
      <c r="B28" s="179" t="s">
        <v>7</v>
      </c>
      <c r="C28" s="23" t="s">
        <v>22</v>
      </c>
      <c r="D28" s="152">
        <f>IF('Raw Data Totals'!D41 &lt;&gt; 0, ('Raw Data Totals'!D28-'Raw Data Totals'!D41)/'Raw Data Totals'!D41, ('Raw Data Totals'!D28)/1)</f>
        <v>5.0632911392405063E-2</v>
      </c>
      <c r="E28" s="152">
        <f>IF('Raw Data Totals'!E41 &lt;&gt; 0, ('Raw Data Totals'!E28-'Raw Data Totals'!E41)/'Raw Data Totals'!E41, ('Raw Data Totals'!E28)/1)</f>
        <v>0</v>
      </c>
      <c r="F28" s="152">
        <f>IF('Raw Data Totals'!F41 &lt;&gt; 0, ('Raw Data Totals'!F28-'Raw Data Totals'!F41)/'Raw Data Totals'!F41, ('Raw Data Totals'!F28)/1)</f>
        <v>0</v>
      </c>
      <c r="G28" s="152">
        <f>IF('Raw Data Totals'!G41 &lt;&gt; 0, ('Raw Data Totals'!G28-'Raw Data Totals'!G41)/'Raw Data Totals'!G41, ('Raw Data Totals'!G28)/1)</f>
        <v>-0.55555555555555558</v>
      </c>
      <c r="H28" s="152">
        <f>IF('Raw Data Totals'!H41 &lt;&gt; 0, ('Raw Data Totals'!H28-'Raw Data Totals'!H41)/'Raw Data Totals'!H41, ('Raw Data Totals'!H28)/1)</f>
        <v>-1</v>
      </c>
      <c r="I28" s="152">
        <f>IF('Raw Data Totals'!I41 &lt;&gt; 0, ('Raw Data Totals'!I28-'Raw Data Totals'!I41)/'Raw Data Totals'!I41, ('Raw Data Totals'!I28)/1)</f>
        <v>-0.25</v>
      </c>
      <c r="J28" s="152">
        <f>IF('Raw Data Totals'!J41 &lt;&gt; 0, ('Raw Data Totals'!J28-'Raw Data Totals'!J41)/'Raw Data Totals'!J41, ('Raw Data Totals'!J28)/1)</f>
        <v>-0.5</v>
      </c>
      <c r="K28" s="152">
        <f>IF('Raw Data Totals'!K41 &lt;&gt; 0, ('Raw Data Totals'!K28-'Raw Data Totals'!K41)/'Raw Data Totals'!K41, ('Raw Data Totals'!K28)/1)</f>
        <v>0</v>
      </c>
      <c r="L28" s="152">
        <f>IF('Raw Data Totals'!L41 &lt;&gt; 0, ('Raw Data Totals'!L28-'Raw Data Totals'!L41)/'Raw Data Totals'!L41, ('Raw Data Totals'!L28)/1)</f>
        <v>-0.5</v>
      </c>
      <c r="M28" s="152">
        <v>0</v>
      </c>
      <c r="N28" s="24" t="s">
        <v>4</v>
      </c>
      <c r="O28" s="132" t="s">
        <v>7</v>
      </c>
    </row>
    <row r="29" spans="1:28" x14ac:dyDescent="0.35">
      <c r="A29" s="175"/>
      <c r="B29" s="180"/>
      <c r="C29" s="23" t="s">
        <v>23</v>
      </c>
      <c r="D29" s="152">
        <f>IF('Raw Data Totals'!D42 &lt;&gt; 0, ('Raw Data Totals'!D29-'Raw Data Totals'!D42)/'Raw Data Totals'!D42, ('Raw Data Totals'!D29)/1)</f>
        <v>0.20512820512820512</v>
      </c>
      <c r="E29" s="152">
        <f>IF('Raw Data Totals'!E42 &lt;&gt; 0, ('Raw Data Totals'!E29-'Raw Data Totals'!E42)/'Raw Data Totals'!E42, ('Raw Data Totals'!E29)/1)</f>
        <v>0</v>
      </c>
      <c r="F29" s="152">
        <f>IF('Raw Data Totals'!F42 &lt;&gt; 0, ('Raw Data Totals'!F29-'Raw Data Totals'!F42)/'Raw Data Totals'!F42, ('Raw Data Totals'!F29)/1)</f>
        <v>-0.83333333333333337</v>
      </c>
      <c r="G29" s="152">
        <f>IF('Raw Data Totals'!G42 &lt;&gt; 0, ('Raw Data Totals'!G29-'Raw Data Totals'!G42)/'Raw Data Totals'!G42, ('Raw Data Totals'!G29)/1)</f>
        <v>-0.33333333333333331</v>
      </c>
      <c r="H29" s="152">
        <f>IF('Raw Data Totals'!H42 &lt;&gt; 0, ('Raw Data Totals'!H29-'Raw Data Totals'!H42)/'Raw Data Totals'!H42, ('Raw Data Totals'!H29)/1)</f>
        <v>0</v>
      </c>
      <c r="I29" s="152">
        <f>IF('Raw Data Totals'!I42 &lt;&gt; 0, ('Raw Data Totals'!I29-'Raw Data Totals'!I42)/'Raw Data Totals'!I42, ('Raw Data Totals'!I29)/1)</f>
        <v>-0.75</v>
      </c>
      <c r="J29" s="152">
        <f>IF('Raw Data Totals'!J42 &lt;&gt; 0, ('Raw Data Totals'!J29-'Raw Data Totals'!J42)/'Raw Data Totals'!J42, ('Raw Data Totals'!J29)/1)</f>
        <v>0</v>
      </c>
      <c r="K29" s="152">
        <f>IF('Raw Data Totals'!K42 &lt;&gt; 0, ('Raw Data Totals'!K29-'Raw Data Totals'!K42)/'Raw Data Totals'!K42, ('Raw Data Totals'!K29)/1)</f>
        <v>0</v>
      </c>
      <c r="L29" s="152">
        <f>IF('Raw Data Totals'!L42 &lt;&gt; 0, ('Raw Data Totals'!L29-'Raw Data Totals'!L42)/'Raw Data Totals'!L42, ('Raw Data Totals'!L29)/1)</f>
        <v>0</v>
      </c>
      <c r="M29" s="152">
        <v>0</v>
      </c>
      <c r="N29" s="24" t="s">
        <v>4</v>
      </c>
      <c r="O29" s="132" t="s">
        <v>7</v>
      </c>
    </row>
    <row r="30" spans="1:28" x14ac:dyDescent="0.35">
      <c r="A30" s="175"/>
      <c r="B30" s="180"/>
      <c r="C30" s="23" t="s">
        <v>24</v>
      </c>
      <c r="D30" s="152">
        <f>IF('Raw Data Totals'!D43 &lt;&gt; 0, ('Raw Data Totals'!D30-'Raw Data Totals'!D43)/'Raw Data Totals'!D43, ('Raw Data Totals'!D30)/1)</f>
        <v>0.54545454545454541</v>
      </c>
      <c r="E30" s="152">
        <f>IF('Raw Data Totals'!E43 &lt;&gt; 0, ('Raw Data Totals'!E30-'Raw Data Totals'!E43)/'Raw Data Totals'!E43, ('Raw Data Totals'!E30)/1)</f>
        <v>0</v>
      </c>
      <c r="F30" s="152">
        <f>IF('Raw Data Totals'!F43 &lt;&gt; 0, ('Raw Data Totals'!F30-'Raw Data Totals'!F43)/'Raw Data Totals'!F43, ('Raw Data Totals'!F30)/1)</f>
        <v>4</v>
      </c>
      <c r="G30" s="152">
        <f>IF('Raw Data Totals'!G43 &lt;&gt; 0, ('Raw Data Totals'!G30-'Raw Data Totals'!G43)/'Raw Data Totals'!G43, ('Raw Data Totals'!G30)/1)</f>
        <v>1</v>
      </c>
      <c r="H30" s="152">
        <f>IF('Raw Data Totals'!H43 &lt;&gt; 0, ('Raw Data Totals'!H30-'Raw Data Totals'!H43)/'Raw Data Totals'!H43, ('Raw Data Totals'!H30)/1)</f>
        <v>1</v>
      </c>
      <c r="I30" s="152">
        <f>IF('Raw Data Totals'!I43 &lt;&gt; 0, ('Raw Data Totals'!I30-'Raw Data Totals'!I43)/'Raw Data Totals'!I43, ('Raw Data Totals'!I30)/1)</f>
        <v>0</v>
      </c>
      <c r="J30" s="152">
        <f>IF('Raw Data Totals'!J43 &lt;&gt; 0, ('Raw Data Totals'!J30-'Raw Data Totals'!J43)/'Raw Data Totals'!J43, ('Raw Data Totals'!J30)/1)</f>
        <v>0</v>
      </c>
      <c r="K30" s="152">
        <f>IF('Raw Data Totals'!K43 &lt;&gt; 0, ('Raw Data Totals'!K30-'Raw Data Totals'!K43)/'Raw Data Totals'!K43, ('Raw Data Totals'!K30)/1)</f>
        <v>0</v>
      </c>
      <c r="L30" s="152">
        <f>IF('Raw Data Totals'!L43 &lt;&gt; 0, ('Raw Data Totals'!L30-'Raw Data Totals'!L43)/'Raw Data Totals'!L43, ('Raw Data Totals'!L30)/1)</f>
        <v>-1</v>
      </c>
      <c r="M30" s="152">
        <v>0</v>
      </c>
      <c r="N30" s="24" t="s">
        <v>4</v>
      </c>
      <c r="O30" s="132" t="s">
        <v>7</v>
      </c>
    </row>
    <row r="31" spans="1:28" x14ac:dyDescent="0.35">
      <c r="A31" s="175"/>
      <c r="B31" s="180"/>
      <c r="C31" s="23" t="s">
        <v>25</v>
      </c>
      <c r="D31" s="152">
        <f>IF('Raw Data Totals'!D44 &lt;&gt; 0, ('Raw Data Totals'!D31-'Raw Data Totals'!D44)/'Raw Data Totals'!D44, ('Raw Data Totals'!D31)/1)</f>
        <v>1.5714285714285714</v>
      </c>
      <c r="E31" s="152">
        <f>IF('Raw Data Totals'!E44 &lt;&gt; 0, ('Raw Data Totals'!E31-'Raw Data Totals'!E44)/'Raw Data Totals'!E44, ('Raw Data Totals'!E31)/1)</f>
        <v>2</v>
      </c>
      <c r="F31" s="152">
        <f>IF('Raw Data Totals'!F44 &lt;&gt; 0, ('Raw Data Totals'!F31-'Raw Data Totals'!F44)/'Raw Data Totals'!F44, ('Raw Data Totals'!F31)/1)</f>
        <v>1</v>
      </c>
      <c r="G31" s="152">
        <f>IF('Raw Data Totals'!G44 &lt;&gt; 0, ('Raw Data Totals'!G31-'Raw Data Totals'!G44)/'Raw Data Totals'!G44, ('Raw Data Totals'!G31)/1)</f>
        <v>-0.33333333333333331</v>
      </c>
      <c r="H31" s="152">
        <f>IF('Raw Data Totals'!H44 &lt;&gt; 0, ('Raw Data Totals'!H31-'Raw Data Totals'!H44)/'Raw Data Totals'!H44, ('Raw Data Totals'!H31)/1)</f>
        <v>5</v>
      </c>
      <c r="I31" s="152">
        <f>IF('Raw Data Totals'!I44 &lt;&gt; 0, ('Raw Data Totals'!I31-'Raw Data Totals'!I44)/'Raw Data Totals'!I44, ('Raw Data Totals'!I31)/1)</f>
        <v>0.5</v>
      </c>
      <c r="J31" s="152">
        <f>IF('Raw Data Totals'!J44 &lt;&gt; 0, ('Raw Data Totals'!J31-'Raw Data Totals'!J44)/'Raw Data Totals'!J44, ('Raw Data Totals'!J31)/1)</f>
        <v>1</v>
      </c>
      <c r="K31" s="152">
        <f>IF('Raw Data Totals'!K44 &lt;&gt; 0, ('Raw Data Totals'!K31-'Raw Data Totals'!K44)/'Raw Data Totals'!K44, ('Raw Data Totals'!K31)/1)</f>
        <v>1</v>
      </c>
      <c r="L31" s="152">
        <f>IF('Raw Data Totals'!L44 &lt;&gt; 0, ('Raw Data Totals'!L31-'Raw Data Totals'!L44)/'Raw Data Totals'!L44, ('Raw Data Totals'!L31)/1)</f>
        <v>1</v>
      </c>
      <c r="M31" s="152">
        <v>0</v>
      </c>
      <c r="N31" s="24" t="s">
        <v>4</v>
      </c>
      <c r="O31" s="132" t="s">
        <v>7</v>
      </c>
    </row>
    <row r="32" spans="1:28" x14ac:dyDescent="0.35">
      <c r="A32" s="175"/>
      <c r="B32" s="180"/>
      <c r="C32" s="23" t="s">
        <v>26</v>
      </c>
      <c r="D32" s="152">
        <f>IF('Raw Data Totals'!D45 &lt;&gt; 0, ('Raw Data Totals'!D32-'Raw Data Totals'!D45)/'Raw Data Totals'!D45, ('Raw Data Totals'!D32)/1)</f>
        <v>0.5</v>
      </c>
      <c r="E32" s="152">
        <f>IF('Raw Data Totals'!E45 &lt;&gt; 0, ('Raw Data Totals'!E32-'Raw Data Totals'!E45)/'Raw Data Totals'!E45, ('Raw Data Totals'!E32)/1)</f>
        <v>-1</v>
      </c>
      <c r="F32" s="152">
        <f>IF('Raw Data Totals'!F45 &lt;&gt; 0, ('Raw Data Totals'!F32-'Raw Data Totals'!F45)/'Raw Data Totals'!F45, ('Raw Data Totals'!F32)/1)</f>
        <v>1</v>
      </c>
      <c r="G32" s="152">
        <f>IF('Raw Data Totals'!G45 &lt;&gt; 0, ('Raw Data Totals'!G32-'Raw Data Totals'!G45)/'Raw Data Totals'!G45, ('Raw Data Totals'!G32)/1)</f>
        <v>0</v>
      </c>
      <c r="H32" s="152">
        <f>IF('Raw Data Totals'!H45 &lt;&gt; 0, ('Raw Data Totals'!H32-'Raw Data Totals'!H45)/'Raw Data Totals'!H45, ('Raw Data Totals'!H32)/1)</f>
        <v>0</v>
      </c>
      <c r="I32" s="152">
        <f>IF('Raw Data Totals'!I45 &lt;&gt; 0, ('Raw Data Totals'!I32-'Raw Data Totals'!I45)/'Raw Data Totals'!I45, ('Raw Data Totals'!I32)/1)</f>
        <v>0</v>
      </c>
      <c r="J32" s="152">
        <f>IF('Raw Data Totals'!J45 &lt;&gt; 0, ('Raw Data Totals'!J32-'Raw Data Totals'!J45)/'Raw Data Totals'!J45, ('Raw Data Totals'!J32)/1)</f>
        <v>-1</v>
      </c>
      <c r="K32" s="152">
        <f>IF('Raw Data Totals'!K45 &lt;&gt; 0, ('Raw Data Totals'!K32-'Raw Data Totals'!K45)/'Raw Data Totals'!K45, ('Raw Data Totals'!K32)/1)</f>
        <v>0</v>
      </c>
      <c r="L32" s="152">
        <f>IF('Raw Data Totals'!L45 &lt;&gt; 0, ('Raw Data Totals'!L32-'Raw Data Totals'!L45)/'Raw Data Totals'!L45, ('Raw Data Totals'!L32)/1)</f>
        <v>0</v>
      </c>
      <c r="M32" s="152">
        <v>0</v>
      </c>
      <c r="N32" s="24" t="s">
        <v>4</v>
      </c>
      <c r="O32" s="132" t="s">
        <v>7</v>
      </c>
    </row>
    <row r="33" spans="1:15" ht="15" thickBot="1" x14ac:dyDescent="0.4">
      <c r="A33" s="175"/>
      <c r="B33" s="180"/>
      <c r="C33" s="23" t="s">
        <v>27</v>
      </c>
      <c r="D33" s="152">
        <f>IF('Raw Data Totals'!D46 &lt;&gt; 0, ('Raw Data Totals'!D33-'Raw Data Totals'!D46)/'Raw Data Totals'!D46, ('Raw Data Totals'!D33)/1)</f>
        <v>0</v>
      </c>
      <c r="E33" s="152">
        <f>IF('Raw Data Totals'!E46 &lt;&gt; 0, ('Raw Data Totals'!E33-'Raw Data Totals'!E46)/'Raw Data Totals'!E46, ('Raw Data Totals'!E33)/1)</f>
        <v>1</v>
      </c>
      <c r="F33" s="152">
        <f>IF('Raw Data Totals'!F46 &lt;&gt; 0, ('Raw Data Totals'!F33-'Raw Data Totals'!F46)/'Raw Data Totals'!F46, ('Raw Data Totals'!F33)/1)</f>
        <v>0</v>
      </c>
      <c r="G33" s="152">
        <f>IF('Raw Data Totals'!G46 &lt;&gt; 0, ('Raw Data Totals'!G33-'Raw Data Totals'!G46)/'Raw Data Totals'!G46, ('Raw Data Totals'!G33)/1)</f>
        <v>-1</v>
      </c>
      <c r="H33" s="152">
        <f>IF('Raw Data Totals'!H46 &lt;&gt; 0, ('Raw Data Totals'!H33-'Raw Data Totals'!H46)/'Raw Data Totals'!H46, ('Raw Data Totals'!H33)/1)</f>
        <v>0</v>
      </c>
      <c r="I33" s="152">
        <f>IF('Raw Data Totals'!I46 &lt;&gt; 0, ('Raw Data Totals'!I33-'Raw Data Totals'!I46)/'Raw Data Totals'!I46, ('Raw Data Totals'!I33)/1)</f>
        <v>0</v>
      </c>
      <c r="J33" s="152">
        <f>IF('Raw Data Totals'!J46 &lt;&gt; 0, ('Raw Data Totals'!J33-'Raw Data Totals'!J46)/'Raw Data Totals'!J46, ('Raw Data Totals'!J33)/1)</f>
        <v>0</v>
      </c>
      <c r="K33" s="152">
        <f>IF('Raw Data Totals'!K46 &lt;&gt; 0, ('Raw Data Totals'!K33-'Raw Data Totals'!K46)/'Raw Data Totals'!K46, ('Raw Data Totals'!K33)/1)</f>
        <v>1</v>
      </c>
      <c r="L33" s="152">
        <f>IF('Raw Data Totals'!L46 &lt;&gt; 0, ('Raw Data Totals'!L33-'Raw Data Totals'!L46)/'Raw Data Totals'!L46, ('Raw Data Totals'!L33)/1)</f>
        <v>0</v>
      </c>
      <c r="M33" s="152">
        <v>0</v>
      </c>
      <c r="N33" s="24" t="s">
        <v>4</v>
      </c>
      <c r="O33" s="132" t="s">
        <v>7</v>
      </c>
    </row>
    <row r="34" spans="1:15" x14ac:dyDescent="0.35">
      <c r="A34" s="175"/>
      <c r="B34" s="179" t="s">
        <v>8</v>
      </c>
      <c r="C34" s="23" t="s">
        <v>28</v>
      </c>
      <c r="D34" s="152">
        <f>IF('Raw Data Totals'!D47 &lt;&gt; 0, ('Raw Data Totals'!D34-'Raw Data Totals'!D47)/'Raw Data Totals'!D47, ('Raw Data Totals'!D34)/1)</f>
        <v>8.7516087516087512E-2</v>
      </c>
      <c r="E34" s="152">
        <f>IF('Raw Data Totals'!E47 &lt;&gt; 0, ('Raw Data Totals'!E34-'Raw Data Totals'!E47)/'Raw Data Totals'!E47, ('Raw Data Totals'!E34)/1)</f>
        <v>-6.3291139240506333E-2</v>
      </c>
      <c r="F34" s="152">
        <f>IF('Raw Data Totals'!F47 &lt;&gt; 0, ('Raw Data Totals'!F34-'Raw Data Totals'!F47)/'Raw Data Totals'!F47, ('Raw Data Totals'!F34)/1)</f>
        <v>-0.2975206611570248</v>
      </c>
      <c r="G34" s="152">
        <f>IF('Raw Data Totals'!G47 &lt;&gt; 0, ('Raw Data Totals'!G34-'Raw Data Totals'!G47)/'Raw Data Totals'!G47, ('Raw Data Totals'!G34)/1)</f>
        <v>0.58914728682170547</v>
      </c>
      <c r="H34" s="152">
        <f>IF('Raw Data Totals'!H47 &lt;&gt; 0, ('Raw Data Totals'!H34-'Raw Data Totals'!H47)/'Raw Data Totals'!H47, ('Raw Data Totals'!H34)/1)</f>
        <v>-4.8543689320388349E-2</v>
      </c>
      <c r="I34" s="152">
        <f>IF('Raw Data Totals'!I47 &lt;&gt; 0, ('Raw Data Totals'!I34-'Raw Data Totals'!I47)/'Raw Data Totals'!I47, ('Raw Data Totals'!I34)/1)</f>
        <v>-0.40291262135922329</v>
      </c>
      <c r="J34" s="152">
        <f>IF('Raw Data Totals'!J47 &lt;&gt; 0, ('Raw Data Totals'!J34-'Raw Data Totals'!J47)/'Raw Data Totals'!J47, ('Raw Data Totals'!J34)/1)</f>
        <v>0</v>
      </c>
      <c r="K34" s="152">
        <f>IF('Raw Data Totals'!K47 &lt;&gt; 0, ('Raw Data Totals'!K34-'Raw Data Totals'!K47)/'Raw Data Totals'!K47, ('Raw Data Totals'!K34)/1)</f>
        <v>-0.1875</v>
      </c>
      <c r="L34" s="152">
        <f>IF('Raw Data Totals'!L47 &lt;&gt; 0, ('Raw Data Totals'!L34-'Raw Data Totals'!L47)/'Raw Data Totals'!L47, ('Raw Data Totals'!L34)/1)</f>
        <v>-0.46887966804979253</v>
      </c>
      <c r="M34" s="152">
        <v>0</v>
      </c>
      <c r="N34" s="24" t="s">
        <v>4</v>
      </c>
      <c r="O34" s="132" t="s">
        <v>8</v>
      </c>
    </row>
    <row r="35" spans="1:15" x14ac:dyDescent="0.35">
      <c r="A35" s="175"/>
      <c r="B35" s="180"/>
      <c r="C35" s="23" t="s">
        <v>29</v>
      </c>
      <c r="D35" s="152">
        <f>IF('Raw Data Totals'!D48 &lt;&gt; 0, ('Raw Data Totals'!D35-'Raw Data Totals'!D48)/'Raw Data Totals'!D48, ('Raw Data Totals'!D35)/1)</f>
        <v>0.41232227488151657</v>
      </c>
      <c r="E35" s="152">
        <f>IF('Raw Data Totals'!E48 &lt;&gt; 0, ('Raw Data Totals'!E35-'Raw Data Totals'!E48)/'Raw Data Totals'!E48, ('Raw Data Totals'!E35)/1)</f>
        <v>0.9</v>
      </c>
      <c r="F35" s="152">
        <f>IF('Raw Data Totals'!F48 &lt;&gt; 0, ('Raw Data Totals'!F35-'Raw Data Totals'!F48)/'Raw Data Totals'!F48, ('Raw Data Totals'!F35)/1)</f>
        <v>-0.27272727272727271</v>
      </c>
      <c r="G35" s="152">
        <f>IF('Raw Data Totals'!G48 &lt;&gt; 0, ('Raw Data Totals'!G35-'Raw Data Totals'!G48)/'Raw Data Totals'!G48, ('Raw Data Totals'!G35)/1)</f>
        <v>3.1052631578947367</v>
      </c>
      <c r="H35" s="152">
        <f>IF('Raw Data Totals'!H48 &lt;&gt; 0, ('Raw Data Totals'!H35-'Raw Data Totals'!H48)/'Raw Data Totals'!H48, ('Raw Data Totals'!H35)/1)</f>
        <v>-0.15789473684210525</v>
      </c>
      <c r="I35" s="152">
        <f>IF('Raw Data Totals'!I48 &lt;&gt; 0, ('Raw Data Totals'!I35-'Raw Data Totals'!I48)/'Raw Data Totals'!I48, ('Raw Data Totals'!I35)/1)</f>
        <v>3.4545454545454546</v>
      </c>
      <c r="J35" s="152">
        <f>IF('Raw Data Totals'!J48 &lt;&gt; 0, ('Raw Data Totals'!J35-'Raw Data Totals'!J48)/'Raw Data Totals'!J48, ('Raw Data Totals'!J35)/1)</f>
        <v>-0.2608695652173913</v>
      </c>
      <c r="K35" s="152">
        <f>IF('Raw Data Totals'!K48 &lt;&gt; 0, ('Raw Data Totals'!K35-'Raw Data Totals'!K48)/'Raw Data Totals'!K48, ('Raw Data Totals'!K35)/1)</f>
        <v>3</v>
      </c>
      <c r="L35" s="152">
        <f>IF('Raw Data Totals'!L48 &lt;&gt; 0, ('Raw Data Totals'!L35-'Raw Data Totals'!L48)/'Raw Data Totals'!L48, ('Raw Data Totals'!L35)/1)</f>
        <v>-0.26470588235294118</v>
      </c>
      <c r="M35" s="152">
        <v>0</v>
      </c>
      <c r="N35" s="24" t="s">
        <v>4</v>
      </c>
      <c r="O35" s="132" t="s">
        <v>8</v>
      </c>
    </row>
    <row r="36" spans="1:15" x14ac:dyDescent="0.35">
      <c r="A36" s="175"/>
      <c r="B36" s="180"/>
      <c r="C36" s="23" t="s">
        <v>30</v>
      </c>
      <c r="D36" s="152">
        <f>IF('Raw Data Totals'!D49 &lt;&gt; 0, ('Raw Data Totals'!D36-'Raw Data Totals'!D49)/'Raw Data Totals'!D49, ('Raw Data Totals'!D36)/1)</f>
        <v>0.68085106382978722</v>
      </c>
      <c r="E36" s="152">
        <f>IF('Raw Data Totals'!E49 &lt;&gt; 0, ('Raw Data Totals'!E36-'Raw Data Totals'!E49)/'Raw Data Totals'!E49, ('Raw Data Totals'!E36)/1)</f>
        <v>-0.4375</v>
      </c>
      <c r="F36" s="152">
        <f>IF('Raw Data Totals'!F49 &lt;&gt; 0, ('Raw Data Totals'!F36-'Raw Data Totals'!F49)/'Raw Data Totals'!F49, ('Raw Data Totals'!F36)/1)</f>
        <v>-5.2631578947368418E-2</v>
      </c>
      <c r="G36" s="152">
        <f>IF('Raw Data Totals'!G49 &lt;&gt; 0, ('Raw Data Totals'!G36-'Raw Data Totals'!G49)/'Raw Data Totals'!G49, ('Raw Data Totals'!G36)/1)</f>
        <v>0.77777777777777779</v>
      </c>
      <c r="H36" s="152">
        <f>IF('Raw Data Totals'!H49 &lt;&gt; 0, ('Raw Data Totals'!H36-'Raw Data Totals'!H49)/'Raw Data Totals'!H49, ('Raw Data Totals'!H36)/1)</f>
        <v>0.125</v>
      </c>
      <c r="I36" s="152">
        <f>IF('Raw Data Totals'!I49 &lt;&gt; 0, ('Raw Data Totals'!I36-'Raw Data Totals'!I49)/'Raw Data Totals'!I49, ('Raw Data Totals'!I36)/1)</f>
        <v>-0.36585365853658536</v>
      </c>
      <c r="J36" s="152">
        <f>IF('Raw Data Totals'!J49 &lt;&gt; 0, ('Raw Data Totals'!J36-'Raw Data Totals'!J49)/'Raw Data Totals'!J49, ('Raw Data Totals'!J36)/1)</f>
        <v>4.625</v>
      </c>
      <c r="K36" s="152">
        <f>IF('Raw Data Totals'!K49 &lt;&gt; 0, ('Raw Data Totals'!K36-'Raw Data Totals'!K49)/'Raw Data Totals'!K49, ('Raw Data Totals'!K36)/1)</f>
        <v>0.5</v>
      </c>
      <c r="L36" s="152">
        <f>IF('Raw Data Totals'!L49 &lt;&gt; 0, ('Raw Data Totals'!L36-'Raw Data Totals'!L49)/'Raw Data Totals'!L49, ('Raw Data Totals'!L36)/1)</f>
        <v>0.15</v>
      </c>
      <c r="M36" s="152">
        <v>0</v>
      </c>
      <c r="N36" s="24" t="s">
        <v>4</v>
      </c>
      <c r="O36" s="132" t="s">
        <v>8</v>
      </c>
    </row>
    <row r="37" spans="1:15" x14ac:dyDescent="0.35">
      <c r="A37" s="175"/>
      <c r="B37" s="180"/>
      <c r="C37" s="23" t="s">
        <v>31</v>
      </c>
      <c r="D37" s="152">
        <f>IF('Raw Data Totals'!D50 &lt;&gt; 0, ('Raw Data Totals'!D37-'Raw Data Totals'!D50)/'Raw Data Totals'!D50, ('Raw Data Totals'!D37)/1)</f>
        <v>-0.63636363636363635</v>
      </c>
      <c r="E37" s="152">
        <f>IF('Raw Data Totals'!E50 &lt;&gt; 0, ('Raw Data Totals'!E37-'Raw Data Totals'!E50)/'Raw Data Totals'!E50, ('Raw Data Totals'!E37)/1)</f>
        <v>1</v>
      </c>
      <c r="F37" s="152">
        <f>IF('Raw Data Totals'!F50 &lt;&gt; 0, ('Raw Data Totals'!F37-'Raw Data Totals'!F50)/'Raw Data Totals'!F50, ('Raw Data Totals'!F37)/1)</f>
        <v>0</v>
      </c>
      <c r="G37" s="152">
        <f>IF('Raw Data Totals'!G50 &lt;&gt; 0, ('Raw Data Totals'!G37-'Raw Data Totals'!G50)/'Raw Data Totals'!G50, ('Raw Data Totals'!G37)/1)</f>
        <v>-1</v>
      </c>
      <c r="H37" s="152">
        <f>IF('Raw Data Totals'!H50 &lt;&gt; 0, ('Raw Data Totals'!H37-'Raw Data Totals'!H50)/'Raw Data Totals'!H50, ('Raw Data Totals'!H37)/1)</f>
        <v>0</v>
      </c>
      <c r="I37" s="152">
        <f>IF('Raw Data Totals'!I50 &lt;&gt; 0, ('Raw Data Totals'!I37-'Raw Data Totals'!I50)/'Raw Data Totals'!I50, ('Raw Data Totals'!I37)/1)</f>
        <v>-1</v>
      </c>
      <c r="J37" s="152">
        <f>IF('Raw Data Totals'!J50 &lt;&gt; 0, ('Raw Data Totals'!J37-'Raw Data Totals'!J50)/'Raw Data Totals'!J50, ('Raw Data Totals'!J37)/1)</f>
        <v>-0.78947368421052633</v>
      </c>
      <c r="K37" s="152">
        <f>IF('Raw Data Totals'!K50 &lt;&gt; 0, ('Raw Data Totals'!K37-'Raw Data Totals'!K50)/'Raw Data Totals'!K50, ('Raw Data Totals'!K37)/1)</f>
        <v>0</v>
      </c>
      <c r="L37" s="152">
        <f>IF('Raw Data Totals'!L50 &lt;&gt; 0, ('Raw Data Totals'!L37-'Raw Data Totals'!L50)/'Raw Data Totals'!L50, ('Raw Data Totals'!L37)/1)</f>
        <v>0.25</v>
      </c>
      <c r="M37" s="152">
        <v>0</v>
      </c>
      <c r="N37" s="24" t="s">
        <v>4</v>
      </c>
      <c r="O37" s="132" t="s">
        <v>8</v>
      </c>
    </row>
    <row r="38" spans="1:15" x14ac:dyDescent="0.35">
      <c r="A38" s="175"/>
      <c r="B38" s="180"/>
      <c r="C38" s="23" t="s">
        <v>32</v>
      </c>
      <c r="D38" s="152">
        <f>IF('Raw Data Totals'!D51 &lt;&gt; 0, ('Raw Data Totals'!D38-'Raw Data Totals'!D51)/'Raw Data Totals'!D51, ('Raw Data Totals'!D38)/1)</f>
        <v>8.4040092521202772E-2</v>
      </c>
      <c r="E38" s="152">
        <f>IF('Raw Data Totals'!E51 &lt;&gt; 0, ('Raw Data Totals'!E38-'Raw Data Totals'!E51)/'Raw Data Totals'!E51, ('Raw Data Totals'!E38)/1)</f>
        <v>0.22457627118644069</v>
      </c>
      <c r="F38" s="152">
        <f>IF('Raw Data Totals'!F51 &lt;&gt; 0, ('Raw Data Totals'!F38-'Raw Data Totals'!F51)/'Raw Data Totals'!F51, ('Raw Data Totals'!F38)/1)</f>
        <v>-3.5294117647058823E-2</v>
      </c>
      <c r="G38" s="152">
        <f>IF('Raw Data Totals'!G51 &lt;&gt; 0, ('Raw Data Totals'!G38-'Raw Data Totals'!G51)/'Raw Data Totals'!G51, ('Raw Data Totals'!G38)/1)</f>
        <v>0.14930555555555555</v>
      </c>
      <c r="H38" s="152">
        <f>IF('Raw Data Totals'!H51 &lt;&gt; 0, ('Raw Data Totals'!H38-'Raw Data Totals'!H51)/'Raw Data Totals'!H51, ('Raw Data Totals'!H38)/1)</f>
        <v>0.49710982658959535</v>
      </c>
      <c r="I38" s="152">
        <f>IF('Raw Data Totals'!I51 &lt;&gt; 0, ('Raw Data Totals'!I38-'Raw Data Totals'!I51)/'Raw Data Totals'!I51, ('Raw Data Totals'!I38)/1)</f>
        <v>-0.10317460317460317</v>
      </c>
      <c r="J38" s="152">
        <f>IF('Raw Data Totals'!J51 &lt;&gt; 0, ('Raw Data Totals'!J38-'Raw Data Totals'!J51)/'Raw Data Totals'!J51, ('Raw Data Totals'!J38)/1)</f>
        <v>3.7234042553191488E-2</v>
      </c>
      <c r="K38" s="152">
        <f>IF('Raw Data Totals'!K51 &lt;&gt; 0, ('Raw Data Totals'!K38-'Raw Data Totals'!K51)/'Raw Data Totals'!K51, ('Raw Data Totals'!K38)/1)</f>
        <v>-0.42857142857142855</v>
      </c>
      <c r="L38" s="152">
        <f>IF('Raw Data Totals'!L51 &lt;&gt; 0, ('Raw Data Totals'!L38-'Raw Data Totals'!L51)/'Raw Data Totals'!L51, ('Raw Data Totals'!L38)/1)</f>
        <v>0.31141868512110726</v>
      </c>
      <c r="M38" s="152">
        <v>0</v>
      </c>
      <c r="N38" s="24" t="s">
        <v>4</v>
      </c>
      <c r="O38" s="132" t="s">
        <v>8</v>
      </c>
    </row>
    <row r="39" spans="1:15" x14ac:dyDescent="0.35">
      <c r="A39" s="175"/>
      <c r="B39" s="180"/>
      <c r="C39" s="23" t="s">
        <v>33</v>
      </c>
      <c r="D39" s="152">
        <f>IF('Raw Data Totals'!D52 &lt;&gt; 0, ('Raw Data Totals'!D39-'Raw Data Totals'!D52)/'Raw Data Totals'!D52, ('Raw Data Totals'!D39)/1)</f>
        <v>-0.10337078651685393</v>
      </c>
      <c r="E39" s="152">
        <f>IF('Raw Data Totals'!E52 &lt;&gt; 0, ('Raw Data Totals'!E39-'Raw Data Totals'!E52)/'Raw Data Totals'!E52, ('Raw Data Totals'!E39)/1)</f>
        <v>0.40909090909090912</v>
      </c>
      <c r="F39" s="152">
        <f>IF('Raw Data Totals'!F52 &lt;&gt; 0, ('Raw Data Totals'!F39-'Raw Data Totals'!F52)/'Raw Data Totals'!F52, ('Raw Data Totals'!F39)/1)</f>
        <v>1.1454545454545455</v>
      </c>
      <c r="G39" s="152">
        <f>IF('Raw Data Totals'!G52 &lt;&gt; 0, ('Raw Data Totals'!G39-'Raw Data Totals'!G52)/'Raw Data Totals'!G52, ('Raw Data Totals'!G39)/1)</f>
        <v>-6.8181818181818177E-2</v>
      </c>
      <c r="H39" s="152">
        <f>IF('Raw Data Totals'!H52 &lt;&gt; 0, ('Raw Data Totals'!H39-'Raw Data Totals'!H52)/'Raw Data Totals'!H52, ('Raw Data Totals'!H39)/1)</f>
        <v>-1.8867924528301886E-2</v>
      </c>
      <c r="I39" s="152">
        <f>IF('Raw Data Totals'!I52 &lt;&gt; 0, ('Raw Data Totals'!I39-'Raw Data Totals'!I52)/'Raw Data Totals'!I52, ('Raw Data Totals'!I39)/1)</f>
        <v>-0.50354609929078009</v>
      </c>
      <c r="J39" s="152">
        <f>IF('Raw Data Totals'!J52 &lt;&gt; 0, ('Raw Data Totals'!J39-'Raw Data Totals'!J52)/'Raw Data Totals'!J52, ('Raw Data Totals'!J39)/1)</f>
        <v>-0.49122807017543857</v>
      </c>
      <c r="K39" s="152">
        <f>IF('Raw Data Totals'!K52 &lt;&gt; 0, ('Raw Data Totals'!K39-'Raw Data Totals'!K52)/'Raw Data Totals'!K52, ('Raw Data Totals'!K39)/1)</f>
        <v>-0.58333333333333337</v>
      </c>
      <c r="L39" s="152">
        <f>IF('Raw Data Totals'!L52 &lt;&gt; 0, ('Raw Data Totals'!L39-'Raw Data Totals'!L52)/'Raw Data Totals'!L52, ('Raw Data Totals'!L39)/1)</f>
        <v>-0.5214723926380368</v>
      </c>
      <c r="M39" s="152">
        <v>0</v>
      </c>
      <c r="N39" s="24" t="s">
        <v>4</v>
      </c>
      <c r="O39" s="132" t="s">
        <v>8</v>
      </c>
    </row>
    <row r="40" spans="1:15" ht="15" thickBot="1" x14ac:dyDescent="0.4">
      <c r="A40" s="175"/>
      <c r="B40" s="180"/>
      <c r="C40" s="23" t="s">
        <v>34</v>
      </c>
      <c r="D40" s="152">
        <f>IF('Raw Data Totals'!D53 &lt;&gt; 0, ('Raw Data Totals'!D40-'Raw Data Totals'!D53)/'Raw Data Totals'!D53, ('Raw Data Totals'!D40)/1)</f>
        <v>-0.2606177606177606</v>
      </c>
      <c r="E40" s="152">
        <f>IF('Raw Data Totals'!E53 &lt;&gt; 0, ('Raw Data Totals'!E40-'Raw Data Totals'!E53)/'Raw Data Totals'!E53, ('Raw Data Totals'!E40)/1)</f>
        <v>8.473684210526315</v>
      </c>
      <c r="F40" s="152">
        <f>IF('Raw Data Totals'!F53 &lt;&gt; 0, ('Raw Data Totals'!F40-'Raw Data Totals'!F53)/'Raw Data Totals'!F53, ('Raw Data Totals'!F40)/1)</f>
        <v>1.45</v>
      </c>
      <c r="G40" s="152">
        <f>IF('Raw Data Totals'!G53 &lt;&gt; 0, ('Raw Data Totals'!G40-'Raw Data Totals'!G53)/'Raw Data Totals'!G53, ('Raw Data Totals'!G40)/1)</f>
        <v>0.90625</v>
      </c>
      <c r="H40" s="152">
        <f>IF('Raw Data Totals'!H53 &lt;&gt; 0, ('Raw Data Totals'!H40-'Raw Data Totals'!H53)/'Raw Data Totals'!H53, ('Raw Data Totals'!H40)/1)</f>
        <v>0.22222222222222221</v>
      </c>
      <c r="I40" s="152">
        <f>IF('Raw Data Totals'!I53 &lt;&gt; 0, ('Raw Data Totals'!I40-'Raw Data Totals'!I53)/'Raw Data Totals'!I53, ('Raw Data Totals'!I40)/1)</f>
        <v>9.5238095238095233E-2</v>
      </c>
      <c r="J40" s="152">
        <f>IF('Raw Data Totals'!J53 &lt;&gt; 0, ('Raw Data Totals'!J40-'Raw Data Totals'!J53)/'Raw Data Totals'!J53, ('Raw Data Totals'!J40)/1)</f>
        <v>-0.27272727272727271</v>
      </c>
      <c r="K40" s="152">
        <f>IF('Raw Data Totals'!K53 &lt;&gt; 0, ('Raw Data Totals'!K40-'Raw Data Totals'!K53)/'Raw Data Totals'!K53, ('Raw Data Totals'!K40)/1)</f>
        <v>-0.72340425531914898</v>
      </c>
      <c r="L40" s="152">
        <f>IF('Raw Data Totals'!L53 &lt;&gt; 0, ('Raw Data Totals'!L40-'Raw Data Totals'!L53)/'Raw Data Totals'!L53, ('Raw Data Totals'!L40)/1)</f>
        <v>2.2592592592592591</v>
      </c>
      <c r="M40" s="152">
        <v>0</v>
      </c>
      <c r="N40" s="24" t="s">
        <v>4</v>
      </c>
      <c r="O40" s="132" t="s">
        <v>8</v>
      </c>
    </row>
    <row r="41" spans="1:15" x14ac:dyDescent="0.35">
      <c r="A41" s="176" t="s">
        <v>3</v>
      </c>
      <c r="B41" s="177" t="s">
        <v>7</v>
      </c>
      <c r="C41" s="28" t="s">
        <v>22</v>
      </c>
      <c r="D41" s="153">
        <f>IF('Raw Data Totals'!D54 &lt;&gt; 0, ('Raw Data Totals'!D41-'Raw Data Totals'!D54)/'Raw Data Totals'!D54, ('Raw Data Totals'!D41)/1)</f>
        <v>-8.1395348837209308E-2</v>
      </c>
      <c r="E41" s="153">
        <f>IF('Raw Data Totals'!E54 &lt;&gt; 0, ('Raw Data Totals'!E41-'Raw Data Totals'!E54)/'Raw Data Totals'!E54, ('Raw Data Totals'!E41)/1)</f>
        <v>0</v>
      </c>
      <c r="F41" s="153">
        <f>IF('Raw Data Totals'!F54 &lt;&gt; 0, ('Raw Data Totals'!F41-'Raw Data Totals'!F54)/'Raw Data Totals'!F54, ('Raw Data Totals'!F41)/1)</f>
        <v>0</v>
      </c>
      <c r="G41" s="153">
        <f>IF('Raw Data Totals'!G54 &lt;&gt; 0, ('Raw Data Totals'!G41-'Raw Data Totals'!G54)/'Raw Data Totals'!G54, ('Raw Data Totals'!G41)/1)</f>
        <v>3.5</v>
      </c>
      <c r="H41" s="153">
        <f>IF('Raw Data Totals'!H54 &lt;&gt; 0, ('Raw Data Totals'!H41-'Raw Data Totals'!H54)/'Raw Data Totals'!H54, ('Raw Data Totals'!H41)/1)</f>
        <v>0.5</v>
      </c>
      <c r="I41" s="153">
        <f>IF('Raw Data Totals'!I54 &lt;&gt; 0, ('Raw Data Totals'!I41-'Raw Data Totals'!I54)/'Raw Data Totals'!I54, ('Raw Data Totals'!I41)/1)</f>
        <v>1</v>
      </c>
      <c r="J41" s="153">
        <f>IF('Raw Data Totals'!J54 &lt;&gt; 0, ('Raw Data Totals'!J41-'Raw Data Totals'!J54)/'Raw Data Totals'!J54, ('Raw Data Totals'!J41)/1)</f>
        <v>6</v>
      </c>
      <c r="K41" s="153">
        <f>IF('Raw Data Totals'!K54 &lt;&gt; 0, ('Raw Data Totals'!K41-'Raw Data Totals'!K54)/'Raw Data Totals'!K54, ('Raw Data Totals'!K41)/1)</f>
        <v>-1</v>
      </c>
      <c r="L41" s="153">
        <f>IF('Raw Data Totals'!L54 &lt;&gt; 0, ('Raw Data Totals'!L41-'Raw Data Totals'!L54)/'Raw Data Totals'!L54, ('Raw Data Totals'!L41)/1)</f>
        <v>1</v>
      </c>
      <c r="M41" s="153">
        <v>0</v>
      </c>
      <c r="N41" s="31" t="s">
        <v>3</v>
      </c>
      <c r="O41" s="133" t="s">
        <v>7</v>
      </c>
    </row>
    <row r="42" spans="1:15" x14ac:dyDescent="0.35">
      <c r="A42" s="176"/>
      <c r="B42" s="178"/>
      <c r="C42" s="28" t="s">
        <v>23</v>
      </c>
      <c r="D42" s="153">
        <f>IF('Raw Data Totals'!D55 &lt;&gt; 0, ('Raw Data Totals'!D42-'Raw Data Totals'!D55)/'Raw Data Totals'!D55, ('Raw Data Totals'!D42)/1)</f>
        <v>-9.3023255813953487E-2</v>
      </c>
      <c r="E42" s="153">
        <f>IF('Raw Data Totals'!E55 &lt;&gt; 0, ('Raw Data Totals'!E42-'Raw Data Totals'!E55)/'Raw Data Totals'!E55, ('Raw Data Totals'!E42)/1)</f>
        <v>0</v>
      </c>
      <c r="F42" s="153">
        <f>IF('Raw Data Totals'!F55 &lt;&gt; 0, ('Raw Data Totals'!F42-'Raw Data Totals'!F55)/'Raw Data Totals'!F55, ('Raw Data Totals'!F42)/1)</f>
        <v>6</v>
      </c>
      <c r="G42" s="153">
        <f>IF('Raw Data Totals'!G55 &lt;&gt; 0, ('Raw Data Totals'!G42-'Raw Data Totals'!G55)/'Raw Data Totals'!G55, ('Raw Data Totals'!G42)/1)</f>
        <v>0.5</v>
      </c>
      <c r="H42" s="153">
        <f>IF('Raw Data Totals'!H55 &lt;&gt; 0, ('Raw Data Totals'!H42-'Raw Data Totals'!H55)/'Raw Data Totals'!H55, ('Raw Data Totals'!H42)/1)</f>
        <v>-1</v>
      </c>
      <c r="I42" s="153">
        <f>IF('Raw Data Totals'!I55 &lt;&gt; 0, ('Raw Data Totals'!I42-'Raw Data Totals'!I55)/'Raw Data Totals'!I55, ('Raw Data Totals'!I42)/1)</f>
        <v>0.33333333333333331</v>
      </c>
      <c r="J42" s="153">
        <f>IF('Raw Data Totals'!J55 &lt;&gt; 0, ('Raw Data Totals'!J42-'Raw Data Totals'!J55)/'Raw Data Totals'!J55, ('Raw Data Totals'!J42)/1)</f>
        <v>0</v>
      </c>
      <c r="K42" s="153">
        <f>IF('Raw Data Totals'!K55 &lt;&gt; 0, ('Raw Data Totals'!K42-'Raw Data Totals'!K55)/'Raw Data Totals'!K55, ('Raw Data Totals'!K42)/1)</f>
        <v>-1</v>
      </c>
      <c r="L42" s="153">
        <f>IF('Raw Data Totals'!L55 &lt;&gt; 0, ('Raw Data Totals'!L42-'Raw Data Totals'!L55)/'Raw Data Totals'!L55, ('Raw Data Totals'!L42)/1)</f>
        <v>3</v>
      </c>
      <c r="M42" s="153">
        <v>0</v>
      </c>
      <c r="N42" s="31" t="s">
        <v>3</v>
      </c>
      <c r="O42" s="133" t="s">
        <v>7</v>
      </c>
    </row>
    <row r="43" spans="1:15" x14ac:dyDescent="0.35">
      <c r="A43" s="176"/>
      <c r="B43" s="178"/>
      <c r="C43" s="28" t="s">
        <v>24</v>
      </c>
      <c r="D43" s="153">
        <f>IF('Raw Data Totals'!D56 &lt;&gt; 0, ('Raw Data Totals'!D43-'Raw Data Totals'!D56)/'Raw Data Totals'!D56, ('Raw Data Totals'!D43)/1)</f>
        <v>-0.54166666666666663</v>
      </c>
      <c r="E43" s="153">
        <f>IF('Raw Data Totals'!E56 &lt;&gt; 0, ('Raw Data Totals'!E43-'Raw Data Totals'!E56)/'Raw Data Totals'!E56, ('Raw Data Totals'!E43)/1)</f>
        <v>0</v>
      </c>
      <c r="F43" s="153">
        <f>IF('Raw Data Totals'!F56 &lt;&gt; 0, ('Raw Data Totals'!F43-'Raw Data Totals'!F56)/'Raw Data Totals'!F56, ('Raw Data Totals'!F43)/1)</f>
        <v>0</v>
      </c>
      <c r="G43" s="153">
        <f>IF('Raw Data Totals'!G56 &lt;&gt; 0, ('Raw Data Totals'!G43-'Raw Data Totals'!G56)/'Raw Data Totals'!G56, ('Raw Data Totals'!G43)/1)</f>
        <v>0</v>
      </c>
      <c r="H43" s="153">
        <f>IF('Raw Data Totals'!H56 &lt;&gt; 0, ('Raw Data Totals'!H43-'Raw Data Totals'!H56)/'Raw Data Totals'!H56, ('Raw Data Totals'!H43)/1)</f>
        <v>0</v>
      </c>
      <c r="I43" s="153">
        <f>IF('Raw Data Totals'!I56 &lt;&gt; 0, ('Raw Data Totals'!I43-'Raw Data Totals'!I56)/'Raw Data Totals'!I56, ('Raw Data Totals'!I43)/1)</f>
        <v>-1</v>
      </c>
      <c r="J43" s="153">
        <f>IF('Raw Data Totals'!J56 &lt;&gt; 0, ('Raw Data Totals'!J43-'Raw Data Totals'!J56)/'Raw Data Totals'!J56, ('Raw Data Totals'!J43)/1)</f>
        <v>0</v>
      </c>
      <c r="K43" s="153">
        <f>IF('Raw Data Totals'!K56 &lt;&gt; 0, ('Raw Data Totals'!K43-'Raw Data Totals'!K56)/'Raw Data Totals'!K56, ('Raw Data Totals'!K43)/1)</f>
        <v>0</v>
      </c>
      <c r="L43" s="153">
        <f>IF('Raw Data Totals'!L56 &lt;&gt; 0, ('Raw Data Totals'!L43-'Raw Data Totals'!L56)/'Raw Data Totals'!L56, ('Raw Data Totals'!L43)/1)</f>
        <v>2</v>
      </c>
      <c r="M43" s="153">
        <v>0</v>
      </c>
      <c r="N43" s="31" t="s">
        <v>3</v>
      </c>
      <c r="O43" s="133" t="s">
        <v>7</v>
      </c>
    </row>
    <row r="44" spans="1:15" x14ac:dyDescent="0.35">
      <c r="A44" s="176"/>
      <c r="B44" s="178"/>
      <c r="C44" s="28" t="s">
        <v>25</v>
      </c>
      <c r="D44" s="153">
        <f>IF('Raw Data Totals'!D57 &lt;&gt; 0, ('Raw Data Totals'!D44-'Raw Data Totals'!D57)/'Raw Data Totals'!D57, ('Raw Data Totals'!D44)/1)</f>
        <v>-0.66666666666666663</v>
      </c>
      <c r="E44" s="153">
        <f>IF('Raw Data Totals'!E57 &lt;&gt; 0, ('Raw Data Totals'!E44-'Raw Data Totals'!E57)/'Raw Data Totals'!E57, ('Raw Data Totals'!E44)/1)</f>
        <v>-1</v>
      </c>
      <c r="F44" s="153">
        <f>IF('Raw Data Totals'!F57 &lt;&gt; 0, ('Raw Data Totals'!F44-'Raw Data Totals'!F57)/'Raw Data Totals'!F57, ('Raw Data Totals'!F44)/1)</f>
        <v>-0.5</v>
      </c>
      <c r="G44" s="153">
        <f>IF('Raw Data Totals'!G57 &lt;&gt; 0, ('Raw Data Totals'!G44-'Raw Data Totals'!G57)/'Raw Data Totals'!G57, ('Raw Data Totals'!G44)/1)</f>
        <v>0.5</v>
      </c>
      <c r="H44" s="153">
        <f>IF('Raw Data Totals'!H57 &lt;&gt; 0, ('Raw Data Totals'!H44-'Raw Data Totals'!H57)/'Raw Data Totals'!H57, ('Raw Data Totals'!H44)/1)</f>
        <v>-0.875</v>
      </c>
      <c r="I44" s="153">
        <f>IF('Raw Data Totals'!I57 &lt;&gt; 0, ('Raw Data Totals'!I44-'Raw Data Totals'!I57)/'Raw Data Totals'!I57, ('Raw Data Totals'!I44)/1)</f>
        <v>0</v>
      </c>
      <c r="J44" s="153">
        <f>IF('Raw Data Totals'!J57 &lt;&gt; 0, ('Raw Data Totals'!J44-'Raw Data Totals'!J57)/'Raw Data Totals'!J57, ('Raw Data Totals'!J44)/1)</f>
        <v>-1</v>
      </c>
      <c r="K44" s="153">
        <f>IF('Raw Data Totals'!K57 &lt;&gt; 0, ('Raw Data Totals'!K44-'Raw Data Totals'!K57)/'Raw Data Totals'!K57, ('Raw Data Totals'!K44)/1)</f>
        <v>0</v>
      </c>
      <c r="L44" s="153">
        <f>IF('Raw Data Totals'!L57 &lt;&gt; 0, ('Raw Data Totals'!L44-'Raw Data Totals'!L57)/'Raw Data Totals'!L57, ('Raw Data Totals'!L44)/1)</f>
        <v>-0.25</v>
      </c>
      <c r="M44" s="153">
        <v>0</v>
      </c>
      <c r="N44" s="31" t="s">
        <v>3</v>
      </c>
      <c r="O44" s="133" t="s">
        <v>7</v>
      </c>
    </row>
    <row r="45" spans="1:15" x14ac:dyDescent="0.35">
      <c r="A45" s="176"/>
      <c r="B45" s="178"/>
      <c r="C45" s="28" t="s">
        <v>26</v>
      </c>
      <c r="D45" s="153">
        <f>IF('Raw Data Totals'!D58 &lt;&gt; 0, ('Raw Data Totals'!D45-'Raw Data Totals'!D58)/'Raw Data Totals'!D58, ('Raw Data Totals'!D45)/1)</f>
        <v>2</v>
      </c>
      <c r="E45" s="153">
        <f>IF('Raw Data Totals'!E58 &lt;&gt; 0, ('Raw Data Totals'!E45-'Raw Data Totals'!E58)/'Raw Data Totals'!E58, ('Raw Data Totals'!E45)/1)</f>
        <v>1</v>
      </c>
      <c r="F45" s="153">
        <f>IF('Raw Data Totals'!F58 &lt;&gt; 0, ('Raw Data Totals'!F45-'Raw Data Totals'!F58)/'Raw Data Totals'!F58, ('Raw Data Totals'!F45)/1)</f>
        <v>0</v>
      </c>
      <c r="G45" s="153">
        <f>IF('Raw Data Totals'!G58 &lt;&gt; 0, ('Raw Data Totals'!G45-'Raw Data Totals'!G58)/'Raw Data Totals'!G58, ('Raw Data Totals'!G45)/1)</f>
        <v>0</v>
      </c>
      <c r="H45" s="153">
        <f>IF('Raw Data Totals'!H58 &lt;&gt; 0, ('Raw Data Totals'!H45-'Raw Data Totals'!H58)/'Raw Data Totals'!H58, ('Raw Data Totals'!H45)/1)</f>
        <v>0</v>
      </c>
      <c r="I45" s="153">
        <f>IF('Raw Data Totals'!I58 &lt;&gt; 0, ('Raw Data Totals'!I45-'Raw Data Totals'!I58)/'Raw Data Totals'!I58, ('Raw Data Totals'!I45)/1)</f>
        <v>0</v>
      </c>
      <c r="J45" s="153">
        <f>IF('Raw Data Totals'!J58 &lt;&gt; 0, ('Raw Data Totals'!J45-'Raw Data Totals'!J58)/'Raw Data Totals'!J58, ('Raw Data Totals'!J45)/1)</f>
        <v>0</v>
      </c>
      <c r="K45" s="153">
        <f>IF('Raw Data Totals'!K58 &lt;&gt; 0, ('Raw Data Totals'!K45-'Raw Data Totals'!K58)/'Raw Data Totals'!K58, ('Raw Data Totals'!K45)/1)</f>
        <v>0</v>
      </c>
      <c r="L45" s="153">
        <f>IF('Raw Data Totals'!L58 &lt;&gt; 0, ('Raw Data Totals'!L45-'Raw Data Totals'!L58)/'Raw Data Totals'!L58, ('Raw Data Totals'!L45)/1)</f>
        <v>0</v>
      </c>
      <c r="M45" s="153">
        <v>0</v>
      </c>
      <c r="N45" s="31" t="s">
        <v>3</v>
      </c>
      <c r="O45" s="133" t="s">
        <v>7</v>
      </c>
    </row>
    <row r="46" spans="1:15" ht="15" thickBot="1" x14ac:dyDescent="0.4">
      <c r="A46" s="176"/>
      <c r="B46" s="178"/>
      <c r="C46" s="28" t="s">
        <v>27</v>
      </c>
      <c r="D46" s="153">
        <f>IF('Raw Data Totals'!D59 &lt;&gt; 0, ('Raw Data Totals'!D46-'Raw Data Totals'!D59)/'Raw Data Totals'!D59, ('Raw Data Totals'!D46)/1)</f>
        <v>-0.61111111111111116</v>
      </c>
      <c r="E46" s="153">
        <f>IF('Raw Data Totals'!E59 &lt;&gt; 0, ('Raw Data Totals'!E46-'Raw Data Totals'!E59)/'Raw Data Totals'!E59, ('Raw Data Totals'!E46)/1)</f>
        <v>0</v>
      </c>
      <c r="F46" s="153">
        <f>IF('Raw Data Totals'!F59 &lt;&gt; 0, ('Raw Data Totals'!F46-'Raw Data Totals'!F59)/'Raw Data Totals'!F59, ('Raw Data Totals'!F46)/1)</f>
        <v>0</v>
      </c>
      <c r="G46" s="153">
        <f>IF('Raw Data Totals'!G59 &lt;&gt; 0, ('Raw Data Totals'!G46-'Raw Data Totals'!G59)/'Raw Data Totals'!G59, ('Raw Data Totals'!G46)/1)</f>
        <v>1</v>
      </c>
      <c r="H46" s="153">
        <f>IF('Raw Data Totals'!H59 &lt;&gt; 0, ('Raw Data Totals'!H46-'Raw Data Totals'!H59)/'Raw Data Totals'!H59, ('Raw Data Totals'!H46)/1)</f>
        <v>0</v>
      </c>
      <c r="I46" s="153">
        <f>IF('Raw Data Totals'!I59 &lt;&gt; 0, ('Raw Data Totals'!I46-'Raw Data Totals'!I59)/'Raw Data Totals'!I59, ('Raw Data Totals'!I46)/1)</f>
        <v>0</v>
      </c>
      <c r="J46" s="153">
        <f>IF('Raw Data Totals'!J59 &lt;&gt; 0, ('Raw Data Totals'!J46-'Raw Data Totals'!J59)/'Raw Data Totals'!J59, ('Raw Data Totals'!J46)/1)</f>
        <v>0</v>
      </c>
      <c r="K46" s="153">
        <f>IF('Raw Data Totals'!K59 &lt;&gt; 0, ('Raw Data Totals'!K46-'Raw Data Totals'!K59)/'Raw Data Totals'!K59, ('Raw Data Totals'!K46)/1)</f>
        <v>0</v>
      </c>
      <c r="L46" s="153">
        <f>IF('Raw Data Totals'!L59 &lt;&gt; 0, ('Raw Data Totals'!L46-'Raw Data Totals'!L59)/'Raw Data Totals'!L59, ('Raw Data Totals'!L46)/1)</f>
        <v>0</v>
      </c>
      <c r="M46" s="153">
        <v>0</v>
      </c>
      <c r="N46" s="31" t="s">
        <v>3</v>
      </c>
      <c r="O46" s="133" t="s">
        <v>7</v>
      </c>
    </row>
    <row r="47" spans="1:15" x14ac:dyDescent="0.35">
      <c r="A47" s="176"/>
      <c r="B47" s="177" t="s">
        <v>8</v>
      </c>
      <c r="C47" s="28" t="s">
        <v>28</v>
      </c>
      <c r="D47" s="153">
        <f>IF('Raw Data Totals'!D60 &lt;&gt; 0, ('Raw Data Totals'!D47-'Raw Data Totals'!D60)/'Raw Data Totals'!D60, ('Raw Data Totals'!D47)/1)</f>
        <v>-0.20225872689938398</v>
      </c>
      <c r="E47" s="153">
        <f>IF('Raw Data Totals'!E60 &lt;&gt; 0, ('Raw Data Totals'!E47-'Raw Data Totals'!E60)/'Raw Data Totals'!E60, ('Raw Data Totals'!E47)/1)</f>
        <v>-0.17708333333333334</v>
      </c>
      <c r="F47" s="153">
        <f>IF('Raw Data Totals'!F60 &lt;&gt; 0, ('Raw Data Totals'!F47-'Raw Data Totals'!F60)/'Raw Data Totals'!F60, ('Raw Data Totals'!F47)/1)</f>
        <v>8.0357142857142863E-2</v>
      </c>
      <c r="G47" s="153">
        <f>IF('Raw Data Totals'!G60 &lt;&gt; 0, ('Raw Data Totals'!G47-'Raw Data Totals'!G60)/'Raw Data Totals'!G60, ('Raw Data Totals'!G47)/1)</f>
        <v>0.449438202247191</v>
      </c>
      <c r="H47" s="153">
        <f>IF('Raw Data Totals'!H60 &lt;&gt; 0, ('Raw Data Totals'!H47-'Raw Data Totals'!H60)/'Raw Data Totals'!H60, ('Raw Data Totals'!H47)/1)</f>
        <v>1.288888888888889</v>
      </c>
      <c r="I47" s="153">
        <f>IF('Raw Data Totals'!I60 &lt;&gt; 0, ('Raw Data Totals'!I47-'Raw Data Totals'!I60)/'Raw Data Totals'!I60, ('Raw Data Totals'!I47)/1)</f>
        <v>0.98076923076923073</v>
      </c>
      <c r="J47" s="153">
        <f>IF('Raw Data Totals'!J60 &lt;&gt; 0, ('Raw Data Totals'!J47-'Raw Data Totals'!J60)/'Raw Data Totals'!J60, ('Raw Data Totals'!J47)/1)</f>
        <v>0.88709677419354838</v>
      </c>
      <c r="K47" s="153">
        <f>IF('Raw Data Totals'!K60 &lt;&gt; 0, ('Raw Data Totals'!K47-'Raw Data Totals'!K60)/'Raw Data Totals'!K60, ('Raw Data Totals'!K47)/1)</f>
        <v>-3.0303030303030304E-2</v>
      </c>
      <c r="L47" s="153">
        <f>IF('Raw Data Totals'!L60 &lt;&gt; 0, ('Raw Data Totals'!L47-'Raw Data Totals'!L60)/'Raw Data Totals'!L60, ('Raw Data Totals'!L47)/1)</f>
        <v>1.41</v>
      </c>
      <c r="M47" s="153">
        <v>0</v>
      </c>
      <c r="N47" s="31" t="s">
        <v>3</v>
      </c>
      <c r="O47" s="133" t="s">
        <v>8</v>
      </c>
    </row>
    <row r="48" spans="1:15" x14ac:dyDescent="0.35">
      <c r="A48" s="176"/>
      <c r="B48" s="178"/>
      <c r="C48" s="28" t="s">
        <v>29</v>
      </c>
      <c r="D48" s="153">
        <f>IF('Raw Data Totals'!D61 &lt;&gt; 0, ('Raw Data Totals'!D48-'Raw Data Totals'!D61)/'Raw Data Totals'!D61, ('Raw Data Totals'!D48)/1)</f>
        <v>-0.32802547770700635</v>
      </c>
      <c r="E48" s="153">
        <f>IF('Raw Data Totals'!E61 &lt;&gt; 0, ('Raw Data Totals'!E48-'Raw Data Totals'!E61)/'Raw Data Totals'!E61, ('Raw Data Totals'!E48)/1)</f>
        <v>-0.56521739130434778</v>
      </c>
      <c r="F48" s="153">
        <f>IF('Raw Data Totals'!F61 &lt;&gt; 0, ('Raw Data Totals'!F48-'Raw Data Totals'!F61)/'Raw Data Totals'!F61, ('Raw Data Totals'!F48)/1)</f>
        <v>-0.21428571428571427</v>
      </c>
      <c r="G48" s="153">
        <f>IF('Raw Data Totals'!G61 &lt;&gt; 0, ('Raw Data Totals'!G48-'Raw Data Totals'!G61)/'Raw Data Totals'!G61, ('Raw Data Totals'!G48)/1)</f>
        <v>0.26666666666666666</v>
      </c>
      <c r="H48" s="153">
        <f>IF('Raw Data Totals'!H61 &lt;&gt; 0, ('Raw Data Totals'!H48-'Raw Data Totals'!H61)/'Raw Data Totals'!H61, ('Raw Data Totals'!H48)/1)</f>
        <v>5.5555555555555552E-2</v>
      </c>
      <c r="I48" s="153">
        <f>IF('Raw Data Totals'!I61 &lt;&gt; 0, ('Raw Data Totals'!I48-'Raw Data Totals'!I61)/'Raw Data Totals'!I61, ('Raw Data Totals'!I48)/1)</f>
        <v>-0.42105263157894735</v>
      </c>
      <c r="J48" s="153">
        <f>IF('Raw Data Totals'!J61 &lt;&gt; 0, ('Raw Data Totals'!J48-'Raw Data Totals'!J61)/'Raw Data Totals'!J61, ('Raw Data Totals'!J48)/1)</f>
        <v>-4.1666666666666664E-2</v>
      </c>
      <c r="K48" s="153">
        <f>IF('Raw Data Totals'!K61 &lt;&gt; 0, ('Raw Data Totals'!K48-'Raw Data Totals'!K61)/'Raw Data Totals'!K61, ('Raw Data Totals'!K48)/1)</f>
        <v>-0.92307692307692313</v>
      </c>
      <c r="L48" s="153">
        <f>IF('Raw Data Totals'!L61 &lt;&gt; 0, ('Raw Data Totals'!L48-'Raw Data Totals'!L61)/'Raw Data Totals'!L61, ('Raw Data Totals'!L48)/1)</f>
        <v>0.94285714285714284</v>
      </c>
      <c r="M48" s="153">
        <v>0</v>
      </c>
      <c r="N48" s="31" t="s">
        <v>3</v>
      </c>
      <c r="O48" s="133" t="s">
        <v>8</v>
      </c>
    </row>
    <row r="49" spans="1:15" x14ac:dyDescent="0.35">
      <c r="A49" s="176"/>
      <c r="B49" s="178"/>
      <c r="C49" s="28" t="s">
        <v>30</v>
      </c>
      <c r="D49" s="153">
        <f>IF('Raw Data Totals'!D62 &lt;&gt; 0, ('Raw Data Totals'!D49-'Raw Data Totals'!D62)/'Raw Data Totals'!D62, ('Raw Data Totals'!D49)/1)</f>
        <v>-0.35616438356164382</v>
      </c>
      <c r="E49" s="153">
        <f>IF('Raw Data Totals'!E62 &lt;&gt; 0, ('Raw Data Totals'!E49-'Raw Data Totals'!E62)/'Raw Data Totals'!E62, ('Raw Data Totals'!E49)/1)</f>
        <v>1.6666666666666667</v>
      </c>
      <c r="F49" s="153">
        <f>IF('Raw Data Totals'!F62 &lt;&gt; 0, ('Raw Data Totals'!F49-'Raw Data Totals'!F62)/'Raw Data Totals'!F62, ('Raw Data Totals'!F49)/1)</f>
        <v>2.1666666666666665</v>
      </c>
      <c r="G49" s="153">
        <f>IF('Raw Data Totals'!G62 &lt;&gt; 0, ('Raw Data Totals'!G49-'Raw Data Totals'!G62)/'Raw Data Totals'!G62, ('Raw Data Totals'!G49)/1)</f>
        <v>-0.18181818181818182</v>
      </c>
      <c r="H49" s="153">
        <f>IF('Raw Data Totals'!H62 &lt;&gt; 0, ('Raw Data Totals'!H49-'Raw Data Totals'!H62)/'Raw Data Totals'!H62, ('Raw Data Totals'!H49)/1)</f>
        <v>-0.52941176470588236</v>
      </c>
      <c r="I49" s="153">
        <f>IF('Raw Data Totals'!I62 &lt;&gt; 0, ('Raw Data Totals'!I49-'Raw Data Totals'!I62)/'Raw Data Totals'!I62, ('Raw Data Totals'!I49)/1)</f>
        <v>0.41379310344827586</v>
      </c>
      <c r="J49" s="153">
        <f>IF('Raw Data Totals'!J62 &lt;&gt; 0, ('Raw Data Totals'!J49-'Raw Data Totals'!J62)/'Raw Data Totals'!J62, ('Raw Data Totals'!J49)/1)</f>
        <v>0</v>
      </c>
      <c r="K49" s="153">
        <f>IF('Raw Data Totals'!K62 &lt;&gt; 0, ('Raw Data Totals'!K49-'Raw Data Totals'!K62)/'Raw Data Totals'!K62, ('Raw Data Totals'!K49)/1)</f>
        <v>-0.14285714285714285</v>
      </c>
      <c r="L49" s="153">
        <f>IF('Raw Data Totals'!L62 &lt;&gt; 0, ('Raw Data Totals'!L49-'Raw Data Totals'!L62)/'Raw Data Totals'!L62, ('Raw Data Totals'!L49)/1)</f>
        <v>-0.2857142857142857</v>
      </c>
      <c r="M49" s="153">
        <v>0</v>
      </c>
      <c r="N49" s="31" t="s">
        <v>3</v>
      </c>
      <c r="O49" s="133" t="s">
        <v>8</v>
      </c>
    </row>
    <row r="50" spans="1:15" x14ac:dyDescent="0.35">
      <c r="A50" s="176"/>
      <c r="B50" s="178"/>
      <c r="C50" s="28" t="s">
        <v>31</v>
      </c>
      <c r="D50" s="153">
        <f>IF('Raw Data Totals'!D63 &lt;&gt; 0, ('Raw Data Totals'!D50-'Raw Data Totals'!D63)/'Raw Data Totals'!D63, ('Raw Data Totals'!D50)/1)</f>
        <v>-0.21428571428571427</v>
      </c>
      <c r="E50" s="153">
        <f>IF('Raw Data Totals'!E63 &lt;&gt; 0, ('Raw Data Totals'!E50-'Raw Data Totals'!E63)/'Raw Data Totals'!E63, ('Raw Data Totals'!E50)/1)</f>
        <v>-1</v>
      </c>
      <c r="F50" s="153">
        <f>IF('Raw Data Totals'!F63 &lt;&gt; 0, ('Raw Data Totals'!F50-'Raw Data Totals'!F63)/'Raw Data Totals'!F63, ('Raw Data Totals'!F50)/1)</f>
        <v>0</v>
      </c>
      <c r="G50" s="153">
        <f>IF('Raw Data Totals'!G63 &lt;&gt; 0, ('Raw Data Totals'!G50-'Raw Data Totals'!G63)/'Raw Data Totals'!G63, ('Raw Data Totals'!G50)/1)</f>
        <v>1</v>
      </c>
      <c r="H50" s="153">
        <f>IF('Raw Data Totals'!H63 &lt;&gt; 0, ('Raw Data Totals'!H50-'Raw Data Totals'!H63)/'Raw Data Totals'!H63, ('Raw Data Totals'!H50)/1)</f>
        <v>-0.5</v>
      </c>
      <c r="I50" s="153">
        <f>IF('Raw Data Totals'!I63 &lt;&gt; 0, ('Raw Data Totals'!I50-'Raw Data Totals'!I63)/'Raw Data Totals'!I63, ('Raw Data Totals'!I50)/1)</f>
        <v>0</v>
      </c>
      <c r="J50" s="153">
        <f>IF('Raw Data Totals'!J63 &lt;&gt; 0, ('Raw Data Totals'!J50-'Raw Data Totals'!J63)/'Raw Data Totals'!J63, ('Raw Data Totals'!J50)/1)</f>
        <v>19</v>
      </c>
      <c r="K50" s="153">
        <f>IF('Raw Data Totals'!K63 &lt;&gt; 0, ('Raw Data Totals'!K50-'Raw Data Totals'!K63)/'Raw Data Totals'!K63, ('Raw Data Totals'!K50)/1)</f>
        <v>0</v>
      </c>
      <c r="L50" s="153">
        <f>IF('Raw Data Totals'!L63 &lt;&gt; 0, ('Raw Data Totals'!L50-'Raw Data Totals'!L63)/'Raw Data Totals'!L63, ('Raw Data Totals'!L50)/1)</f>
        <v>4</v>
      </c>
      <c r="M50" s="153">
        <v>0</v>
      </c>
      <c r="N50" s="31" t="s">
        <v>3</v>
      </c>
      <c r="O50" s="133" t="s">
        <v>8</v>
      </c>
    </row>
    <row r="51" spans="1:15" x14ac:dyDescent="0.35">
      <c r="A51" s="176"/>
      <c r="B51" s="178"/>
      <c r="C51" s="28" t="s">
        <v>32</v>
      </c>
      <c r="D51" s="153">
        <f>IF('Raw Data Totals'!D64 &lt;&gt; 0, ('Raw Data Totals'!D51-'Raw Data Totals'!D64)/'Raw Data Totals'!D64, ('Raw Data Totals'!D51)/1)</f>
        <v>-0.22288795686039545</v>
      </c>
      <c r="E51" s="153">
        <f>IF('Raw Data Totals'!E64 &lt;&gt; 0, ('Raw Data Totals'!E51-'Raw Data Totals'!E64)/'Raw Data Totals'!E64, ('Raw Data Totals'!E51)/1)</f>
        <v>7.2727272727272724E-2</v>
      </c>
      <c r="F51" s="153">
        <f>IF('Raw Data Totals'!F64 &lt;&gt; 0, ('Raw Data Totals'!F51-'Raw Data Totals'!F64)/'Raw Data Totals'!F64, ('Raw Data Totals'!F51)/1)</f>
        <v>-0.34108527131782945</v>
      </c>
      <c r="G51" s="153">
        <f>IF('Raw Data Totals'!G64 &lt;&gt; 0, ('Raw Data Totals'!G51-'Raw Data Totals'!G64)/'Raw Data Totals'!G64, ('Raw Data Totals'!G51)/1)</f>
        <v>0.44</v>
      </c>
      <c r="H51" s="153">
        <f>IF('Raw Data Totals'!H64 &lt;&gt; 0, ('Raw Data Totals'!H51-'Raw Data Totals'!H64)/'Raw Data Totals'!H64, ('Raw Data Totals'!H51)/1)</f>
        <v>-9.8958333333333329E-2</v>
      </c>
      <c r="I51" s="153">
        <f>IF('Raw Data Totals'!I64 &lt;&gt; 0, ('Raw Data Totals'!I51-'Raw Data Totals'!I64)/'Raw Data Totals'!I64, ('Raw Data Totals'!I51)/1)</f>
        <v>-0.43370786516853932</v>
      </c>
      <c r="J51" s="153">
        <f>IF('Raw Data Totals'!J64 &lt;&gt; 0, ('Raw Data Totals'!J51-'Raw Data Totals'!J64)/'Raw Data Totals'!J64, ('Raw Data Totals'!J51)/1)</f>
        <v>0.7570093457943925</v>
      </c>
      <c r="K51" s="153">
        <f>IF('Raw Data Totals'!K64 &lt;&gt; 0, ('Raw Data Totals'!K51-'Raw Data Totals'!K64)/'Raw Data Totals'!K64, ('Raw Data Totals'!K51)/1)</f>
        <v>-0.39784946236559138</v>
      </c>
      <c r="L51" s="153">
        <f>IF('Raw Data Totals'!L64 &lt;&gt; 0, ('Raw Data Totals'!L51-'Raw Data Totals'!L64)/'Raw Data Totals'!L64, ('Raw Data Totals'!L51)/1)</f>
        <v>0.79503105590062106</v>
      </c>
      <c r="M51" s="153">
        <v>0</v>
      </c>
      <c r="N51" s="31" t="s">
        <v>3</v>
      </c>
      <c r="O51" s="133" t="s">
        <v>8</v>
      </c>
    </row>
    <row r="52" spans="1:15" x14ac:dyDescent="0.35">
      <c r="A52" s="176"/>
      <c r="B52" s="178"/>
      <c r="C52" s="28" t="s">
        <v>33</v>
      </c>
      <c r="D52" s="153">
        <f>IF('Raw Data Totals'!D65 &lt;&gt; 0, ('Raw Data Totals'!D52-'Raw Data Totals'!D65)/'Raw Data Totals'!D65, ('Raw Data Totals'!D52)/1)</f>
        <v>2.0642201834862386E-2</v>
      </c>
      <c r="E52" s="153">
        <f>IF('Raw Data Totals'!E65 &lt;&gt; 0, ('Raw Data Totals'!E52-'Raw Data Totals'!E65)/'Raw Data Totals'!E65, ('Raw Data Totals'!E52)/1)</f>
        <v>-8.3333333333333329E-2</v>
      </c>
      <c r="F52" s="153">
        <f>IF('Raw Data Totals'!F65 &lt;&gt; 0, ('Raw Data Totals'!F52-'Raw Data Totals'!F65)/'Raw Data Totals'!F65, ('Raw Data Totals'!F52)/1)</f>
        <v>-0.2857142857142857</v>
      </c>
      <c r="G52" s="153">
        <f>IF('Raw Data Totals'!G65 &lt;&gt; 0, ('Raw Data Totals'!G52-'Raw Data Totals'!G65)/'Raw Data Totals'!G65, ('Raw Data Totals'!G52)/1)</f>
        <v>0.5</v>
      </c>
      <c r="H52" s="153">
        <f>IF('Raw Data Totals'!H65 &lt;&gt; 0, ('Raw Data Totals'!H52-'Raw Data Totals'!H65)/'Raw Data Totals'!H65, ('Raw Data Totals'!H52)/1)</f>
        <v>0.1276595744680851</v>
      </c>
      <c r="I52" s="153">
        <f>IF('Raw Data Totals'!I65 &lt;&gt; 0, ('Raw Data Totals'!I52-'Raw Data Totals'!I65)/'Raw Data Totals'!I65, ('Raw Data Totals'!I52)/1)</f>
        <v>-3.4246575342465752E-2</v>
      </c>
      <c r="J52" s="153">
        <f>IF('Raw Data Totals'!J65 &lt;&gt; 0, ('Raw Data Totals'!J52-'Raw Data Totals'!J65)/'Raw Data Totals'!J65, ('Raw Data Totals'!J52)/1)</f>
        <v>0.16326530612244897</v>
      </c>
      <c r="K52" s="153">
        <f>IF('Raw Data Totals'!K65 &lt;&gt; 0, ('Raw Data Totals'!K52-'Raw Data Totals'!K65)/'Raw Data Totals'!K65, ('Raw Data Totals'!K52)/1)</f>
        <v>0.33333333333333331</v>
      </c>
      <c r="L52" s="153">
        <f>IF('Raw Data Totals'!L65 &lt;&gt; 0, ('Raw Data Totals'!L52-'Raw Data Totals'!L65)/'Raw Data Totals'!L65, ('Raw Data Totals'!L52)/1)</f>
        <v>3.5277777777777777</v>
      </c>
      <c r="M52" s="153">
        <v>0</v>
      </c>
      <c r="N52" s="31" t="s">
        <v>3</v>
      </c>
      <c r="O52" s="133" t="s">
        <v>8</v>
      </c>
    </row>
    <row r="53" spans="1:15" ht="15" thickBot="1" x14ac:dyDescent="0.4">
      <c r="A53" s="176"/>
      <c r="B53" s="178"/>
      <c r="C53" s="28" t="s">
        <v>34</v>
      </c>
      <c r="D53" s="153">
        <f>IF('Raw Data Totals'!D66 &lt;&gt; 0, ('Raw Data Totals'!D53-'Raw Data Totals'!D66)/'Raw Data Totals'!D66, ('Raw Data Totals'!D53)/1)</f>
        <v>0.5370919881305638</v>
      </c>
      <c r="E53" s="153">
        <f>IF('Raw Data Totals'!E66 &lt;&gt; 0, ('Raw Data Totals'!E53-'Raw Data Totals'!E66)/'Raw Data Totals'!E66, ('Raw Data Totals'!E53)/1)</f>
        <v>-0.45714285714285713</v>
      </c>
      <c r="F53" s="153">
        <f>IF('Raw Data Totals'!F66 &lt;&gt; 0, ('Raw Data Totals'!F53-'Raw Data Totals'!F66)/'Raw Data Totals'!F66, ('Raw Data Totals'!F53)/1)</f>
        <v>-4.7619047619047616E-2</v>
      </c>
      <c r="G53" s="153">
        <f>IF('Raw Data Totals'!G66 &lt;&gt; 0, ('Raw Data Totals'!G53-'Raw Data Totals'!G66)/'Raw Data Totals'!G66, ('Raw Data Totals'!G53)/1)</f>
        <v>-0.7168141592920354</v>
      </c>
      <c r="H53" s="153">
        <f>IF('Raw Data Totals'!H66 &lt;&gt; 0, ('Raw Data Totals'!H53-'Raw Data Totals'!H66)/'Raw Data Totals'!H66, ('Raw Data Totals'!H53)/1)</f>
        <v>1.8421052631578947</v>
      </c>
      <c r="I53" s="153">
        <f>IF('Raw Data Totals'!I66 &lt;&gt; 0, ('Raw Data Totals'!I53-'Raw Data Totals'!I66)/'Raw Data Totals'!I66, ('Raw Data Totals'!I53)/1)</f>
        <v>0.16666666666666666</v>
      </c>
      <c r="J53" s="153">
        <f>IF('Raw Data Totals'!J66 &lt;&gt; 0, ('Raw Data Totals'!J53-'Raw Data Totals'!J66)/'Raw Data Totals'!J66, ('Raw Data Totals'!J53)/1)</f>
        <v>0.94117647058823528</v>
      </c>
      <c r="K53" s="153">
        <f>IF('Raw Data Totals'!K66 &lt;&gt; 0, ('Raw Data Totals'!K53-'Raw Data Totals'!K66)/'Raw Data Totals'!K66, ('Raw Data Totals'!K53)/1)</f>
        <v>0.5161290322580645</v>
      </c>
      <c r="L53" s="153">
        <f>IF('Raw Data Totals'!L66 &lt;&gt; 0, ('Raw Data Totals'!L53-'Raw Data Totals'!L66)/'Raw Data Totals'!L66, ('Raw Data Totals'!L53)/1)</f>
        <v>3.8461538461538464E-2</v>
      </c>
      <c r="M53" s="153">
        <v>0</v>
      </c>
      <c r="N53" s="31" t="s">
        <v>3</v>
      </c>
      <c r="O53" s="133" t="s">
        <v>8</v>
      </c>
    </row>
    <row r="54" spans="1:15" x14ac:dyDescent="0.35">
      <c r="A54" s="173" t="s">
        <v>2</v>
      </c>
      <c r="B54" s="171" t="s">
        <v>7</v>
      </c>
      <c r="C54" s="33" t="s">
        <v>22</v>
      </c>
      <c r="D54" s="154">
        <f>IF('Raw Data Totals'!D67 &lt;&gt; 0, ('Raw Data Totals'!D54-'Raw Data Totals'!D67)/'Raw Data Totals'!D67, ('Raw Data Totals'!D54)/1)</f>
        <v>0.91111111111111109</v>
      </c>
      <c r="E54" s="154">
        <f>IF('Raw Data Totals'!E67 &lt;&gt; 0, ('Raw Data Totals'!E54-'Raw Data Totals'!E67)/'Raw Data Totals'!E67, ('Raw Data Totals'!E54)/1)</f>
        <v>0</v>
      </c>
      <c r="F54" s="154">
        <f>IF('Raw Data Totals'!F67 &lt;&gt; 0, ('Raw Data Totals'!F54-'Raw Data Totals'!F67)/'Raw Data Totals'!F67, ('Raw Data Totals'!F54)/1)</f>
        <v>0</v>
      </c>
      <c r="G54" s="154">
        <f>IF('Raw Data Totals'!G67 &lt;&gt; 0, ('Raw Data Totals'!G54-'Raw Data Totals'!G67)/'Raw Data Totals'!G67, ('Raw Data Totals'!G54)/1)</f>
        <v>2</v>
      </c>
      <c r="H54" s="154">
        <f>IF('Raw Data Totals'!H67 &lt;&gt; 0, ('Raw Data Totals'!H54-'Raw Data Totals'!H67)/'Raw Data Totals'!H67, ('Raw Data Totals'!H54)/1)</f>
        <v>2</v>
      </c>
      <c r="I54" s="154">
        <f>IF('Raw Data Totals'!I67 &lt;&gt; 0, ('Raw Data Totals'!I54-'Raw Data Totals'!I67)/'Raw Data Totals'!I67, ('Raw Data Totals'!I54)/1)</f>
        <v>-0.66666666666666663</v>
      </c>
      <c r="J54" s="154">
        <f>IF('Raw Data Totals'!J67 &lt;&gt; 0, ('Raw Data Totals'!J54-'Raw Data Totals'!J67)/'Raw Data Totals'!J67, ('Raw Data Totals'!J54)/1)</f>
        <v>0</v>
      </c>
      <c r="K54" s="154">
        <f>IF('Raw Data Totals'!K67 &lt;&gt; 0, ('Raw Data Totals'!K54-'Raw Data Totals'!K67)/'Raw Data Totals'!K67, ('Raw Data Totals'!K54)/1)</f>
        <v>1</v>
      </c>
      <c r="L54" s="154">
        <f>IF('Raw Data Totals'!L67 &lt;&gt; 0, ('Raw Data Totals'!L54-'Raw Data Totals'!L67)/'Raw Data Totals'!L67, ('Raw Data Totals'!L54)/1)</f>
        <v>-0.75</v>
      </c>
      <c r="M54" s="154">
        <v>0</v>
      </c>
      <c r="N54" s="34" t="s">
        <v>2</v>
      </c>
      <c r="O54" s="134" t="s">
        <v>7</v>
      </c>
    </row>
    <row r="55" spans="1:15" x14ac:dyDescent="0.35">
      <c r="A55" s="173"/>
      <c r="B55" s="172"/>
      <c r="C55" s="33" t="s">
        <v>23</v>
      </c>
      <c r="D55" s="154">
        <f>IF('Raw Data Totals'!D68 &lt;&gt; 0, ('Raw Data Totals'!D55-'Raw Data Totals'!D68)/'Raw Data Totals'!D68, ('Raw Data Totals'!D55)/1)</f>
        <v>-0.43421052631578949</v>
      </c>
      <c r="E55" s="154">
        <f>IF('Raw Data Totals'!E68 &lt;&gt; 0, ('Raw Data Totals'!E55-'Raw Data Totals'!E68)/'Raw Data Totals'!E68, ('Raw Data Totals'!E55)/1)</f>
        <v>0</v>
      </c>
      <c r="F55" s="154">
        <f>IF('Raw Data Totals'!F68 &lt;&gt; 0, ('Raw Data Totals'!F55-'Raw Data Totals'!F68)/'Raw Data Totals'!F68, ('Raw Data Totals'!F55)/1)</f>
        <v>-1</v>
      </c>
      <c r="G55" s="154">
        <f>IF('Raw Data Totals'!G68 &lt;&gt; 0, ('Raw Data Totals'!G55-'Raw Data Totals'!G68)/'Raw Data Totals'!G68, ('Raw Data Totals'!G55)/1)</f>
        <v>2</v>
      </c>
      <c r="H55" s="154">
        <f>IF('Raw Data Totals'!H68 &lt;&gt; 0, ('Raw Data Totals'!H55-'Raw Data Totals'!H68)/'Raw Data Totals'!H68, ('Raw Data Totals'!H55)/1)</f>
        <v>1</v>
      </c>
      <c r="I55" s="154">
        <f>IF('Raw Data Totals'!I68 &lt;&gt; 0, ('Raw Data Totals'!I55-'Raw Data Totals'!I68)/'Raw Data Totals'!I68, ('Raw Data Totals'!I55)/1)</f>
        <v>-0.5714285714285714</v>
      </c>
      <c r="J55" s="154">
        <f>IF('Raw Data Totals'!J68 &lt;&gt; 0, ('Raw Data Totals'!J55-'Raw Data Totals'!J68)/'Raw Data Totals'!J68, ('Raw Data Totals'!J55)/1)</f>
        <v>0</v>
      </c>
      <c r="K55" s="154">
        <f>IF('Raw Data Totals'!K68 &lt;&gt; 0, ('Raw Data Totals'!K55-'Raw Data Totals'!K68)/'Raw Data Totals'!K68, ('Raw Data Totals'!K55)/1)</f>
        <v>-0.66666666666666663</v>
      </c>
      <c r="L55" s="154">
        <f>IF('Raw Data Totals'!L68 &lt;&gt; 0, ('Raw Data Totals'!L55-'Raw Data Totals'!L68)/'Raw Data Totals'!L68, ('Raw Data Totals'!L55)/1)</f>
        <v>-1</v>
      </c>
      <c r="M55" s="154">
        <v>0</v>
      </c>
      <c r="N55" s="34" t="s">
        <v>2</v>
      </c>
      <c r="O55" s="134" t="s">
        <v>7</v>
      </c>
    </row>
    <row r="56" spans="1:15" x14ac:dyDescent="0.35">
      <c r="A56" s="173"/>
      <c r="B56" s="172"/>
      <c r="C56" s="33" t="s">
        <v>24</v>
      </c>
      <c r="D56" s="154">
        <f>IF('Raw Data Totals'!D69 &lt;&gt; 0, ('Raw Data Totals'!D56-'Raw Data Totals'!D69)/'Raw Data Totals'!D69, ('Raw Data Totals'!D56)/1)</f>
        <v>0.5</v>
      </c>
      <c r="E56" s="154">
        <f>IF('Raw Data Totals'!E69 &lt;&gt; 0, ('Raw Data Totals'!E56-'Raw Data Totals'!E69)/'Raw Data Totals'!E69, ('Raw Data Totals'!E56)/1)</f>
        <v>0</v>
      </c>
      <c r="F56" s="154">
        <f>IF('Raw Data Totals'!F69 &lt;&gt; 0, ('Raw Data Totals'!F56-'Raw Data Totals'!F69)/'Raw Data Totals'!F69, ('Raw Data Totals'!F56)/1)</f>
        <v>-1</v>
      </c>
      <c r="G56" s="154">
        <f>IF('Raw Data Totals'!G69 &lt;&gt; 0, ('Raw Data Totals'!G56-'Raw Data Totals'!G69)/'Raw Data Totals'!G69, ('Raw Data Totals'!G56)/1)</f>
        <v>-1</v>
      </c>
      <c r="H56" s="154">
        <f>IF('Raw Data Totals'!H69 &lt;&gt; 0, ('Raw Data Totals'!H56-'Raw Data Totals'!H69)/'Raw Data Totals'!H69, ('Raw Data Totals'!H56)/1)</f>
        <v>0</v>
      </c>
      <c r="I56" s="154">
        <f>IF('Raw Data Totals'!I69 &lt;&gt; 0, ('Raw Data Totals'!I56-'Raw Data Totals'!I69)/'Raw Data Totals'!I69, ('Raw Data Totals'!I56)/1)</f>
        <v>0</v>
      </c>
      <c r="J56" s="154">
        <f>IF('Raw Data Totals'!J69 &lt;&gt; 0, ('Raw Data Totals'!J56-'Raw Data Totals'!J69)/'Raw Data Totals'!J69, ('Raw Data Totals'!J56)/1)</f>
        <v>0</v>
      </c>
      <c r="K56" s="154">
        <f>IF('Raw Data Totals'!K69 &lt;&gt; 0, ('Raw Data Totals'!K56-'Raw Data Totals'!K69)/'Raw Data Totals'!K69, ('Raw Data Totals'!K56)/1)</f>
        <v>-1</v>
      </c>
      <c r="L56" s="154">
        <f>IF('Raw Data Totals'!L69 &lt;&gt; 0, ('Raw Data Totals'!L56-'Raw Data Totals'!L69)/'Raw Data Totals'!L69, ('Raw Data Totals'!L56)/1)</f>
        <v>-1</v>
      </c>
      <c r="M56" s="154">
        <v>0</v>
      </c>
      <c r="N56" s="34" t="s">
        <v>2</v>
      </c>
      <c r="O56" s="134" t="s">
        <v>7</v>
      </c>
    </row>
    <row r="57" spans="1:15" x14ac:dyDescent="0.35">
      <c r="A57" s="173"/>
      <c r="B57" s="172"/>
      <c r="C57" s="33" t="s">
        <v>25</v>
      </c>
      <c r="D57" s="154">
        <f>IF('Raw Data Totals'!D70 &lt;&gt; 0, ('Raw Data Totals'!D57-'Raw Data Totals'!D70)/'Raw Data Totals'!D70, ('Raw Data Totals'!D57)/1)</f>
        <v>0.5</v>
      </c>
      <c r="E57" s="154">
        <f>IF('Raw Data Totals'!E70 &lt;&gt; 0, ('Raw Data Totals'!E57-'Raw Data Totals'!E70)/'Raw Data Totals'!E70, ('Raw Data Totals'!E57)/1)</f>
        <v>4.5</v>
      </c>
      <c r="F57" s="154">
        <f>IF('Raw Data Totals'!F70 &lt;&gt; 0, ('Raw Data Totals'!F57-'Raw Data Totals'!F70)/'Raw Data Totals'!F70, ('Raw Data Totals'!F57)/1)</f>
        <v>0.33333333333333331</v>
      </c>
      <c r="G57" s="154">
        <f>IF('Raw Data Totals'!G70 &lt;&gt; 0, ('Raw Data Totals'!G57-'Raw Data Totals'!G70)/'Raw Data Totals'!G70, ('Raw Data Totals'!G57)/1)</f>
        <v>-0.33333333333333331</v>
      </c>
      <c r="H57" s="154">
        <f>IF('Raw Data Totals'!H70 &lt;&gt; 0, ('Raw Data Totals'!H57-'Raw Data Totals'!H70)/'Raw Data Totals'!H70, ('Raw Data Totals'!H57)/1)</f>
        <v>-0.1111111111111111</v>
      </c>
      <c r="I57" s="154">
        <f>IF('Raw Data Totals'!I70 &lt;&gt; 0, ('Raw Data Totals'!I57-'Raw Data Totals'!I70)/'Raw Data Totals'!I70, ('Raw Data Totals'!I57)/1)</f>
        <v>-0.66666666666666663</v>
      </c>
      <c r="J57" s="154">
        <f>IF('Raw Data Totals'!J70 &lt;&gt; 0, ('Raw Data Totals'!J57-'Raw Data Totals'!J70)/'Raw Data Totals'!J70, ('Raw Data Totals'!J57)/1)</f>
        <v>1</v>
      </c>
      <c r="K57" s="154">
        <f>IF('Raw Data Totals'!K70 &lt;&gt; 0, ('Raw Data Totals'!K57-'Raw Data Totals'!K70)/'Raw Data Totals'!K70, ('Raw Data Totals'!K57)/1)</f>
        <v>2</v>
      </c>
      <c r="L57" s="154">
        <f>IF('Raw Data Totals'!L70 &lt;&gt; 0, ('Raw Data Totals'!L57-'Raw Data Totals'!L70)/'Raw Data Totals'!L70, ('Raw Data Totals'!L57)/1)</f>
        <v>0.33333333333333331</v>
      </c>
      <c r="M57" s="154">
        <v>0</v>
      </c>
      <c r="N57" s="34" t="s">
        <v>2</v>
      </c>
      <c r="O57" s="134" t="s">
        <v>7</v>
      </c>
    </row>
    <row r="58" spans="1:15" x14ac:dyDescent="0.35">
      <c r="A58" s="173"/>
      <c r="B58" s="172"/>
      <c r="C58" s="33" t="s">
        <v>26</v>
      </c>
      <c r="D58" s="154">
        <f>IF('Raw Data Totals'!D71 &lt;&gt; 0, ('Raw Data Totals'!D58-'Raw Data Totals'!D71)/'Raw Data Totals'!D71, ('Raw Data Totals'!D58)/1)</f>
        <v>-1</v>
      </c>
      <c r="E58" s="154">
        <f>IF('Raw Data Totals'!E71 &lt;&gt; 0, ('Raw Data Totals'!E58-'Raw Data Totals'!E71)/'Raw Data Totals'!E71, ('Raw Data Totals'!E58)/1)</f>
        <v>1</v>
      </c>
      <c r="F58" s="154">
        <f>IF('Raw Data Totals'!F71 &lt;&gt; 0, ('Raw Data Totals'!F58-'Raw Data Totals'!F71)/'Raw Data Totals'!F71, ('Raw Data Totals'!F58)/1)</f>
        <v>0</v>
      </c>
      <c r="G58" s="154">
        <f>IF('Raw Data Totals'!G71 &lt;&gt; 0, ('Raw Data Totals'!G58-'Raw Data Totals'!G71)/'Raw Data Totals'!G71, ('Raw Data Totals'!G58)/1)</f>
        <v>0</v>
      </c>
      <c r="H58" s="154">
        <f>IF('Raw Data Totals'!H71 &lt;&gt; 0, ('Raw Data Totals'!H58-'Raw Data Totals'!H71)/'Raw Data Totals'!H71, ('Raw Data Totals'!H58)/1)</f>
        <v>0</v>
      </c>
      <c r="I58" s="154">
        <f>IF('Raw Data Totals'!I71 &lt;&gt; 0, ('Raw Data Totals'!I58-'Raw Data Totals'!I71)/'Raw Data Totals'!I71, ('Raw Data Totals'!I58)/1)</f>
        <v>0</v>
      </c>
      <c r="J58" s="154">
        <f>IF('Raw Data Totals'!J71 &lt;&gt; 0, ('Raw Data Totals'!J58-'Raw Data Totals'!J71)/'Raw Data Totals'!J71, ('Raw Data Totals'!J58)/1)</f>
        <v>1</v>
      </c>
      <c r="K58" s="154">
        <f>IF('Raw Data Totals'!K71 &lt;&gt; 0, ('Raw Data Totals'!K58-'Raw Data Totals'!K71)/'Raw Data Totals'!K71, ('Raw Data Totals'!K58)/1)</f>
        <v>0</v>
      </c>
      <c r="L58" s="154">
        <f>IF('Raw Data Totals'!L71 &lt;&gt; 0, ('Raw Data Totals'!L58-'Raw Data Totals'!L71)/'Raw Data Totals'!L71, ('Raw Data Totals'!L58)/1)</f>
        <v>-1</v>
      </c>
      <c r="M58" s="154">
        <v>0</v>
      </c>
      <c r="N58" s="34" t="s">
        <v>2</v>
      </c>
      <c r="O58" s="134" t="s">
        <v>7</v>
      </c>
    </row>
    <row r="59" spans="1:15" ht="15" thickBot="1" x14ac:dyDescent="0.4">
      <c r="A59" s="173"/>
      <c r="B59" s="172"/>
      <c r="C59" s="33" t="s">
        <v>27</v>
      </c>
      <c r="D59" s="154">
        <f>IF('Raw Data Totals'!D72 &lt;&gt; 0, ('Raw Data Totals'!D59-'Raw Data Totals'!D72)/'Raw Data Totals'!D72, ('Raw Data Totals'!D59)/1)</f>
        <v>0.2857142857142857</v>
      </c>
      <c r="E59" s="154">
        <f>IF('Raw Data Totals'!E72 &lt;&gt; 0, ('Raw Data Totals'!E59-'Raw Data Totals'!E72)/'Raw Data Totals'!E72, ('Raw Data Totals'!E59)/1)</f>
        <v>-1</v>
      </c>
      <c r="F59" s="154">
        <f>IF('Raw Data Totals'!F72 &lt;&gt; 0, ('Raw Data Totals'!F59-'Raw Data Totals'!F72)/'Raw Data Totals'!F72, ('Raw Data Totals'!F59)/1)</f>
        <v>0</v>
      </c>
      <c r="G59" s="154">
        <f>IF('Raw Data Totals'!G72 &lt;&gt; 0, ('Raw Data Totals'!G59-'Raw Data Totals'!G72)/'Raw Data Totals'!G72, ('Raw Data Totals'!G59)/1)</f>
        <v>0</v>
      </c>
      <c r="H59" s="154">
        <f>IF('Raw Data Totals'!H72 &lt;&gt; 0, ('Raw Data Totals'!H59-'Raw Data Totals'!H72)/'Raw Data Totals'!H72, ('Raw Data Totals'!H59)/1)</f>
        <v>0</v>
      </c>
      <c r="I59" s="154">
        <f>IF('Raw Data Totals'!I72 &lt;&gt; 0, ('Raw Data Totals'!I59-'Raw Data Totals'!I72)/'Raw Data Totals'!I72, ('Raw Data Totals'!I59)/1)</f>
        <v>0</v>
      </c>
      <c r="J59" s="154">
        <f>IF('Raw Data Totals'!J72 &lt;&gt; 0, ('Raw Data Totals'!J59-'Raw Data Totals'!J72)/'Raw Data Totals'!J72, ('Raw Data Totals'!J59)/1)</f>
        <v>0</v>
      </c>
      <c r="K59" s="154">
        <f>IF('Raw Data Totals'!K72 &lt;&gt; 0, ('Raw Data Totals'!K59-'Raw Data Totals'!K72)/'Raw Data Totals'!K72, ('Raw Data Totals'!K59)/1)</f>
        <v>0</v>
      </c>
      <c r="L59" s="154">
        <f>IF('Raw Data Totals'!L72 &lt;&gt; 0, ('Raw Data Totals'!L59-'Raw Data Totals'!L72)/'Raw Data Totals'!L72, ('Raw Data Totals'!L59)/1)</f>
        <v>0</v>
      </c>
      <c r="M59" s="154">
        <v>0</v>
      </c>
      <c r="N59" s="34" t="s">
        <v>2</v>
      </c>
      <c r="O59" s="134" t="s">
        <v>7</v>
      </c>
    </row>
    <row r="60" spans="1:15" x14ac:dyDescent="0.35">
      <c r="A60" s="173"/>
      <c r="B60" s="171" t="s">
        <v>8</v>
      </c>
      <c r="C60" s="33" t="s">
        <v>28</v>
      </c>
      <c r="D60" s="154">
        <f>IF('Raw Data Totals'!D73 &lt;&gt; 0, ('Raw Data Totals'!D60-'Raw Data Totals'!D73)/'Raw Data Totals'!D73, ('Raw Data Totals'!D60)/1)</f>
        <v>0.56843800322061189</v>
      </c>
      <c r="E60" s="154">
        <f>IF('Raw Data Totals'!E73 &lt;&gt; 0, ('Raw Data Totals'!E60-'Raw Data Totals'!E73)/'Raw Data Totals'!E73, ('Raw Data Totals'!E60)/1)</f>
        <v>-0.10280373831775701</v>
      </c>
      <c r="F60" s="154">
        <f>IF('Raw Data Totals'!F73 &lt;&gt; 0, ('Raw Data Totals'!F60-'Raw Data Totals'!F73)/'Raw Data Totals'!F73, ('Raw Data Totals'!F60)/1)</f>
        <v>0.41772151898734178</v>
      </c>
      <c r="G60" s="154">
        <f>IF('Raw Data Totals'!G73 &lt;&gt; 0, ('Raw Data Totals'!G60-'Raw Data Totals'!G73)/'Raw Data Totals'!G73, ('Raw Data Totals'!G60)/1)</f>
        <v>-0.32575757575757575</v>
      </c>
      <c r="H60" s="154">
        <f>IF('Raw Data Totals'!H73 &lt;&gt; 0, ('Raw Data Totals'!H60-'Raw Data Totals'!H73)/'Raw Data Totals'!H73, ('Raw Data Totals'!H60)/1)</f>
        <v>-0.68965517241379315</v>
      </c>
      <c r="I60" s="154">
        <f>IF('Raw Data Totals'!I73 &lt;&gt; 0, ('Raw Data Totals'!I60-'Raw Data Totals'!I73)/'Raw Data Totals'!I73, ('Raw Data Totals'!I60)/1)</f>
        <v>0.2839506172839506</v>
      </c>
      <c r="J60" s="154">
        <f>IF('Raw Data Totals'!J73 &lt;&gt; 0, ('Raw Data Totals'!J60-'Raw Data Totals'!J73)/'Raw Data Totals'!J73, ('Raw Data Totals'!J60)/1)</f>
        <v>-1.5873015873015872E-2</v>
      </c>
      <c r="K60" s="154">
        <f>IF('Raw Data Totals'!K73 &lt;&gt; 0, ('Raw Data Totals'!K60-'Raw Data Totals'!K73)/'Raw Data Totals'!K73, ('Raw Data Totals'!K60)/1)</f>
        <v>0.32</v>
      </c>
      <c r="L60" s="154">
        <f>IF('Raw Data Totals'!L73 &lt;&gt; 0, ('Raw Data Totals'!L60-'Raw Data Totals'!L73)/'Raw Data Totals'!L73, ('Raw Data Totals'!L60)/1)</f>
        <v>-0.43181818181818182</v>
      </c>
      <c r="M60" s="154">
        <v>0</v>
      </c>
      <c r="N60" s="34" t="s">
        <v>2</v>
      </c>
      <c r="O60" s="134" t="s">
        <v>8</v>
      </c>
    </row>
    <row r="61" spans="1:15" x14ac:dyDescent="0.35">
      <c r="A61" s="173"/>
      <c r="B61" s="172"/>
      <c r="C61" s="33" t="s">
        <v>29</v>
      </c>
      <c r="D61" s="154">
        <f>IF('Raw Data Totals'!D74 &lt;&gt; 0, ('Raw Data Totals'!D61-'Raw Data Totals'!D74)/'Raw Data Totals'!D74, ('Raw Data Totals'!D61)/1)</f>
        <v>0.51690821256038644</v>
      </c>
      <c r="E61" s="154">
        <f>IF('Raw Data Totals'!E74 &lt;&gt; 0, ('Raw Data Totals'!E61-'Raw Data Totals'!E74)/'Raw Data Totals'!E74, ('Raw Data Totals'!E61)/1)</f>
        <v>-0.42499999999999999</v>
      </c>
      <c r="F61" s="154">
        <f>IF('Raw Data Totals'!F74 &lt;&gt; 0, ('Raw Data Totals'!F61-'Raw Data Totals'!F74)/'Raw Data Totals'!F74, ('Raw Data Totals'!F61)/1)</f>
        <v>0.33333333333333331</v>
      </c>
      <c r="G61" s="154">
        <f>IF('Raw Data Totals'!G74 &lt;&gt; 0, ('Raw Data Totals'!G61-'Raw Data Totals'!G74)/'Raw Data Totals'!G74, ('Raw Data Totals'!G61)/1)</f>
        <v>-0.58333333333333337</v>
      </c>
      <c r="H61" s="154">
        <f>IF('Raw Data Totals'!H74 &lt;&gt; 0, ('Raw Data Totals'!H61-'Raw Data Totals'!H74)/'Raw Data Totals'!H74, ('Raw Data Totals'!H61)/1)</f>
        <v>-0.35714285714285715</v>
      </c>
      <c r="I61" s="154">
        <f>IF('Raw Data Totals'!I74 &lt;&gt; 0, ('Raw Data Totals'!I61-'Raw Data Totals'!I74)/'Raw Data Totals'!I74, ('Raw Data Totals'!I61)/1)</f>
        <v>-0.24</v>
      </c>
      <c r="J61" s="154">
        <f>IF('Raw Data Totals'!J74 &lt;&gt; 0, ('Raw Data Totals'!J61-'Raw Data Totals'!J74)/'Raw Data Totals'!J74, ('Raw Data Totals'!J61)/1)</f>
        <v>0.6</v>
      </c>
      <c r="K61" s="154">
        <f>IF('Raw Data Totals'!K74 &lt;&gt; 0, ('Raw Data Totals'!K61-'Raw Data Totals'!K74)/'Raw Data Totals'!K74, ('Raw Data Totals'!K61)/1)</f>
        <v>0.625</v>
      </c>
      <c r="L61" s="154">
        <f>IF('Raw Data Totals'!L74 &lt;&gt; 0, ('Raw Data Totals'!L61-'Raw Data Totals'!L74)/'Raw Data Totals'!L74, ('Raw Data Totals'!L61)/1)</f>
        <v>0.25</v>
      </c>
      <c r="M61" s="154">
        <v>0</v>
      </c>
      <c r="N61" s="34" t="s">
        <v>2</v>
      </c>
      <c r="O61" s="134" t="s">
        <v>8</v>
      </c>
    </row>
    <row r="62" spans="1:15" x14ac:dyDescent="0.35">
      <c r="A62" s="173"/>
      <c r="B62" s="172"/>
      <c r="C62" s="33" t="s">
        <v>30</v>
      </c>
      <c r="D62" s="154">
        <f>IF('Raw Data Totals'!D75 &lt;&gt; 0, ('Raw Data Totals'!D62-'Raw Data Totals'!D75)/'Raw Data Totals'!D75, ('Raw Data Totals'!D62)/1)</f>
        <v>0.43137254901960786</v>
      </c>
      <c r="E62" s="154">
        <f>IF('Raw Data Totals'!E75 &lt;&gt; 0, ('Raw Data Totals'!E62-'Raw Data Totals'!E75)/'Raw Data Totals'!E75, ('Raw Data Totals'!E62)/1)</f>
        <v>-0.7</v>
      </c>
      <c r="F62" s="154">
        <f>IF('Raw Data Totals'!F75 &lt;&gt; 0, ('Raw Data Totals'!F62-'Raw Data Totals'!F75)/'Raw Data Totals'!F75, ('Raw Data Totals'!F62)/1)</f>
        <v>-0.83783783783783783</v>
      </c>
      <c r="G62" s="154">
        <f>IF('Raw Data Totals'!G75 &lt;&gt; 0, ('Raw Data Totals'!G62-'Raw Data Totals'!G75)/'Raw Data Totals'!G75, ('Raw Data Totals'!G62)/1)</f>
        <v>-0.69444444444444442</v>
      </c>
      <c r="H62" s="154">
        <f>IF('Raw Data Totals'!H75 &lt;&gt; 0, ('Raw Data Totals'!H62-'Raw Data Totals'!H75)/'Raw Data Totals'!H75, ('Raw Data Totals'!H62)/1)</f>
        <v>0.41666666666666669</v>
      </c>
      <c r="I62" s="154">
        <f>IF('Raw Data Totals'!I75 &lt;&gt; 0, ('Raw Data Totals'!I62-'Raw Data Totals'!I75)/'Raw Data Totals'!I75, ('Raw Data Totals'!I62)/1)</f>
        <v>-0.42</v>
      </c>
      <c r="J62" s="154">
        <f>IF('Raw Data Totals'!J75 &lt;&gt; 0, ('Raw Data Totals'!J62-'Raw Data Totals'!J75)/'Raw Data Totals'!J75, ('Raw Data Totals'!J62)/1)</f>
        <v>-0.6</v>
      </c>
      <c r="K62" s="154">
        <f>IF('Raw Data Totals'!K75 &lt;&gt; 0, ('Raw Data Totals'!K62-'Raw Data Totals'!K75)/'Raw Data Totals'!K75, ('Raw Data Totals'!K62)/1)</f>
        <v>-0.53333333333333333</v>
      </c>
      <c r="L62" s="154">
        <f>IF('Raw Data Totals'!L75 &lt;&gt; 0, ('Raw Data Totals'!L62-'Raw Data Totals'!L75)/'Raw Data Totals'!L75, ('Raw Data Totals'!L62)/1)</f>
        <v>0.16666666666666666</v>
      </c>
      <c r="M62" s="154">
        <v>0</v>
      </c>
      <c r="N62" s="34" t="s">
        <v>2</v>
      </c>
      <c r="O62" s="134" t="s">
        <v>8</v>
      </c>
    </row>
    <row r="63" spans="1:15" x14ac:dyDescent="0.35">
      <c r="A63" s="173"/>
      <c r="B63" s="172"/>
      <c r="C63" s="33" t="s">
        <v>31</v>
      </c>
      <c r="D63" s="154">
        <f>IF('Raw Data Totals'!D76 &lt;&gt; 0, ('Raw Data Totals'!D63-'Raw Data Totals'!D76)/'Raw Data Totals'!D76, ('Raw Data Totals'!D63)/1)</f>
        <v>-0.6216216216216216</v>
      </c>
      <c r="E63" s="154">
        <f>IF('Raw Data Totals'!E76 &lt;&gt; 0, ('Raw Data Totals'!E63-'Raw Data Totals'!E76)/'Raw Data Totals'!E76, ('Raw Data Totals'!E63)/1)</f>
        <v>2</v>
      </c>
      <c r="F63" s="154">
        <f>IF('Raw Data Totals'!F76 &lt;&gt; 0, ('Raw Data Totals'!F63-'Raw Data Totals'!F76)/'Raw Data Totals'!F76, ('Raw Data Totals'!F63)/1)</f>
        <v>0</v>
      </c>
      <c r="G63" s="154">
        <f>IF('Raw Data Totals'!G76 &lt;&gt; 0, ('Raw Data Totals'!G63-'Raw Data Totals'!G76)/'Raw Data Totals'!G76, ('Raw Data Totals'!G63)/1)</f>
        <v>0</v>
      </c>
      <c r="H63" s="154">
        <f>IF('Raw Data Totals'!H76 &lt;&gt; 0, ('Raw Data Totals'!H63-'Raw Data Totals'!H76)/'Raw Data Totals'!H76, ('Raw Data Totals'!H63)/1)</f>
        <v>2</v>
      </c>
      <c r="I63" s="154">
        <f>IF('Raw Data Totals'!I76 &lt;&gt; 0, ('Raw Data Totals'!I63-'Raw Data Totals'!I76)/'Raw Data Totals'!I76, ('Raw Data Totals'!I63)/1)</f>
        <v>0</v>
      </c>
      <c r="J63" s="154">
        <f>IF('Raw Data Totals'!J76 &lt;&gt; 0, ('Raw Data Totals'!J63-'Raw Data Totals'!J76)/'Raw Data Totals'!J76, ('Raw Data Totals'!J63)/1)</f>
        <v>-1</v>
      </c>
      <c r="K63" s="154">
        <f>IF('Raw Data Totals'!K76 &lt;&gt; 0, ('Raw Data Totals'!K63-'Raw Data Totals'!K76)/'Raw Data Totals'!K76, ('Raw Data Totals'!K63)/1)</f>
        <v>-1</v>
      </c>
      <c r="L63" s="154">
        <f>IF('Raw Data Totals'!L76 &lt;&gt; 0, ('Raw Data Totals'!L63-'Raw Data Totals'!L76)/'Raw Data Totals'!L76, ('Raw Data Totals'!L63)/1)</f>
        <v>-1</v>
      </c>
      <c r="M63" s="154">
        <v>0</v>
      </c>
      <c r="N63" s="34" t="s">
        <v>2</v>
      </c>
      <c r="O63" s="134" t="s">
        <v>8</v>
      </c>
    </row>
    <row r="64" spans="1:15" x14ac:dyDescent="0.35">
      <c r="A64" s="173"/>
      <c r="B64" s="172"/>
      <c r="C64" s="33" t="s">
        <v>32</v>
      </c>
      <c r="D64" s="154">
        <f>IF('Raw Data Totals'!D77 &lt;&gt; 0, ('Raw Data Totals'!D64-'Raw Data Totals'!D77)/'Raw Data Totals'!D77, ('Raw Data Totals'!D64)/1)</f>
        <v>0.31210691823899372</v>
      </c>
      <c r="E64" s="154">
        <f>IF('Raw Data Totals'!E77 &lt;&gt; 0, ('Raw Data Totals'!E64-'Raw Data Totals'!E77)/'Raw Data Totals'!E77, ('Raw Data Totals'!E64)/1)</f>
        <v>-0.19117647058823528</v>
      </c>
      <c r="F64" s="154">
        <f>IF('Raw Data Totals'!F77 &lt;&gt; 0, ('Raw Data Totals'!F64-'Raw Data Totals'!F77)/'Raw Data Totals'!F77, ('Raw Data Totals'!F64)/1)</f>
        <v>0.52662721893491127</v>
      </c>
      <c r="G64" s="154">
        <f>IF('Raw Data Totals'!G77 &lt;&gt; 0, ('Raw Data Totals'!G64-'Raw Data Totals'!G77)/'Raw Data Totals'!G77, ('Raw Data Totals'!G64)/1)</f>
        <v>-0.34210526315789475</v>
      </c>
      <c r="H64" s="154">
        <f>IF('Raw Data Totals'!H77 &lt;&gt; 0, ('Raw Data Totals'!H64-'Raw Data Totals'!H77)/'Raw Data Totals'!H77, ('Raw Data Totals'!H64)/1)</f>
        <v>-0.35570469798657717</v>
      </c>
      <c r="I64" s="154">
        <f>IF('Raw Data Totals'!I77 &lt;&gt; 0, ('Raw Data Totals'!I64-'Raw Data Totals'!I77)/'Raw Data Totals'!I77, ('Raw Data Totals'!I64)/1)</f>
        <v>1.6488095238095237</v>
      </c>
      <c r="J64" s="154">
        <f>IF('Raw Data Totals'!J77 &lt;&gt; 0, ('Raw Data Totals'!J64-'Raw Data Totals'!J77)/'Raw Data Totals'!J77, ('Raw Data Totals'!J64)/1)</f>
        <v>-0.4022346368715084</v>
      </c>
      <c r="K64" s="154">
        <f>IF('Raw Data Totals'!K77 &lt;&gt; 0, ('Raw Data Totals'!K64-'Raw Data Totals'!K77)/'Raw Data Totals'!K77, ('Raw Data Totals'!K64)/1)</f>
        <v>0.25675675675675674</v>
      </c>
      <c r="L64" s="154">
        <f>IF('Raw Data Totals'!L77 &lt;&gt; 0, ('Raw Data Totals'!L64-'Raw Data Totals'!L77)/'Raw Data Totals'!L77, ('Raw Data Totals'!L64)/1)</f>
        <v>-0.47385620915032678</v>
      </c>
      <c r="M64" s="154">
        <v>0</v>
      </c>
      <c r="N64" s="34" t="s">
        <v>2</v>
      </c>
      <c r="O64" s="134" t="s">
        <v>8</v>
      </c>
    </row>
    <row r="65" spans="1:15" x14ac:dyDescent="0.35">
      <c r="A65" s="173"/>
      <c r="B65" s="172"/>
      <c r="C65" s="33" t="s">
        <v>33</v>
      </c>
      <c r="D65" s="154">
        <f>IF('Raw Data Totals'!D78 &lt;&gt; 0, ('Raw Data Totals'!D65-'Raw Data Totals'!D78)/'Raw Data Totals'!D78, ('Raw Data Totals'!D65)/1)</f>
        <v>-1.8018018018018018E-2</v>
      </c>
      <c r="E65" s="154">
        <f>IF('Raw Data Totals'!E78 &lt;&gt; 0, ('Raw Data Totals'!E65-'Raw Data Totals'!E78)/'Raw Data Totals'!E78, ('Raw Data Totals'!E65)/1)</f>
        <v>-0.43529411764705883</v>
      </c>
      <c r="F65" s="154">
        <f>IF('Raw Data Totals'!F78 &lt;&gt; 0, ('Raw Data Totals'!F65-'Raw Data Totals'!F78)/'Raw Data Totals'!F78, ('Raw Data Totals'!F65)/1)</f>
        <v>-0.45</v>
      </c>
      <c r="G65" s="154">
        <f>IF('Raw Data Totals'!G78 &lt;&gt; 0, ('Raw Data Totals'!G65-'Raw Data Totals'!G78)/'Raw Data Totals'!G78, ('Raw Data Totals'!G65)/1)</f>
        <v>-0.25423728813559321</v>
      </c>
      <c r="H65" s="154">
        <f>IF('Raw Data Totals'!H78 &lt;&gt; 0, ('Raw Data Totals'!H65-'Raw Data Totals'!H78)/'Raw Data Totals'!H78, ('Raw Data Totals'!H65)/1)</f>
        <v>-0.76500000000000001</v>
      </c>
      <c r="I65" s="154">
        <f>IF('Raw Data Totals'!I78 &lt;&gt; 0, ('Raw Data Totals'!I65-'Raw Data Totals'!I78)/'Raw Data Totals'!I78, ('Raw Data Totals'!I65)/1)</f>
        <v>0.82499999999999996</v>
      </c>
      <c r="J65" s="154">
        <f>IF('Raw Data Totals'!J78 &lt;&gt; 0, ('Raw Data Totals'!J65-'Raw Data Totals'!J78)/'Raw Data Totals'!J78, ('Raw Data Totals'!J65)/1)</f>
        <v>-0.61111111111111116</v>
      </c>
      <c r="K65" s="154">
        <f>IF('Raw Data Totals'!K78 &lt;&gt; 0, ('Raw Data Totals'!K65-'Raw Data Totals'!K78)/'Raw Data Totals'!K78, ('Raw Data Totals'!K65)/1)</f>
        <v>-0.73333333333333328</v>
      </c>
      <c r="L65" s="154">
        <f>IF('Raw Data Totals'!L78 &lt;&gt; 0, ('Raw Data Totals'!L65-'Raw Data Totals'!L78)/'Raw Data Totals'!L78, ('Raw Data Totals'!L65)/1)</f>
        <v>-0.61290322580645162</v>
      </c>
      <c r="M65" s="154">
        <v>0</v>
      </c>
      <c r="N65" s="34" t="s">
        <v>2</v>
      </c>
      <c r="O65" s="134" t="s">
        <v>8</v>
      </c>
    </row>
    <row r="66" spans="1:15" ht="15" thickBot="1" x14ac:dyDescent="0.4">
      <c r="A66" s="173"/>
      <c r="B66" s="172"/>
      <c r="C66" s="33" t="s">
        <v>34</v>
      </c>
      <c r="D66" s="154">
        <f>IF('Raw Data Totals'!D79 &lt;&gt; 0, ('Raw Data Totals'!D66-'Raw Data Totals'!D79)/'Raw Data Totals'!D79, ('Raw Data Totals'!D66)/1)</f>
        <v>0.85164835164835162</v>
      </c>
      <c r="E66" s="154">
        <f>IF('Raw Data Totals'!E79 &lt;&gt; 0, ('Raw Data Totals'!E66-'Raw Data Totals'!E79)/'Raw Data Totals'!E79, ('Raw Data Totals'!E66)/1)</f>
        <v>0.45833333333333331</v>
      </c>
      <c r="F66" s="154">
        <f>IF('Raw Data Totals'!F79 &lt;&gt; 0, ('Raw Data Totals'!F66-'Raw Data Totals'!F79)/'Raw Data Totals'!F79, ('Raw Data Totals'!F66)/1)</f>
        <v>-0.22222222222222221</v>
      </c>
      <c r="G66" s="154">
        <f>IF('Raw Data Totals'!G79 &lt;&gt; 0, ('Raw Data Totals'!G66-'Raw Data Totals'!G79)/'Raw Data Totals'!G79, ('Raw Data Totals'!G66)/1)</f>
        <v>1.0925925925925926</v>
      </c>
      <c r="H66" s="154">
        <f>IF('Raw Data Totals'!H79 &lt;&gt; 0, ('Raw Data Totals'!H66-'Raw Data Totals'!H79)/'Raw Data Totals'!H79, ('Raw Data Totals'!H66)/1)</f>
        <v>-0.26923076923076922</v>
      </c>
      <c r="I66" s="154">
        <f>IF('Raw Data Totals'!I79 &lt;&gt; 0, ('Raw Data Totals'!I66-'Raw Data Totals'!I79)/'Raw Data Totals'!I79, ('Raw Data Totals'!I66)/1)</f>
        <v>0.56521739130434778</v>
      </c>
      <c r="J66" s="154">
        <f>IF('Raw Data Totals'!J79 &lt;&gt; 0, ('Raw Data Totals'!J66-'Raw Data Totals'!J79)/'Raw Data Totals'!J79, ('Raw Data Totals'!J66)/1)</f>
        <v>-0.51428571428571423</v>
      </c>
      <c r="K66" s="154">
        <f>IF('Raw Data Totals'!K79 &lt;&gt; 0, ('Raw Data Totals'!K66-'Raw Data Totals'!K79)/'Raw Data Totals'!K79, ('Raw Data Totals'!K66)/1)</f>
        <v>0.72222222222222221</v>
      </c>
      <c r="L66" s="154">
        <f>IF('Raw Data Totals'!L79 &lt;&gt; 0, ('Raw Data Totals'!L66-'Raw Data Totals'!L79)/'Raw Data Totals'!L79, ('Raw Data Totals'!L66)/1)</f>
        <v>1</v>
      </c>
      <c r="M66" s="154">
        <v>0</v>
      </c>
      <c r="N66" s="34" t="s">
        <v>2</v>
      </c>
      <c r="O66" s="134" t="s">
        <v>8</v>
      </c>
    </row>
    <row r="67" spans="1:15" x14ac:dyDescent="0.35">
      <c r="A67" s="174" t="s">
        <v>1</v>
      </c>
      <c r="B67" s="169" t="s">
        <v>7</v>
      </c>
      <c r="C67" s="45" t="s">
        <v>22</v>
      </c>
      <c r="D67" s="155">
        <f>IF('Raw Data Totals'!D80 &lt;&gt; 0, ('Raw Data Totals'!D67-'Raw Data Totals'!D80)/'Raw Data Totals'!D80, ('Raw Data Totals'!D67)/1)</f>
        <v>-0.43037974683544306</v>
      </c>
      <c r="E67" s="155">
        <f>IF('Raw Data Totals'!E80 &lt;&gt; 0, ('Raw Data Totals'!E67-'Raw Data Totals'!E80)/'Raw Data Totals'!E80, ('Raw Data Totals'!E67)/1)</f>
        <v>0</v>
      </c>
      <c r="F67" s="155">
        <f>IF('Raw Data Totals'!F80 &lt;&gt; 0, ('Raw Data Totals'!F67-'Raw Data Totals'!F80)/'Raw Data Totals'!F80, ('Raw Data Totals'!F67)/1)</f>
        <v>1.6666666666666667</v>
      </c>
      <c r="G67" s="155">
        <f>IF('Raw Data Totals'!G80 &lt;&gt; 0, ('Raw Data Totals'!G67-'Raw Data Totals'!G80)/'Raw Data Totals'!G80, ('Raw Data Totals'!G67)/1)</f>
        <v>-1</v>
      </c>
      <c r="H67" s="155">
        <f>IF('Raw Data Totals'!H80 &lt;&gt; 0, ('Raw Data Totals'!H67-'Raw Data Totals'!H80)/'Raw Data Totals'!H80, ('Raw Data Totals'!H67)/1)</f>
        <v>-1</v>
      </c>
      <c r="I67" s="155">
        <f>IF('Raw Data Totals'!I80 &lt;&gt; 0, ('Raw Data Totals'!I67-'Raw Data Totals'!I80)/'Raw Data Totals'!I80, ('Raw Data Totals'!I67)/1)</f>
        <v>0.2</v>
      </c>
      <c r="J67" s="155">
        <f>IF('Raw Data Totals'!J80 &lt;&gt; 0, ('Raw Data Totals'!J67-'Raw Data Totals'!J80)/'Raw Data Totals'!J80, ('Raw Data Totals'!J67)/1)</f>
        <v>0</v>
      </c>
      <c r="K67" s="155">
        <f>IF('Raw Data Totals'!K80 &lt;&gt; 0, ('Raw Data Totals'!K67-'Raw Data Totals'!K80)/'Raw Data Totals'!K80, ('Raw Data Totals'!K67)/1)</f>
        <v>0</v>
      </c>
      <c r="L67" s="155">
        <f>IF('Raw Data Totals'!L80 &lt;&gt; 0, ('Raw Data Totals'!L67-'Raw Data Totals'!L80)/'Raw Data Totals'!L80, ('Raw Data Totals'!L67)/1)</f>
        <v>-0.42857142857142855</v>
      </c>
      <c r="M67" s="155">
        <v>0</v>
      </c>
      <c r="N67" s="46" t="s">
        <v>1</v>
      </c>
      <c r="O67" s="135" t="s">
        <v>7</v>
      </c>
    </row>
    <row r="68" spans="1:15" x14ac:dyDescent="0.35">
      <c r="A68" s="174"/>
      <c r="B68" s="170"/>
      <c r="C68" s="45" t="s">
        <v>23</v>
      </c>
      <c r="D68" s="155">
        <f>IF('Raw Data Totals'!D81 &lt;&gt; 0, ('Raw Data Totals'!D68-'Raw Data Totals'!D81)/'Raw Data Totals'!D81, ('Raw Data Totals'!D68)/1)</f>
        <v>-1.2987012987012988E-2</v>
      </c>
      <c r="E68" s="155">
        <f>IF('Raw Data Totals'!E81 &lt;&gt; 0, ('Raw Data Totals'!E68-'Raw Data Totals'!E81)/'Raw Data Totals'!E81, ('Raw Data Totals'!E68)/1)</f>
        <v>0</v>
      </c>
      <c r="F68" s="155">
        <f>IF('Raw Data Totals'!F81 &lt;&gt; 0, ('Raw Data Totals'!F68-'Raw Data Totals'!F81)/'Raw Data Totals'!F81, ('Raw Data Totals'!F68)/1)</f>
        <v>29</v>
      </c>
      <c r="G68" s="155">
        <f>IF('Raw Data Totals'!G81 &lt;&gt; 0, ('Raw Data Totals'!G68-'Raw Data Totals'!G81)/'Raw Data Totals'!G81, ('Raw Data Totals'!G68)/1)</f>
        <v>-1</v>
      </c>
      <c r="H68" s="155">
        <f>IF('Raw Data Totals'!H81 &lt;&gt; 0, ('Raw Data Totals'!H68-'Raw Data Totals'!H81)/'Raw Data Totals'!H81, ('Raw Data Totals'!H68)/1)</f>
        <v>0</v>
      </c>
      <c r="I68" s="155">
        <f>IF('Raw Data Totals'!I81 &lt;&gt; 0, ('Raw Data Totals'!I68-'Raw Data Totals'!I81)/'Raw Data Totals'!I81, ('Raw Data Totals'!I68)/1)</f>
        <v>6</v>
      </c>
      <c r="J68" s="155">
        <f>IF('Raw Data Totals'!J81 &lt;&gt; 0, ('Raw Data Totals'!J68-'Raw Data Totals'!J81)/'Raw Data Totals'!J81, ('Raw Data Totals'!J68)/1)</f>
        <v>0</v>
      </c>
      <c r="K68" s="155">
        <f>IF('Raw Data Totals'!K81 &lt;&gt; 0, ('Raw Data Totals'!K68-'Raw Data Totals'!K81)/'Raw Data Totals'!K81, ('Raw Data Totals'!K68)/1)</f>
        <v>2</v>
      </c>
      <c r="L68" s="155">
        <f>IF('Raw Data Totals'!L81 &lt;&gt; 0, ('Raw Data Totals'!L68-'Raw Data Totals'!L81)/'Raw Data Totals'!L81, ('Raw Data Totals'!L68)/1)</f>
        <v>2</v>
      </c>
      <c r="M68" s="155">
        <v>0</v>
      </c>
      <c r="N68" s="46" t="s">
        <v>1</v>
      </c>
      <c r="O68" s="135" t="s">
        <v>7</v>
      </c>
    </row>
    <row r="69" spans="1:15" x14ac:dyDescent="0.35">
      <c r="A69" s="174"/>
      <c r="B69" s="170"/>
      <c r="C69" s="45" t="s">
        <v>24</v>
      </c>
      <c r="D69" s="155">
        <f>IF('Raw Data Totals'!D82 &lt;&gt; 0, ('Raw Data Totals'!D69-'Raw Data Totals'!D82)/'Raw Data Totals'!D82, ('Raw Data Totals'!D69)/1)</f>
        <v>-0.38461538461538464</v>
      </c>
      <c r="E69" s="155">
        <f>IF('Raw Data Totals'!E82 &lt;&gt; 0, ('Raw Data Totals'!E69-'Raw Data Totals'!E82)/'Raw Data Totals'!E82, ('Raw Data Totals'!E69)/1)</f>
        <v>0</v>
      </c>
      <c r="F69" s="155">
        <f>IF('Raw Data Totals'!F82 &lt;&gt; 0, ('Raw Data Totals'!F69-'Raw Data Totals'!F82)/'Raw Data Totals'!F82, ('Raw Data Totals'!F69)/1)</f>
        <v>0</v>
      </c>
      <c r="G69" s="155">
        <f>IF('Raw Data Totals'!G82 &lt;&gt; 0, ('Raw Data Totals'!G69-'Raw Data Totals'!G82)/'Raw Data Totals'!G82, ('Raw Data Totals'!G69)/1)</f>
        <v>-0.5</v>
      </c>
      <c r="H69" s="155">
        <f>IF('Raw Data Totals'!H82 &lt;&gt; 0, ('Raw Data Totals'!H69-'Raw Data Totals'!H82)/'Raw Data Totals'!H82, ('Raw Data Totals'!H69)/1)</f>
        <v>0</v>
      </c>
      <c r="I69" s="155">
        <f>IF('Raw Data Totals'!I82 &lt;&gt; 0, ('Raw Data Totals'!I69-'Raw Data Totals'!I82)/'Raw Data Totals'!I82, ('Raw Data Totals'!I69)/1)</f>
        <v>-0.5</v>
      </c>
      <c r="J69" s="155">
        <f>IF('Raw Data Totals'!J82 &lt;&gt; 0, ('Raw Data Totals'!J69-'Raw Data Totals'!J82)/'Raw Data Totals'!J82, ('Raw Data Totals'!J69)/1)</f>
        <v>0</v>
      </c>
      <c r="K69" s="155">
        <f>IF('Raw Data Totals'!K82 &lt;&gt; 0, ('Raw Data Totals'!K69-'Raw Data Totals'!K82)/'Raw Data Totals'!K82, ('Raw Data Totals'!K69)/1)</f>
        <v>1</v>
      </c>
      <c r="L69" s="155">
        <f>IF('Raw Data Totals'!L82 &lt;&gt; 0, ('Raw Data Totals'!L69-'Raw Data Totals'!L82)/'Raw Data Totals'!L82, ('Raw Data Totals'!L69)/1)</f>
        <v>2</v>
      </c>
      <c r="M69" s="155">
        <v>0</v>
      </c>
      <c r="N69" s="46" t="s">
        <v>1</v>
      </c>
      <c r="O69" s="135" t="s">
        <v>7</v>
      </c>
    </row>
    <row r="70" spans="1:15" x14ac:dyDescent="0.35">
      <c r="A70" s="174"/>
      <c r="B70" s="170"/>
      <c r="C70" s="45" t="s">
        <v>25</v>
      </c>
      <c r="D70" s="155">
        <f>IF('Raw Data Totals'!D83 &lt;&gt; 0, ('Raw Data Totals'!D70-'Raw Data Totals'!D83)/'Raw Data Totals'!D83, ('Raw Data Totals'!D70)/1)</f>
        <v>-6.6666666666666666E-2</v>
      </c>
      <c r="E70" s="155">
        <f>IF('Raw Data Totals'!E83 &lt;&gt; 0, ('Raw Data Totals'!E70-'Raw Data Totals'!E83)/'Raw Data Totals'!E83, ('Raw Data Totals'!E70)/1)</f>
        <v>-0.5</v>
      </c>
      <c r="F70" s="155">
        <f>IF('Raw Data Totals'!F83 &lt;&gt; 0, ('Raw Data Totals'!F70-'Raw Data Totals'!F83)/'Raw Data Totals'!F83, ('Raw Data Totals'!F70)/1)</f>
        <v>0</v>
      </c>
      <c r="G70" s="155">
        <f>IF('Raw Data Totals'!G83 &lt;&gt; 0, ('Raw Data Totals'!G70-'Raw Data Totals'!G83)/'Raw Data Totals'!G83, ('Raw Data Totals'!G70)/1)</f>
        <v>-0.4</v>
      </c>
      <c r="H70" s="155">
        <f>IF('Raw Data Totals'!H83 &lt;&gt; 0, ('Raw Data Totals'!H70-'Raw Data Totals'!H83)/'Raw Data Totals'!H83, ('Raw Data Totals'!H70)/1)</f>
        <v>0</v>
      </c>
      <c r="I70" s="155">
        <f>IF('Raw Data Totals'!I83 &lt;&gt; 0, ('Raw Data Totals'!I70-'Raw Data Totals'!I83)/'Raw Data Totals'!I83, ('Raw Data Totals'!I70)/1)</f>
        <v>-0.33333333333333331</v>
      </c>
      <c r="J70" s="155">
        <f>IF('Raw Data Totals'!J83 &lt;&gt; 0, ('Raw Data Totals'!J70-'Raw Data Totals'!J83)/'Raw Data Totals'!J83, ('Raw Data Totals'!J70)/1)</f>
        <v>1</v>
      </c>
      <c r="K70" s="155">
        <f>IF('Raw Data Totals'!K83 &lt;&gt; 0, ('Raw Data Totals'!K70-'Raw Data Totals'!K83)/'Raw Data Totals'!K83, ('Raw Data Totals'!K70)/1)</f>
        <v>-1</v>
      </c>
      <c r="L70" s="155">
        <f>IF('Raw Data Totals'!L83 &lt;&gt; 0, ('Raw Data Totals'!L70-'Raw Data Totals'!L83)/'Raw Data Totals'!L83, ('Raw Data Totals'!L70)/1)</f>
        <v>-0.4</v>
      </c>
      <c r="M70" s="155">
        <v>0</v>
      </c>
      <c r="N70" s="46" t="s">
        <v>1</v>
      </c>
      <c r="O70" s="135" t="s">
        <v>7</v>
      </c>
    </row>
    <row r="71" spans="1:15" x14ac:dyDescent="0.35">
      <c r="A71" s="174"/>
      <c r="B71" s="170"/>
      <c r="C71" s="45" t="s">
        <v>26</v>
      </c>
      <c r="D71" s="155">
        <f>IF('Raw Data Totals'!D84 &lt;&gt; 0, ('Raw Data Totals'!D71-'Raw Data Totals'!D84)/'Raw Data Totals'!D84, ('Raw Data Totals'!D71)/1)</f>
        <v>-0.25</v>
      </c>
      <c r="E71" s="155">
        <f>IF('Raw Data Totals'!E84 &lt;&gt; 0, ('Raw Data Totals'!E71-'Raw Data Totals'!E84)/'Raw Data Totals'!E84, ('Raw Data Totals'!E71)/1)</f>
        <v>0</v>
      </c>
      <c r="F71" s="155">
        <f>IF('Raw Data Totals'!F84 &lt;&gt; 0, ('Raw Data Totals'!F71-'Raw Data Totals'!F84)/'Raw Data Totals'!F84, ('Raw Data Totals'!F71)/1)</f>
        <v>-1</v>
      </c>
      <c r="G71" s="155">
        <f>IF('Raw Data Totals'!G84 &lt;&gt; 0, ('Raw Data Totals'!G71-'Raw Data Totals'!G84)/'Raw Data Totals'!G84, ('Raw Data Totals'!G71)/1)</f>
        <v>-1</v>
      </c>
      <c r="H71" s="155">
        <f>IF('Raw Data Totals'!H84 &lt;&gt; 0, ('Raw Data Totals'!H71-'Raw Data Totals'!H84)/'Raw Data Totals'!H84, ('Raw Data Totals'!H71)/1)</f>
        <v>0</v>
      </c>
      <c r="I71" s="155">
        <f>IF('Raw Data Totals'!I84 &lt;&gt; 0, ('Raw Data Totals'!I71-'Raw Data Totals'!I84)/'Raw Data Totals'!I84, ('Raw Data Totals'!I71)/1)</f>
        <v>0</v>
      </c>
      <c r="J71" s="155">
        <f>IF('Raw Data Totals'!J84 &lt;&gt; 0, ('Raw Data Totals'!J71-'Raw Data Totals'!J84)/'Raw Data Totals'!J84, ('Raw Data Totals'!J71)/1)</f>
        <v>0</v>
      </c>
      <c r="K71" s="155">
        <f>IF('Raw Data Totals'!K84 &lt;&gt; 0, ('Raw Data Totals'!K71-'Raw Data Totals'!K84)/'Raw Data Totals'!K84, ('Raw Data Totals'!K71)/1)</f>
        <v>0</v>
      </c>
      <c r="L71" s="155">
        <f>IF('Raw Data Totals'!L84 &lt;&gt; 0, ('Raw Data Totals'!L71-'Raw Data Totals'!L84)/'Raw Data Totals'!L84, ('Raw Data Totals'!L71)/1)</f>
        <v>2</v>
      </c>
      <c r="M71" s="155">
        <v>0</v>
      </c>
      <c r="N71" s="46" t="s">
        <v>1</v>
      </c>
      <c r="O71" s="135" t="s">
        <v>7</v>
      </c>
    </row>
    <row r="72" spans="1:15" ht="15" thickBot="1" x14ac:dyDescent="0.4">
      <c r="A72" s="174"/>
      <c r="B72" s="170"/>
      <c r="C72" s="45" t="s">
        <v>27</v>
      </c>
      <c r="D72" s="155">
        <f>IF('Raw Data Totals'!D85 &lt;&gt; 0, ('Raw Data Totals'!D72-'Raw Data Totals'!D85)/'Raw Data Totals'!D85, ('Raw Data Totals'!D72)/1)</f>
        <v>0.16666666666666666</v>
      </c>
      <c r="E72" s="155">
        <f>IF('Raw Data Totals'!E85 &lt;&gt; 0, ('Raw Data Totals'!E72-'Raw Data Totals'!E85)/'Raw Data Totals'!E85, ('Raw Data Totals'!E72)/1)</f>
        <v>1</v>
      </c>
      <c r="F72" s="155">
        <f>IF('Raw Data Totals'!F85 &lt;&gt; 0, ('Raw Data Totals'!F72-'Raw Data Totals'!F85)/'Raw Data Totals'!F85, ('Raw Data Totals'!F72)/1)</f>
        <v>-1</v>
      </c>
      <c r="G72" s="155">
        <f>IF('Raw Data Totals'!G85 &lt;&gt; 0, ('Raw Data Totals'!G72-'Raw Data Totals'!G85)/'Raw Data Totals'!G85, ('Raw Data Totals'!G72)/1)</f>
        <v>0</v>
      </c>
      <c r="H72" s="155">
        <f>IF('Raw Data Totals'!H85 &lt;&gt; 0, ('Raw Data Totals'!H72-'Raw Data Totals'!H85)/'Raw Data Totals'!H85, ('Raw Data Totals'!H72)/1)</f>
        <v>0</v>
      </c>
      <c r="I72" s="155">
        <f>IF('Raw Data Totals'!I85 &lt;&gt; 0, ('Raw Data Totals'!I72-'Raw Data Totals'!I85)/'Raw Data Totals'!I85, ('Raw Data Totals'!I72)/1)</f>
        <v>0</v>
      </c>
      <c r="J72" s="155">
        <f>IF('Raw Data Totals'!J85 &lt;&gt; 0, ('Raw Data Totals'!J72-'Raw Data Totals'!J85)/'Raw Data Totals'!J85, ('Raw Data Totals'!J72)/1)</f>
        <v>0</v>
      </c>
      <c r="K72" s="155">
        <f>IF('Raw Data Totals'!K85 &lt;&gt; 0, ('Raw Data Totals'!K72-'Raw Data Totals'!K85)/'Raw Data Totals'!K85, ('Raw Data Totals'!K72)/1)</f>
        <v>0</v>
      </c>
      <c r="L72" s="155">
        <f>IF('Raw Data Totals'!L85 &lt;&gt; 0, ('Raw Data Totals'!L72-'Raw Data Totals'!L85)/'Raw Data Totals'!L85, ('Raw Data Totals'!L72)/1)</f>
        <v>0</v>
      </c>
      <c r="M72" s="155">
        <v>0</v>
      </c>
      <c r="N72" s="46" t="s">
        <v>1</v>
      </c>
      <c r="O72" s="135" t="s">
        <v>7</v>
      </c>
    </row>
    <row r="73" spans="1:15" x14ac:dyDescent="0.35">
      <c r="A73" s="174"/>
      <c r="B73" s="169" t="s">
        <v>8</v>
      </c>
      <c r="C73" s="45" t="s">
        <v>28</v>
      </c>
      <c r="D73" s="155">
        <f>IF('Raw Data Totals'!D86 &lt;&gt; 0, ('Raw Data Totals'!D73-'Raw Data Totals'!D86)/'Raw Data Totals'!D86, ('Raw Data Totals'!D73)/1)</f>
        <v>0.16729323308270677</v>
      </c>
      <c r="E73" s="155">
        <f>IF('Raw Data Totals'!E86 &lt;&gt; 0, ('Raw Data Totals'!E73-'Raw Data Totals'!E86)/'Raw Data Totals'!E86, ('Raw Data Totals'!E73)/1)</f>
        <v>-0.13008130081300814</v>
      </c>
      <c r="F73" s="155">
        <f>IF('Raw Data Totals'!F86 &lt;&gt; 0, ('Raw Data Totals'!F73-'Raw Data Totals'!F86)/'Raw Data Totals'!F86, ('Raw Data Totals'!F73)/1)</f>
        <v>0.234375</v>
      </c>
      <c r="G73" s="155">
        <f>IF('Raw Data Totals'!G86 &lt;&gt; 0, ('Raw Data Totals'!G73-'Raw Data Totals'!G86)/'Raw Data Totals'!G86, ('Raw Data Totals'!G73)/1)</f>
        <v>0.2</v>
      </c>
      <c r="H73" s="155">
        <f>IF('Raw Data Totals'!H86 &lt;&gt; 0, ('Raw Data Totals'!H73-'Raw Data Totals'!H86)/'Raw Data Totals'!H86, ('Raw Data Totals'!H73)/1)</f>
        <v>1.4576271186440677</v>
      </c>
      <c r="I73" s="155">
        <f>IF('Raw Data Totals'!I86 &lt;&gt; 0, ('Raw Data Totals'!I73-'Raw Data Totals'!I86)/'Raw Data Totals'!I86, ('Raw Data Totals'!I73)/1)</f>
        <v>0.30645161290322581</v>
      </c>
      <c r="J73" s="155">
        <f>IF('Raw Data Totals'!J86 &lt;&gt; 0, ('Raw Data Totals'!J73-'Raw Data Totals'!J86)/'Raw Data Totals'!J86, ('Raw Data Totals'!J73)/1)</f>
        <v>0.23529411764705882</v>
      </c>
      <c r="K73" s="155">
        <f>IF('Raw Data Totals'!K86 &lt;&gt; 0, ('Raw Data Totals'!K73-'Raw Data Totals'!K86)/'Raw Data Totals'!K86, ('Raw Data Totals'!K73)/1)</f>
        <v>-3.8461538461538464E-2</v>
      </c>
      <c r="L73" s="155">
        <f>IF('Raw Data Totals'!L86 &lt;&gt; 0, ('Raw Data Totals'!L73-'Raw Data Totals'!L86)/'Raw Data Totals'!L86, ('Raw Data Totals'!L73)/1)</f>
        <v>0.23076923076923078</v>
      </c>
      <c r="M73" s="155">
        <v>0</v>
      </c>
      <c r="N73" s="46" t="s">
        <v>1</v>
      </c>
      <c r="O73" s="135" t="s">
        <v>8</v>
      </c>
    </row>
    <row r="74" spans="1:15" x14ac:dyDescent="0.35">
      <c r="A74" s="174"/>
      <c r="B74" s="170"/>
      <c r="C74" s="45" t="s">
        <v>29</v>
      </c>
      <c r="D74" s="155">
        <f>IF('Raw Data Totals'!D87 &lt;&gt; 0, ('Raw Data Totals'!D74-'Raw Data Totals'!D87)/'Raw Data Totals'!D87, ('Raw Data Totals'!D74)/1)</f>
        <v>2.4752475247524754E-2</v>
      </c>
      <c r="E74" s="155">
        <f>IF('Raw Data Totals'!E87 &lt;&gt; 0, ('Raw Data Totals'!E74-'Raw Data Totals'!E87)/'Raw Data Totals'!E87, ('Raw Data Totals'!E74)/1)</f>
        <v>1.5</v>
      </c>
      <c r="F74" s="155">
        <f>IF('Raw Data Totals'!F87 &lt;&gt; 0, ('Raw Data Totals'!F74-'Raw Data Totals'!F87)/'Raw Data Totals'!F87, ('Raw Data Totals'!F74)/1)</f>
        <v>-0.34375</v>
      </c>
      <c r="G74" s="155">
        <f>IF('Raw Data Totals'!G87 &lt;&gt; 0, ('Raw Data Totals'!G74-'Raw Data Totals'!G87)/'Raw Data Totals'!G87, ('Raw Data Totals'!G74)/1)</f>
        <v>0.56521739130434778</v>
      </c>
      <c r="H74" s="155">
        <f>IF('Raw Data Totals'!H87 &lt;&gt; 0, ('Raw Data Totals'!H74-'Raw Data Totals'!H87)/'Raw Data Totals'!H87, ('Raw Data Totals'!H74)/1)</f>
        <v>0.47368421052631576</v>
      </c>
      <c r="I74" s="155">
        <f>IF('Raw Data Totals'!I87 &lt;&gt; 0, ('Raw Data Totals'!I74-'Raw Data Totals'!I87)/'Raw Data Totals'!I87, ('Raw Data Totals'!I74)/1)</f>
        <v>-3.8461538461538464E-2</v>
      </c>
      <c r="J74" s="155">
        <f>IF('Raw Data Totals'!J87 &lt;&gt; 0, ('Raw Data Totals'!J74-'Raw Data Totals'!J87)/'Raw Data Totals'!J87, ('Raw Data Totals'!J74)/1)</f>
        <v>0.5</v>
      </c>
      <c r="K74" s="155">
        <f>IF('Raw Data Totals'!K87 &lt;&gt; 0, ('Raw Data Totals'!K74-'Raw Data Totals'!K87)/'Raw Data Totals'!K87, ('Raw Data Totals'!K74)/1)</f>
        <v>0.14285714285714285</v>
      </c>
      <c r="L74" s="155">
        <f>IF('Raw Data Totals'!L87 &lt;&gt; 0, ('Raw Data Totals'!L74-'Raw Data Totals'!L87)/'Raw Data Totals'!L87, ('Raw Data Totals'!L74)/1)</f>
        <v>-0.2</v>
      </c>
      <c r="M74" s="155">
        <v>0</v>
      </c>
      <c r="N74" s="46" t="s">
        <v>1</v>
      </c>
      <c r="O74" s="135" t="s">
        <v>8</v>
      </c>
    </row>
    <row r="75" spans="1:15" x14ac:dyDescent="0.35">
      <c r="A75" s="174"/>
      <c r="B75" s="170"/>
      <c r="C75" s="45" t="s">
        <v>30</v>
      </c>
      <c r="D75" s="155">
        <f>IF('Raw Data Totals'!D88 &lt;&gt; 0, ('Raw Data Totals'!D75-'Raw Data Totals'!D88)/'Raw Data Totals'!D88, ('Raw Data Totals'!D75)/1)</f>
        <v>-0.5641025641025641</v>
      </c>
      <c r="E75" s="155">
        <f>IF('Raw Data Totals'!E88 &lt;&gt; 0, ('Raw Data Totals'!E75-'Raw Data Totals'!E88)/'Raw Data Totals'!E88, ('Raw Data Totals'!E75)/1)</f>
        <v>0.53846153846153844</v>
      </c>
      <c r="F75" s="155">
        <f>IF('Raw Data Totals'!F88 &lt;&gt; 0, ('Raw Data Totals'!F75-'Raw Data Totals'!F88)/'Raw Data Totals'!F88, ('Raw Data Totals'!F75)/1)</f>
        <v>1.6428571428571428</v>
      </c>
      <c r="G75" s="155">
        <f>IF('Raw Data Totals'!G88 &lt;&gt; 0, ('Raw Data Totals'!G75-'Raw Data Totals'!G88)/'Raw Data Totals'!G88, ('Raw Data Totals'!G75)/1)</f>
        <v>1.5714285714285714</v>
      </c>
      <c r="H75" s="155">
        <f>IF('Raw Data Totals'!H88 &lt;&gt; 0, ('Raw Data Totals'!H75-'Raw Data Totals'!H88)/'Raw Data Totals'!H88, ('Raw Data Totals'!H75)/1)</f>
        <v>-0.5</v>
      </c>
      <c r="I75" s="155">
        <f>IF('Raw Data Totals'!I88 &lt;&gt; 0, ('Raw Data Totals'!I75-'Raw Data Totals'!I88)/'Raw Data Totals'!I88, ('Raw Data Totals'!I75)/1)</f>
        <v>1.5</v>
      </c>
      <c r="J75" s="155">
        <f>IF('Raw Data Totals'!J88 &lt;&gt; 0, ('Raw Data Totals'!J75-'Raw Data Totals'!J88)/'Raw Data Totals'!J88, ('Raw Data Totals'!J75)/1)</f>
        <v>3</v>
      </c>
      <c r="K75" s="155">
        <f>IF('Raw Data Totals'!K88 &lt;&gt; 0, ('Raw Data Totals'!K75-'Raw Data Totals'!K88)/'Raw Data Totals'!K88, ('Raw Data Totals'!K75)/1)</f>
        <v>-0.84536082474226804</v>
      </c>
      <c r="L75" s="155">
        <f>IF('Raw Data Totals'!L88 &lt;&gt; 0, ('Raw Data Totals'!L75-'Raw Data Totals'!L88)/'Raw Data Totals'!L88, ('Raw Data Totals'!L75)/1)</f>
        <v>1</v>
      </c>
      <c r="M75" s="155">
        <v>0</v>
      </c>
      <c r="N75" s="46" t="s">
        <v>1</v>
      </c>
      <c r="O75" s="135" t="s">
        <v>8</v>
      </c>
    </row>
    <row r="76" spans="1:15" x14ac:dyDescent="0.35">
      <c r="A76" s="174"/>
      <c r="B76" s="170"/>
      <c r="C76" s="45" t="s">
        <v>31</v>
      </c>
      <c r="D76" s="155">
        <f>IF('Raw Data Totals'!D89 &lt;&gt; 0, ('Raw Data Totals'!D76-'Raw Data Totals'!D89)/'Raw Data Totals'!D89, ('Raw Data Totals'!D76)/1)</f>
        <v>-0.24489795918367346</v>
      </c>
      <c r="E76" s="155">
        <f>IF('Raw Data Totals'!E89 &lt;&gt; 0, ('Raw Data Totals'!E76-'Raw Data Totals'!E89)/'Raw Data Totals'!E89, ('Raw Data Totals'!E76)/1)</f>
        <v>-0.8</v>
      </c>
      <c r="F76" s="155">
        <f>IF('Raw Data Totals'!F89 &lt;&gt; 0, ('Raw Data Totals'!F76-'Raw Data Totals'!F89)/'Raw Data Totals'!F89, ('Raw Data Totals'!F76)/1)</f>
        <v>-1</v>
      </c>
      <c r="G76" s="155">
        <f>IF('Raw Data Totals'!G89 &lt;&gt; 0, ('Raw Data Totals'!G76-'Raw Data Totals'!G89)/'Raw Data Totals'!G89, ('Raw Data Totals'!G76)/1)</f>
        <v>-1</v>
      </c>
      <c r="H76" s="155">
        <f>IF('Raw Data Totals'!H89 &lt;&gt; 0, ('Raw Data Totals'!H76-'Raw Data Totals'!H89)/'Raw Data Totals'!H89, ('Raw Data Totals'!H76)/1)</f>
        <v>-1</v>
      </c>
      <c r="I76" s="155">
        <f>IF('Raw Data Totals'!I89 &lt;&gt; 0, ('Raw Data Totals'!I76-'Raw Data Totals'!I89)/'Raw Data Totals'!I89, ('Raw Data Totals'!I76)/1)</f>
        <v>1</v>
      </c>
      <c r="J76" s="155">
        <f>IF('Raw Data Totals'!J89 &lt;&gt; 0, ('Raw Data Totals'!J76-'Raw Data Totals'!J89)/'Raw Data Totals'!J89, ('Raw Data Totals'!J76)/1)</f>
        <v>0</v>
      </c>
      <c r="K76" s="155">
        <f>IF('Raw Data Totals'!K89 &lt;&gt; 0, ('Raw Data Totals'!K76-'Raw Data Totals'!K89)/'Raw Data Totals'!K89, ('Raw Data Totals'!K76)/1)</f>
        <v>1</v>
      </c>
      <c r="L76" s="155">
        <f>IF('Raw Data Totals'!L89 &lt;&gt; 0, ('Raw Data Totals'!L76-'Raw Data Totals'!L89)/'Raw Data Totals'!L89, ('Raw Data Totals'!L76)/1)</f>
        <v>2.5</v>
      </c>
      <c r="M76" s="155">
        <v>0</v>
      </c>
      <c r="N76" s="46" t="s">
        <v>1</v>
      </c>
      <c r="O76" s="135" t="s">
        <v>8</v>
      </c>
    </row>
    <row r="77" spans="1:15" x14ac:dyDescent="0.35">
      <c r="A77" s="174"/>
      <c r="B77" s="170"/>
      <c r="C77" s="45" t="s">
        <v>32</v>
      </c>
      <c r="D77" s="155">
        <f>IF('Raw Data Totals'!D90 &lt;&gt; 0, ('Raw Data Totals'!D77-'Raw Data Totals'!D90)/'Raw Data Totals'!D90, ('Raw Data Totals'!D77)/1)</f>
        <v>-0.21771217712177121</v>
      </c>
      <c r="E77" s="155">
        <f>IF('Raw Data Totals'!E90 &lt;&gt; 0, ('Raw Data Totals'!E77-'Raw Data Totals'!E90)/'Raw Data Totals'!E90, ('Raw Data Totals'!E77)/1)</f>
        <v>0.46236559139784944</v>
      </c>
      <c r="F77" s="155">
        <f>IF('Raw Data Totals'!F90 &lt;&gt; 0, ('Raw Data Totals'!F77-'Raw Data Totals'!F90)/'Raw Data Totals'!F90, ('Raw Data Totals'!F77)/1)</f>
        <v>1.1976047904191617E-2</v>
      </c>
      <c r="G77" s="155">
        <f>IF('Raw Data Totals'!G90 &lt;&gt; 0, ('Raw Data Totals'!G77-'Raw Data Totals'!G90)/'Raw Data Totals'!G90, ('Raw Data Totals'!G77)/1)</f>
        <v>0.23577235772357724</v>
      </c>
      <c r="H77" s="155">
        <f>IF('Raw Data Totals'!H90 &lt;&gt; 0, ('Raw Data Totals'!H77-'Raw Data Totals'!H90)/'Raw Data Totals'!H90, ('Raw Data Totals'!H77)/1)</f>
        <v>0.12030075187969924</v>
      </c>
      <c r="I77" s="155">
        <f>IF('Raw Data Totals'!I90 &lt;&gt; 0, ('Raw Data Totals'!I77-'Raw Data Totals'!I90)/'Raw Data Totals'!I90, ('Raw Data Totals'!I77)/1)</f>
        <v>0.42372881355932202</v>
      </c>
      <c r="J77" s="155">
        <f>IF('Raw Data Totals'!J90 &lt;&gt; 0, ('Raw Data Totals'!J77-'Raw Data Totals'!J90)/'Raw Data Totals'!J90, ('Raw Data Totals'!J77)/1)</f>
        <v>1.0112359550561798</v>
      </c>
      <c r="K77" s="155">
        <f>IF('Raw Data Totals'!K90 &lt;&gt; 0, ('Raw Data Totals'!K77-'Raw Data Totals'!K90)/'Raw Data Totals'!K90, ('Raw Data Totals'!K77)/1)</f>
        <v>0.17460317460317459</v>
      </c>
      <c r="L77" s="155">
        <f>IF('Raw Data Totals'!L90 &lt;&gt; 0, ('Raw Data Totals'!L77-'Raw Data Totals'!L90)/'Raw Data Totals'!L90, ('Raw Data Totals'!L77)/1)</f>
        <v>0.25925925925925924</v>
      </c>
      <c r="M77" s="155">
        <v>0</v>
      </c>
      <c r="N77" s="46" t="s">
        <v>1</v>
      </c>
      <c r="O77" s="135" t="s">
        <v>8</v>
      </c>
    </row>
    <row r="78" spans="1:15" x14ac:dyDescent="0.35">
      <c r="A78" s="174"/>
      <c r="B78" s="170"/>
      <c r="C78" s="45" t="s">
        <v>33</v>
      </c>
      <c r="D78" s="155">
        <f>IF('Raw Data Totals'!D91 &lt;&gt; 0, ('Raw Data Totals'!D78-'Raw Data Totals'!D91)/'Raw Data Totals'!D91, ('Raw Data Totals'!D78)/1)</f>
        <v>-0.53507853403141359</v>
      </c>
      <c r="E78" s="155">
        <f>IF('Raw Data Totals'!E91 &lt;&gt; 0, ('Raw Data Totals'!E78-'Raw Data Totals'!E91)/'Raw Data Totals'!E91, ('Raw Data Totals'!E78)/1)</f>
        <v>0.5178571428571429</v>
      </c>
      <c r="F78" s="155">
        <f>IF('Raw Data Totals'!F91 &lt;&gt; 0, ('Raw Data Totals'!F78-'Raw Data Totals'!F91)/'Raw Data Totals'!F91, ('Raw Data Totals'!F78)/1)</f>
        <v>0.28440366972477066</v>
      </c>
      <c r="G78" s="155">
        <f>IF('Raw Data Totals'!G91 &lt;&gt; 0, ('Raw Data Totals'!G78-'Raw Data Totals'!G91)/'Raw Data Totals'!G91, ('Raw Data Totals'!G78)/1)</f>
        <v>-0.23376623376623376</v>
      </c>
      <c r="H78" s="155">
        <f>IF('Raw Data Totals'!H91 &lt;&gt; 0, ('Raw Data Totals'!H78-'Raw Data Totals'!H91)/'Raw Data Totals'!H91, ('Raw Data Totals'!H78)/1)</f>
        <v>3.4444444444444446</v>
      </c>
      <c r="I78" s="155">
        <f>IF('Raw Data Totals'!I91 &lt;&gt; 0, ('Raw Data Totals'!I78-'Raw Data Totals'!I91)/'Raw Data Totals'!I91, ('Raw Data Totals'!I78)/1)</f>
        <v>0.23076923076923078</v>
      </c>
      <c r="J78" s="155">
        <f>IF('Raw Data Totals'!J91 &lt;&gt; 0, ('Raw Data Totals'!J78-'Raw Data Totals'!J91)/'Raw Data Totals'!J91, ('Raw Data Totals'!J78)/1)</f>
        <v>-2.3255813953488372E-2</v>
      </c>
      <c r="K78" s="155">
        <f>IF('Raw Data Totals'!K91 &lt;&gt; 0, ('Raw Data Totals'!K78-'Raw Data Totals'!K91)/'Raw Data Totals'!K91, ('Raw Data Totals'!K78)/1)</f>
        <v>1.1774193548387097</v>
      </c>
      <c r="L78" s="155">
        <f>IF('Raw Data Totals'!L91 &lt;&gt; 0, ('Raw Data Totals'!L78-'Raw Data Totals'!L91)/'Raw Data Totals'!L91, ('Raw Data Totals'!L78)/1)</f>
        <v>-0.69902912621359226</v>
      </c>
      <c r="M78" s="155">
        <v>0</v>
      </c>
      <c r="N78" s="46" t="s">
        <v>1</v>
      </c>
      <c r="O78" s="135" t="s">
        <v>8</v>
      </c>
    </row>
    <row r="79" spans="1:15" ht="15" thickBot="1" x14ac:dyDescent="0.4">
      <c r="A79" s="174"/>
      <c r="B79" s="170"/>
      <c r="C79" s="45" t="s">
        <v>34</v>
      </c>
      <c r="D79" s="155">
        <f>IF('Raw Data Totals'!D92 &lt;&gt; 0, ('Raw Data Totals'!D79-'Raw Data Totals'!D92)/'Raw Data Totals'!D92, ('Raw Data Totals'!D79)/1)</f>
        <v>-0.28627450980392155</v>
      </c>
      <c r="E79" s="155">
        <f>IF('Raw Data Totals'!E92 &lt;&gt; 0, ('Raw Data Totals'!E79-'Raw Data Totals'!E92)/'Raw Data Totals'!E92, ('Raw Data Totals'!E79)/1)</f>
        <v>-0.1111111111111111</v>
      </c>
      <c r="F79" s="155">
        <f>IF('Raw Data Totals'!F92 &lt;&gt; 0, ('Raw Data Totals'!F79-'Raw Data Totals'!F92)/'Raw Data Totals'!F92, ('Raw Data Totals'!F79)/1)</f>
        <v>-0.81118881118881114</v>
      </c>
      <c r="G79" s="155">
        <f>IF('Raw Data Totals'!G92 &lt;&gt; 0, ('Raw Data Totals'!G79-'Raw Data Totals'!G92)/'Raw Data Totals'!G92, ('Raw Data Totals'!G79)/1)</f>
        <v>1.25</v>
      </c>
      <c r="H79" s="155">
        <f>IF('Raw Data Totals'!H92 &lt;&gt; 0, ('Raw Data Totals'!H79-'Raw Data Totals'!H92)/'Raw Data Totals'!H92, ('Raw Data Totals'!H79)/1)</f>
        <v>0.625</v>
      </c>
      <c r="I79" s="155">
        <f>IF('Raw Data Totals'!I92 &lt;&gt; 0, ('Raw Data Totals'!I79-'Raw Data Totals'!I92)/'Raw Data Totals'!I92, ('Raw Data Totals'!I79)/1)</f>
        <v>-4.1666666666666664E-2</v>
      </c>
      <c r="J79" s="155">
        <f>IF('Raw Data Totals'!J92 &lt;&gt; 0, ('Raw Data Totals'!J79-'Raw Data Totals'!J92)/'Raw Data Totals'!J92, ('Raw Data Totals'!J79)/1)</f>
        <v>2.1818181818181817</v>
      </c>
      <c r="K79" s="155">
        <f>IF('Raw Data Totals'!K92 &lt;&gt; 0, ('Raw Data Totals'!K79-'Raw Data Totals'!K92)/'Raw Data Totals'!K92, ('Raw Data Totals'!K79)/1)</f>
        <v>-0.63265306122448983</v>
      </c>
      <c r="L79" s="155">
        <f>IF('Raw Data Totals'!L92 &lt;&gt; 0, ('Raw Data Totals'!L79-'Raw Data Totals'!L92)/'Raw Data Totals'!L92, ('Raw Data Totals'!L79)/1)</f>
        <v>-0.69047619047619047</v>
      </c>
      <c r="M79" s="155">
        <v>0</v>
      </c>
      <c r="N79" s="46" t="s">
        <v>1</v>
      </c>
      <c r="O79" s="135" t="s">
        <v>8</v>
      </c>
    </row>
    <row r="80" spans="1:15" x14ac:dyDescent="0.35">
      <c r="A80" s="166"/>
      <c r="B80" s="167"/>
      <c r="C80" s="39"/>
      <c r="D80" s="39"/>
      <c r="E80" s="39"/>
      <c r="F80" s="39"/>
      <c r="G80" s="39"/>
      <c r="H80" s="39"/>
      <c r="I80" s="39"/>
      <c r="J80" s="39"/>
      <c r="K80" s="39"/>
      <c r="L80" s="39"/>
      <c r="M80" s="39">
        <v>0</v>
      </c>
      <c r="N80" s="40" t="s">
        <v>0</v>
      </c>
      <c r="O80" s="136" t="s">
        <v>7</v>
      </c>
    </row>
    <row r="81" spans="1:15" x14ac:dyDescent="0.35">
      <c r="A81" s="166"/>
      <c r="B81" s="168"/>
      <c r="C81" s="39"/>
      <c r="D81" s="39"/>
      <c r="E81" s="39"/>
      <c r="F81" s="39"/>
      <c r="G81" s="39"/>
      <c r="H81" s="39"/>
      <c r="I81" s="39"/>
      <c r="J81" s="39"/>
      <c r="K81" s="39"/>
      <c r="L81" s="39"/>
      <c r="M81" s="39">
        <v>0</v>
      </c>
      <c r="N81" s="40" t="s">
        <v>0</v>
      </c>
      <c r="O81" s="136" t="s">
        <v>7</v>
      </c>
    </row>
    <row r="82" spans="1:15" x14ac:dyDescent="0.35">
      <c r="A82" s="166"/>
      <c r="B82" s="168"/>
      <c r="C82" s="39"/>
      <c r="D82" s="39"/>
      <c r="E82" s="39"/>
      <c r="F82" s="39"/>
      <c r="G82" s="39"/>
      <c r="H82" s="39"/>
      <c r="I82" s="39"/>
      <c r="J82" s="39"/>
      <c r="K82" s="39"/>
      <c r="L82" s="39"/>
      <c r="M82" s="39">
        <v>0</v>
      </c>
      <c r="N82" s="40" t="s">
        <v>0</v>
      </c>
      <c r="O82" s="136" t="s">
        <v>7</v>
      </c>
    </row>
    <row r="83" spans="1:15" x14ac:dyDescent="0.35">
      <c r="A83" s="166"/>
      <c r="B83" s="168"/>
      <c r="C83" s="39"/>
      <c r="D83" s="39"/>
      <c r="E83" s="39"/>
      <c r="F83" s="39"/>
      <c r="G83" s="39"/>
      <c r="H83" s="39"/>
      <c r="I83" s="39"/>
      <c r="J83" s="39"/>
      <c r="K83" s="39"/>
      <c r="L83" s="39"/>
      <c r="M83" s="39">
        <v>0</v>
      </c>
      <c r="N83" s="40" t="s">
        <v>0</v>
      </c>
      <c r="O83" s="136" t="s">
        <v>7</v>
      </c>
    </row>
    <row r="84" spans="1:15" x14ac:dyDescent="0.35">
      <c r="A84" s="166"/>
      <c r="B84" s="168"/>
      <c r="C84" s="39"/>
      <c r="D84" s="39"/>
      <c r="E84" s="39"/>
      <c r="F84" s="39"/>
      <c r="G84" s="39"/>
      <c r="H84" s="39"/>
      <c r="I84" s="39"/>
      <c r="J84" s="39"/>
      <c r="K84" s="39"/>
      <c r="L84" s="39"/>
      <c r="M84" s="39">
        <v>0</v>
      </c>
      <c r="N84" s="40" t="s">
        <v>0</v>
      </c>
      <c r="O84" s="136" t="s">
        <v>7</v>
      </c>
    </row>
    <row r="85" spans="1:15" ht="15" thickBot="1" x14ac:dyDescent="0.4">
      <c r="A85" s="166"/>
      <c r="B85" s="168"/>
      <c r="C85" s="39"/>
      <c r="D85" s="39"/>
      <c r="E85" s="39"/>
      <c r="F85" s="39"/>
      <c r="G85" s="39"/>
      <c r="H85" s="39"/>
      <c r="I85" s="39"/>
      <c r="J85" s="39"/>
      <c r="K85" s="39"/>
      <c r="L85" s="39"/>
      <c r="M85" s="39">
        <v>0</v>
      </c>
      <c r="N85" s="40" t="s">
        <v>0</v>
      </c>
      <c r="O85" s="136" t="s">
        <v>7</v>
      </c>
    </row>
    <row r="86" spans="1:15" x14ac:dyDescent="0.35">
      <c r="A86" s="166"/>
      <c r="B86" s="167"/>
      <c r="C86" s="39"/>
      <c r="D86" s="39"/>
      <c r="E86" s="39"/>
      <c r="F86" s="39"/>
      <c r="G86" s="39"/>
      <c r="H86" s="39"/>
      <c r="I86" s="39"/>
      <c r="J86" s="39"/>
      <c r="K86" s="39"/>
      <c r="L86" s="39"/>
      <c r="M86" s="39">
        <v>0</v>
      </c>
      <c r="N86" s="40" t="s">
        <v>0</v>
      </c>
      <c r="O86" s="136" t="s">
        <v>8</v>
      </c>
    </row>
    <row r="87" spans="1:15" x14ac:dyDescent="0.35">
      <c r="A87" s="166"/>
      <c r="B87" s="168"/>
      <c r="C87" s="39"/>
      <c r="D87" s="39"/>
      <c r="E87" s="39"/>
      <c r="F87" s="39"/>
      <c r="G87" s="39"/>
      <c r="H87" s="39"/>
      <c r="I87" s="39"/>
      <c r="J87" s="39"/>
      <c r="K87" s="39"/>
      <c r="L87" s="39"/>
      <c r="M87" s="39">
        <v>0</v>
      </c>
      <c r="N87" s="40" t="s">
        <v>0</v>
      </c>
      <c r="O87" s="136" t="s">
        <v>8</v>
      </c>
    </row>
    <row r="88" spans="1:15" x14ac:dyDescent="0.35">
      <c r="A88" s="166"/>
      <c r="B88" s="168"/>
      <c r="C88" s="39"/>
      <c r="D88" s="39"/>
      <c r="E88" s="39"/>
      <c r="F88" s="39"/>
      <c r="G88" s="39"/>
      <c r="H88" s="39"/>
      <c r="I88" s="39"/>
      <c r="J88" s="39"/>
      <c r="K88" s="39"/>
      <c r="L88" s="39"/>
      <c r="M88" s="39">
        <v>0</v>
      </c>
      <c r="N88" s="40" t="s">
        <v>0</v>
      </c>
      <c r="O88" s="136" t="s">
        <v>8</v>
      </c>
    </row>
    <row r="89" spans="1:15" x14ac:dyDescent="0.35">
      <c r="A89" s="166"/>
      <c r="B89" s="168"/>
      <c r="C89" s="39"/>
      <c r="D89" s="39"/>
      <c r="E89" s="39"/>
      <c r="F89" s="39"/>
      <c r="G89" s="39"/>
      <c r="H89" s="39"/>
      <c r="I89" s="39"/>
      <c r="J89" s="39"/>
      <c r="K89" s="39"/>
      <c r="L89" s="39"/>
      <c r="M89" s="39">
        <v>0</v>
      </c>
      <c r="N89" s="40" t="s">
        <v>0</v>
      </c>
      <c r="O89" s="136" t="s">
        <v>8</v>
      </c>
    </row>
    <row r="90" spans="1:15" x14ac:dyDescent="0.35">
      <c r="A90" s="166"/>
      <c r="B90" s="168"/>
      <c r="C90" s="39"/>
      <c r="D90" s="39"/>
      <c r="E90" s="39"/>
      <c r="F90" s="39"/>
      <c r="G90" s="39"/>
      <c r="H90" s="39"/>
      <c r="I90" s="39"/>
      <c r="J90" s="39"/>
      <c r="K90" s="39"/>
      <c r="L90" s="39"/>
      <c r="M90" s="39">
        <v>0</v>
      </c>
      <c r="N90" s="40" t="s">
        <v>0</v>
      </c>
      <c r="O90" s="136" t="s">
        <v>8</v>
      </c>
    </row>
    <row r="91" spans="1:15" x14ac:dyDescent="0.35">
      <c r="A91" s="166"/>
      <c r="B91" s="168"/>
      <c r="C91" s="39"/>
      <c r="D91" s="39"/>
      <c r="E91" s="39"/>
      <c r="F91" s="39"/>
      <c r="G91" s="39"/>
      <c r="H91" s="39"/>
      <c r="I91" s="39"/>
      <c r="J91" s="39"/>
      <c r="K91" s="39"/>
      <c r="L91" s="39"/>
      <c r="M91" s="39">
        <v>0</v>
      </c>
      <c r="N91" s="40" t="s">
        <v>0</v>
      </c>
      <c r="O91" s="136" t="s">
        <v>8</v>
      </c>
    </row>
    <row r="92" spans="1:15" x14ac:dyDescent="0.35">
      <c r="A92" s="166"/>
      <c r="B92" s="168"/>
      <c r="C92" s="39"/>
      <c r="D92" s="39"/>
      <c r="E92" s="39"/>
      <c r="F92" s="39"/>
      <c r="G92" s="39"/>
      <c r="H92" s="39"/>
      <c r="I92" s="39"/>
      <c r="J92" s="39"/>
      <c r="K92" s="39"/>
      <c r="L92" s="39"/>
      <c r="M92" s="39">
        <v>0</v>
      </c>
      <c r="N92" s="40" t="s">
        <v>0</v>
      </c>
      <c r="O92" s="136" t="s">
        <v>8</v>
      </c>
    </row>
    <row r="95" spans="1:15" ht="15" thickBot="1" x14ac:dyDescent="0.4">
      <c r="C95" s="1"/>
      <c r="D95" s="1"/>
      <c r="E95" s="1"/>
      <c r="F95" s="1"/>
      <c r="G95" s="1"/>
      <c r="H95" s="1"/>
      <c r="I95" s="1"/>
      <c r="J95" s="1"/>
      <c r="K95" s="1"/>
      <c r="L95" s="1"/>
      <c r="M95" s="1"/>
      <c r="N95" s="1"/>
      <c r="O95" s="1"/>
    </row>
    <row r="96" spans="1:15" ht="14.5" customHeight="1" x14ac:dyDescent="0.35">
      <c r="A96" s="181" t="s">
        <v>6</v>
      </c>
      <c r="B96" s="164" t="s">
        <v>7</v>
      </c>
      <c r="C96" s="7" t="s">
        <v>22</v>
      </c>
      <c r="D96" s="7">
        <v>0.16091954022988506</v>
      </c>
      <c r="E96" s="7">
        <v>-0.5</v>
      </c>
      <c r="F96" s="7">
        <v>0.33333333333333331</v>
      </c>
      <c r="G96" s="7">
        <v>0.2857142857142857</v>
      </c>
      <c r="H96" s="7">
        <v>-0.75</v>
      </c>
      <c r="I96" s="7">
        <v>-0.8</v>
      </c>
      <c r="J96" s="7">
        <v>-1</v>
      </c>
      <c r="K96" s="7">
        <v>3</v>
      </c>
      <c r="L96" s="7">
        <v>1</v>
      </c>
      <c r="M96" s="7"/>
      <c r="N96" s="8" t="s">
        <v>6</v>
      </c>
      <c r="O96" s="109" t="s">
        <v>7</v>
      </c>
    </row>
    <row r="97" spans="1:15" x14ac:dyDescent="0.35">
      <c r="A97" s="181"/>
      <c r="B97" s="165"/>
      <c r="C97" s="10" t="s">
        <v>23</v>
      </c>
      <c r="D97" s="10">
        <v>0.7857142857142857</v>
      </c>
      <c r="E97" s="10">
        <v>0</v>
      </c>
      <c r="F97" s="10">
        <v>0</v>
      </c>
      <c r="G97" s="10">
        <v>1.5</v>
      </c>
      <c r="H97" s="10">
        <v>1</v>
      </c>
      <c r="I97" s="10">
        <v>0.25</v>
      </c>
      <c r="J97" s="10">
        <v>0</v>
      </c>
      <c r="K97" s="10">
        <v>1</v>
      </c>
      <c r="L97" s="10">
        <v>2</v>
      </c>
      <c r="M97" s="10"/>
      <c r="N97" s="11" t="s">
        <v>6</v>
      </c>
      <c r="O97" s="110" t="s">
        <v>7</v>
      </c>
    </row>
    <row r="98" spans="1:15" x14ac:dyDescent="0.35">
      <c r="A98" s="181"/>
      <c r="B98" s="165"/>
      <c r="C98" s="10" t="s">
        <v>24</v>
      </c>
      <c r="D98" s="10">
        <v>-0.19047619047619047</v>
      </c>
      <c r="E98" s="10">
        <v>0</v>
      </c>
      <c r="F98" s="10">
        <v>-0.66666666666666663</v>
      </c>
      <c r="G98" s="10">
        <v>-1</v>
      </c>
      <c r="H98" s="10">
        <v>0</v>
      </c>
      <c r="I98" s="10">
        <v>1</v>
      </c>
      <c r="J98" s="10">
        <v>0</v>
      </c>
      <c r="K98" s="10">
        <v>0</v>
      </c>
      <c r="L98" s="10">
        <v>1</v>
      </c>
      <c r="M98" s="10"/>
      <c r="N98" s="11" t="s">
        <v>6</v>
      </c>
      <c r="O98" s="110" t="s">
        <v>7</v>
      </c>
    </row>
    <row r="99" spans="1:15" x14ac:dyDescent="0.35">
      <c r="A99" s="181"/>
      <c r="B99" s="165"/>
      <c r="C99" s="10" t="s">
        <v>25</v>
      </c>
      <c r="D99" s="10">
        <v>-6.25E-2</v>
      </c>
      <c r="E99" s="10">
        <v>-0.4</v>
      </c>
      <c r="F99" s="10">
        <v>0</v>
      </c>
      <c r="G99" s="10">
        <v>0</v>
      </c>
      <c r="H99" s="10">
        <v>2.5</v>
      </c>
      <c r="I99" s="10">
        <v>-0.18181818181818182</v>
      </c>
      <c r="J99" s="10">
        <v>0</v>
      </c>
      <c r="K99" s="10">
        <v>-0.33333333333333331</v>
      </c>
      <c r="L99" s="10">
        <v>-0.5</v>
      </c>
      <c r="M99" s="10"/>
      <c r="N99" s="11" t="s">
        <v>6</v>
      </c>
      <c r="O99" s="110" t="s">
        <v>7</v>
      </c>
    </row>
    <row r="100" spans="1:15" x14ac:dyDescent="0.35">
      <c r="A100" s="181"/>
      <c r="B100" s="165"/>
      <c r="C100" s="10" t="s">
        <v>26</v>
      </c>
      <c r="D100" s="10">
        <v>-0.25</v>
      </c>
      <c r="E100" s="10">
        <v>0</v>
      </c>
      <c r="F100" s="10">
        <v>0</v>
      </c>
      <c r="G100" s="10">
        <v>0</v>
      </c>
      <c r="H100" s="10">
        <v>0</v>
      </c>
      <c r="I100" s="10">
        <v>0</v>
      </c>
      <c r="J100" s="10">
        <v>0</v>
      </c>
      <c r="K100" s="10">
        <v>0</v>
      </c>
      <c r="L100" s="10">
        <v>0</v>
      </c>
      <c r="M100" s="10"/>
      <c r="N100" s="11" t="s">
        <v>6</v>
      </c>
      <c r="O100" s="110" t="s">
        <v>7</v>
      </c>
    </row>
    <row r="101" spans="1:15" x14ac:dyDescent="0.35">
      <c r="A101" s="181"/>
      <c r="B101" s="165"/>
      <c r="C101" s="10" t="s">
        <v>27</v>
      </c>
      <c r="D101" s="10">
        <v>-0.33333333333333331</v>
      </c>
      <c r="E101" s="10">
        <v>2</v>
      </c>
      <c r="F101" s="10">
        <v>1</v>
      </c>
      <c r="G101" s="10">
        <v>2</v>
      </c>
      <c r="H101" s="10">
        <v>-1</v>
      </c>
      <c r="I101" s="10">
        <v>0</v>
      </c>
      <c r="J101" s="10">
        <v>0</v>
      </c>
      <c r="K101" s="10">
        <v>2</v>
      </c>
      <c r="L101" s="10">
        <v>1</v>
      </c>
      <c r="M101" s="10"/>
      <c r="N101" s="11" t="s">
        <v>6</v>
      </c>
      <c r="O101" s="110" t="s">
        <v>7</v>
      </c>
    </row>
    <row r="102" spans="1:15" ht="15" thickBot="1" x14ac:dyDescent="0.4">
      <c r="A102" s="181"/>
      <c r="B102" s="60"/>
      <c r="C102" s="58" t="s">
        <v>63</v>
      </c>
      <c r="D102" s="58">
        <f>AVERAGE(D96:D101)</f>
        <v>1.8387383689107833E-2</v>
      </c>
      <c r="E102" s="58">
        <f t="shared" ref="E102:L102" si="1">AVERAGE(E96:E101)</f>
        <v>0.18333333333333335</v>
      </c>
      <c r="F102" s="58">
        <f t="shared" si="1"/>
        <v>0.11111111111111112</v>
      </c>
      <c r="G102" s="58">
        <f t="shared" si="1"/>
        <v>0.46428571428571425</v>
      </c>
      <c r="H102" s="58">
        <f t="shared" si="1"/>
        <v>0.29166666666666669</v>
      </c>
      <c r="I102" s="58">
        <f t="shared" si="1"/>
        <v>4.4696969696969686E-2</v>
      </c>
      <c r="J102" s="58">
        <f t="shared" si="1"/>
        <v>-0.16666666666666666</v>
      </c>
      <c r="K102" s="58">
        <f t="shared" si="1"/>
        <v>0.94444444444444431</v>
      </c>
      <c r="L102" s="58">
        <f t="shared" si="1"/>
        <v>0.75</v>
      </c>
      <c r="M102" s="58"/>
      <c r="N102" s="59" t="s">
        <v>35</v>
      </c>
      <c r="O102" s="137" t="s">
        <v>7</v>
      </c>
    </row>
    <row r="103" spans="1:15" x14ac:dyDescent="0.35">
      <c r="A103" s="181"/>
      <c r="B103" s="164" t="s">
        <v>8</v>
      </c>
      <c r="C103" s="10" t="s">
        <v>28</v>
      </c>
      <c r="D103" s="10">
        <v>0.75342465753424659</v>
      </c>
      <c r="E103" s="10">
        <v>-9.4890510948905105E-2</v>
      </c>
      <c r="F103" s="10">
        <v>-0.2932330827067669</v>
      </c>
      <c r="G103" s="10">
        <v>2.8901734104046242E-2</v>
      </c>
      <c r="H103" s="10">
        <v>0.30434782608695654</v>
      </c>
      <c r="I103" s="10">
        <v>-5.5045871559633031E-2</v>
      </c>
      <c r="J103" s="10">
        <v>0.2857142857142857</v>
      </c>
      <c r="K103" s="10">
        <v>2.2253521126760565</v>
      </c>
      <c r="L103" s="10">
        <v>-0.13698630136986301</v>
      </c>
      <c r="M103" s="10"/>
      <c r="N103" s="11" t="s">
        <v>6</v>
      </c>
      <c r="O103" s="130" t="s">
        <v>8</v>
      </c>
    </row>
    <row r="104" spans="1:15" x14ac:dyDescent="0.35">
      <c r="A104" s="181"/>
      <c r="B104" s="165"/>
      <c r="C104" s="10" t="s">
        <v>29</v>
      </c>
      <c r="D104" s="10">
        <v>6.25E-2</v>
      </c>
      <c r="E104" s="10">
        <v>0.55882352941176472</v>
      </c>
      <c r="F104" s="10">
        <v>1.1764705882352942</v>
      </c>
      <c r="G104" s="10">
        <v>-0.22916666666666666</v>
      </c>
      <c r="H104" s="10">
        <v>-0.10526315789473684</v>
      </c>
      <c r="I104" s="10">
        <v>-0.21875</v>
      </c>
      <c r="J104" s="10">
        <v>-0.171875</v>
      </c>
      <c r="K104" s="10">
        <v>0.13636363636363635</v>
      </c>
      <c r="L104" s="10">
        <v>-0.24444444444444444</v>
      </c>
      <c r="M104" s="10"/>
      <c r="N104" s="11" t="s">
        <v>6</v>
      </c>
      <c r="O104" s="130" t="s">
        <v>8</v>
      </c>
    </row>
    <row r="105" spans="1:15" x14ac:dyDescent="0.35">
      <c r="A105" s="181"/>
      <c r="B105" s="165"/>
      <c r="C105" s="10" t="s">
        <v>30</v>
      </c>
      <c r="D105" s="10">
        <v>0.72549019607843135</v>
      </c>
      <c r="E105" s="10">
        <v>-0.7142857142857143</v>
      </c>
      <c r="F105" s="10">
        <v>-0.6</v>
      </c>
      <c r="G105" s="10">
        <v>0.7142857142857143</v>
      </c>
      <c r="H105" s="10">
        <v>0.66666666666666663</v>
      </c>
      <c r="I105" s="10">
        <v>-0.5</v>
      </c>
      <c r="J105" s="10">
        <v>1.0909090909090908</v>
      </c>
      <c r="K105" s="10">
        <v>-0.53846153846153844</v>
      </c>
      <c r="L105" s="10">
        <v>-5.8823529411764705E-2</v>
      </c>
      <c r="M105" s="10"/>
      <c r="N105" s="11" t="s">
        <v>6</v>
      </c>
      <c r="O105" s="130" t="s">
        <v>8</v>
      </c>
    </row>
    <row r="106" spans="1:15" x14ac:dyDescent="0.35">
      <c r="A106" s="181"/>
      <c r="B106" s="165"/>
      <c r="C106" s="10" t="s">
        <v>31</v>
      </c>
      <c r="D106" s="10">
        <v>-0.66666666666666663</v>
      </c>
      <c r="E106" s="10">
        <v>0.8</v>
      </c>
      <c r="F106" s="10">
        <v>-1</v>
      </c>
      <c r="G106" s="10">
        <v>0</v>
      </c>
      <c r="H106" s="10">
        <v>1</v>
      </c>
      <c r="I106" s="10">
        <v>0</v>
      </c>
      <c r="J106" s="10">
        <v>3</v>
      </c>
      <c r="K106" s="10">
        <v>-1</v>
      </c>
      <c r="L106" s="10">
        <v>1</v>
      </c>
      <c r="M106" s="10"/>
      <c r="N106" s="11" t="s">
        <v>6</v>
      </c>
      <c r="O106" s="130" t="s">
        <v>8</v>
      </c>
    </row>
    <row r="107" spans="1:15" x14ac:dyDescent="0.35">
      <c r="A107" s="181"/>
      <c r="B107" s="165"/>
      <c r="C107" s="10" t="s">
        <v>32</v>
      </c>
      <c r="D107" s="10">
        <v>0.41763341067285381</v>
      </c>
      <c r="E107" s="10">
        <v>-0.14285714285714285</v>
      </c>
      <c r="F107" s="10">
        <v>0</v>
      </c>
      <c r="G107" s="10">
        <v>-2.6415094339622643E-2</v>
      </c>
      <c r="H107" s="10">
        <v>7.9497907949790794E-2</v>
      </c>
      <c r="I107" s="10">
        <v>-6.030150753768844E-2</v>
      </c>
      <c r="J107" s="10">
        <v>0.10256410256410256</v>
      </c>
      <c r="K107" s="10">
        <v>0.68595041322314054</v>
      </c>
      <c r="L107" s="10">
        <v>-0.28901734104046245</v>
      </c>
      <c r="M107" s="10"/>
      <c r="N107" s="11" t="s">
        <v>6</v>
      </c>
      <c r="O107" s="130" t="s">
        <v>8</v>
      </c>
    </row>
    <row r="108" spans="1:15" x14ac:dyDescent="0.35">
      <c r="A108" s="181"/>
      <c r="B108" s="165"/>
      <c r="C108" s="10" t="s">
        <v>33</v>
      </c>
      <c r="D108" s="10">
        <v>-0.14285714285714285</v>
      </c>
      <c r="E108" s="10">
        <v>-0.72222222222222221</v>
      </c>
      <c r="F108" s="10">
        <v>0.71604938271604934</v>
      </c>
      <c r="G108" s="10">
        <v>0.1</v>
      </c>
      <c r="H108" s="10">
        <v>-0.33673469387755101</v>
      </c>
      <c r="I108" s="10">
        <v>-0.31868131868131866</v>
      </c>
      <c r="J108" s="10">
        <v>-1.7857142857142856E-2</v>
      </c>
      <c r="K108" s="10">
        <v>-0.89304812834224601</v>
      </c>
      <c r="L108" s="10">
        <v>-0.25675675675675674</v>
      </c>
      <c r="M108" s="10"/>
      <c r="N108" s="11" t="s">
        <v>6</v>
      </c>
      <c r="O108" s="130" t="s">
        <v>8</v>
      </c>
    </row>
    <row r="109" spans="1:15" x14ac:dyDescent="0.35">
      <c r="A109" s="181"/>
      <c r="B109" s="165"/>
      <c r="C109" s="10" t="s">
        <v>34</v>
      </c>
      <c r="D109" s="10">
        <v>-3.1325301204819279E-2</v>
      </c>
      <c r="E109" s="10">
        <v>1.5333333333333334</v>
      </c>
      <c r="F109" s="10">
        <v>1.8867924528301886E-2</v>
      </c>
      <c r="G109" s="10">
        <v>-4.2553191489361701E-2</v>
      </c>
      <c r="H109" s="10">
        <v>-0.90243902439024393</v>
      </c>
      <c r="I109" s="10">
        <v>1.4375</v>
      </c>
      <c r="J109" s="10">
        <v>-0.60810810810810811</v>
      </c>
      <c r="K109" s="10">
        <v>12.75</v>
      </c>
      <c r="L109" s="10">
        <v>-0.65625</v>
      </c>
      <c r="M109" s="10"/>
      <c r="N109" s="11" t="s">
        <v>6</v>
      </c>
      <c r="O109" s="130" t="s">
        <v>8</v>
      </c>
    </row>
    <row r="110" spans="1:15" ht="15" thickBot="1" x14ac:dyDescent="0.4">
      <c r="A110" s="51"/>
      <c r="B110" s="6"/>
      <c r="C110" s="58" t="s">
        <v>63</v>
      </c>
      <c r="D110" s="58">
        <f>AVERAGE(D103:D109)</f>
        <v>0.15974273622241469</v>
      </c>
      <c r="E110" s="58">
        <f t="shared" ref="E110:L110" si="2">AVERAGE(E103:E109)</f>
        <v>0.17398589606158768</v>
      </c>
      <c r="F110" s="58">
        <f t="shared" si="2"/>
        <v>2.5935446818397948E-3</v>
      </c>
      <c r="G110" s="58">
        <f t="shared" si="2"/>
        <v>7.7864642270587092E-2</v>
      </c>
      <c r="H110" s="58">
        <f t="shared" si="2"/>
        <v>0.10086793207726888</v>
      </c>
      <c r="I110" s="58">
        <f t="shared" si="2"/>
        <v>4.0674471745908533E-2</v>
      </c>
      <c r="J110" s="58">
        <f t="shared" si="2"/>
        <v>0.52590674688888961</v>
      </c>
      <c r="K110" s="58">
        <f t="shared" si="2"/>
        <v>1.9094509279227212</v>
      </c>
      <c r="L110" s="58">
        <f t="shared" si="2"/>
        <v>-9.1754053289041626E-2</v>
      </c>
      <c r="M110" s="10"/>
      <c r="N110" s="11" t="s">
        <v>6</v>
      </c>
      <c r="O110" s="130" t="s">
        <v>8</v>
      </c>
    </row>
    <row r="111" spans="1:15" ht="14.5" customHeight="1" x14ac:dyDescent="0.35">
      <c r="A111" s="182" t="s">
        <v>5</v>
      </c>
      <c r="B111" s="162" t="s">
        <v>7</v>
      </c>
      <c r="C111" s="17" t="s">
        <v>22</v>
      </c>
      <c r="D111" s="17">
        <v>4.8192771084337352E-2</v>
      </c>
      <c r="E111" s="17">
        <v>2</v>
      </c>
      <c r="F111" s="17">
        <v>-0.625</v>
      </c>
      <c r="G111" s="17">
        <v>0.75</v>
      </c>
      <c r="H111" s="17">
        <v>4</v>
      </c>
      <c r="I111" s="17">
        <v>0.66666666666666663</v>
      </c>
      <c r="J111" s="17">
        <v>0.66666666666666663</v>
      </c>
      <c r="K111" s="17">
        <v>1</v>
      </c>
      <c r="L111" s="17">
        <v>2</v>
      </c>
      <c r="M111" s="17"/>
      <c r="N111" s="18" t="s">
        <v>5</v>
      </c>
      <c r="O111" s="131" t="s">
        <v>7</v>
      </c>
    </row>
    <row r="112" spans="1:15" x14ac:dyDescent="0.35">
      <c r="A112" s="182"/>
      <c r="B112" s="163"/>
      <c r="C112" s="17" t="s">
        <v>23</v>
      </c>
      <c r="D112" s="17">
        <v>0.19148936170212766</v>
      </c>
      <c r="E112" s="17">
        <v>0</v>
      </c>
      <c r="F112" s="17">
        <v>-1</v>
      </c>
      <c r="G112" s="17">
        <v>1</v>
      </c>
      <c r="H112" s="17">
        <v>0</v>
      </c>
      <c r="I112" s="17">
        <v>3</v>
      </c>
      <c r="J112" s="17">
        <v>0</v>
      </c>
      <c r="K112" s="17">
        <v>0</v>
      </c>
      <c r="L112" s="17">
        <v>-1</v>
      </c>
      <c r="M112" s="17"/>
      <c r="N112" s="18" t="s">
        <v>5</v>
      </c>
      <c r="O112" s="131" t="s">
        <v>7</v>
      </c>
    </row>
    <row r="113" spans="1:15" x14ac:dyDescent="0.35">
      <c r="A113" s="182"/>
      <c r="B113" s="163"/>
      <c r="C113" s="17" t="s">
        <v>24</v>
      </c>
      <c r="D113" s="17">
        <v>0.23529411764705882</v>
      </c>
      <c r="E113" s="17">
        <v>0</v>
      </c>
      <c r="F113" s="17">
        <v>-0.25</v>
      </c>
      <c r="G113" s="17">
        <v>0</v>
      </c>
      <c r="H113" s="17">
        <v>-1</v>
      </c>
      <c r="I113" s="17">
        <v>0</v>
      </c>
      <c r="J113" s="17">
        <v>1</v>
      </c>
      <c r="K113" s="17">
        <v>0</v>
      </c>
      <c r="L113" s="17">
        <v>2</v>
      </c>
      <c r="M113" s="17"/>
      <c r="N113" s="18" t="s">
        <v>5</v>
      </c>
      <c r="O113" s="131" t="s">
        <v>7</v>
      </c>
    </row>
    <row r="114" spans="1:15" x14ac:dyDescent="0.35">
      <c r="A114" s="182"/>
      <c r="B114" s="163"/>
      <c r="C114" s="17" t="s">
        <v>25</v>
      </c>
      <c r="D114" s="17">
        <v>-0.1111111111111111</v>
      </c>
      <c r="E114" s="17">
        <v>1.5</v>
      </c>
      <c r="F114" s="17">
        <v>-0.25</v>
      </c>
      <c r="G114" s="17">
        <v>0.5</v>
      </c>
      <c r="H114" s="17">
        <v>-0.66666666666666663</v>
      </c>
      <c r="I114" s="17">
        <v>2.6666666666666665</v>
      </c>
      <c r="J114" s="17">
        <v>0</v>
      </c>
      <c r="K114" s="17">
        <v>-0.25</v>
      </c>
      <c r="L114" s="17">
        <v>0</v>
      </c>
      <c r="M114" s="17"/>
      <c r="N114" s="18" t="s">
        <v>5</v>
      </c>
      <c r="O114" s="131" t="s">
        <v>7</v>
      </c>
    </row>
    <row r="115" spans="1:15" x14ac:dyDescent="0.35">
      <c r="A115" s="182"/>
      <c r="B115" s="163"/>
      <c r="C115" s="17" t="s">
        <v>26</v>
      </c>
      <c r="D115" s="17">
        <v>0.33333333333333331</v>
      </c>
      <c r="E115" s="17">
        <v>0</v>
      </c>
      <c r="F115" s="17">
        <v>-1</v>
      </c>
      <c r="G115" s="17">
        <v>0</v>
      </c>
      <c r="H115" s="17">
        <v>0</v>
      </c>
      <c r="I115" s="17">
        <v>0</v>
      </c>
      <c r="J115" s="17">
        <v>0</v>
      </c>
      <c r="K115" s="17">
        <v>0</v>
      </c>
      <c r="L115" s="17">
        <v>0</v>
      </c>
      <c r="M115" s="17"/>
      <c r="N115" s="18" t="s">
        <v>5</v>
      </c>
      <c r="O115" s="131" t="s">
        <v>7</v>
      </c>
    </row>
    <row r="116" spans="1:15" x14ac:dyDescent="0.35">
      <c r="A116" s="182"/>
      <c r="B116" s="163"/>
      <c r="C116" s="17" t="s">
        <v>27</v>
      </c>
      <c r="D116" s="17">
        <v>1.5714285714285714</v>
      </c>
      <c r="E116" s="17">
        <v>0</v>
      </c>
      <c r="F116" s="17">
        <v>0</v>
      </c>
      <c r="G116" s="17">
        <v>0</v>
      </c>
      <c r="H116" s="17">
        <v>1</v>
      </c>
      <c r="I116" s="17">
        <v>0</v>
      </c>
      <c r="J116" s="17">
        <v>0</v>
      </c>
      <c r="K116" s="17">
        <v>-1</v>
      </c>
      <c r="L116" s="17">
        <v>0</v>
      </c>
      <c r="M116" s="17"/>
      <c r="N116" s="18" t="s">
        <v>5</v>
      </c>
      <c r="O116" s="131" t="s">
        <v>7</v>
      </c>
    </row>
    <row r="117" spans="1:15" ht="15" thickBot="1" x14ac:dyDescent="0.4">
      <c r="A117" s="182"/>
      <c r="B117" s="60"/>
      <c r="C117" s="58" t="s">
        <v>63</v>
      </c>
      <c r="D117" s="58">
        <f>AVERAGE(D111:D116)</f>
        <v>0.37810450734738626</v>
      </c>
      <c r="E117" s="58">
        <f t="shared" ref="E117" si="3">AVERAGE(E111:E116)</f>
        <v>0.58333333333333337</v>
      </c>
      <c r="F117" s="58">
        <f t="shared" ref="F117" si="4">AVERAGE(F111:F116)</f>
        <v>-0.52083333333333337</v>
      </c>
      <c r="G117" s="58">
        <f t="shared" ref="G117" si="5">AVERAGE(G111:G116)</f>
        <v>0.375</v>
      </c>
      <c r="H117" s="58">
        <f t="shared" ref="H117" si="6">AVERAGE(H111:H116)</f>
        <v>0.55555555555555558</v>
      </c>
      <c r="I117" s="58">
        <f t="shared" ref="I117" si="7">AVERAGE(I111:I116)</f>
        <v>1.0555555555555556</v>
      </c>
      <c r="J117" s="58">
        <f t="shared" ref="J117" si="8">AVERAGE(J111:J116)</f>
        <v>0.27777777777777773</v>
      </c>
      <c r="K117" s="58">
        <f t="shared" ref="K117" si="9">AVERAGE(K111:K116)</f>
        <v>-4.1666666666666664E-2</v>
      </c>
      <c r="L117" s="58">
        <f t="shared" ref="L117" si="10">AVERAGE(L111:L116)</f>
        <v>0.5</v>
      </c>
      <c r="M117" s="58"/>
      <c r="N117" s="59" t="s">
        <v>35</v>
      </c>
      <c r="O117" s="137" t="s">
        <v>7</v>
      </c>
    </row>
    <row r="118" spans="1:15" x14ac:dyDescent="0.35">
      <c r="A118" s="182"/>
      <c r="B118" s="162" t="s">
        <v>8</v>
      </c>
      <c r="C118" s="17" t="s">
        <v>28</v>
      </c>
      <c r="D118" s="17">
        <v>0.12307692307692308</v>
      </c>
      <c r="E118" s="17">
        <v>0.85135135135135132</v>
      </c>
      <c r="F118" s="17">
        <v>0.56470588235294117</v>
      </c>
      <c r="G118" s="17">
        <v>-0.15609756097560976</v>
      </c>
      <c r="H118" s="17">
        <v>-6.1224489795918366E-2</v>
      </c>
      <c r="I118" s="17">
        <v>-0.11382113821138211</v>
      </c>
      <c r="J118" s="17">
        <v>1.7094017094017096E-2</v>
      </c>
      <c r="K118" s="17">
        <v>1.7307692307692308</v>
      </c>
      <c r="L118" s="17">
        <v>0.140625</v>
      </c>
      <c r="M118" s="17"/>
      <c r="N118" s="18" t="s">
        <v>5</v>
      </c>
      <c r="O118" s="131" t="s">
        <v>8</v>
      </c>
    </row>
    <row r="119" spans="1:15" x14ac:dyDescent="0.35">
      <c r="A119" s="182"/>
      <c r="B119" s="163"/>
      <c r="C119" s="17" t="s">
        <v>29</v>
      </c>
      <c r="D119" s="17">
        <v>0.18120805369127516</v>
      </c>
      <c r="E119" s="17">
        <v>0.78947368421052633</v>
      </c>
      <c r="F119" s="17">
        <v>1.125</v>
      </c>
      <c r="G119" s="17">
        <v>-0.38461538461538464</v>
      </c>
      <c r="H119" s="17">
        <v>0.1875</v>
      </c>
      <c r="I119" s="17">
        <v>-0.34693877551020408</v>
      </c>
      <c r="J119" s="17">
        <v>0.88235294117647056</v>
      </c>
      <c r="K119" s="17">
        <v>4.5</v>
      </c>
      <c r="L119" s="17">
        <v>-0.1</v>
      </c>
      <c r="M119" s="17"/>
      <c r="N119" s="18" t="s">
        <v>5</v>
      </c>
      <c r="O119" s="131" t="s">
        <v>8</v>
      </c>
    </row>
    <row r="120" spans="1:15" x14ac:dyDescent="0.35">
      <c r="A120" s="182"/>
      <c r="B120" s="163"/>
      <c r="C120" s="17" t="s">
        <v>30</v>
      </c>
      <c r="D120" s="17">
        <v>-0.35443037974683544</v>
      </c>
      <c r="E120" s="17">
        <v>1.3333333333333333</v>
      </c>
      <c r="F120" s="17">
        <v>-0.44444444444444442</v>
      </c>
      <c r="G120" s="17">
        <v>-0.5625</v>
      </c>
      <c r="H120" s="17">
        <v>0</v>
      </c>
      <c r="I120" s="17">
        <v>-0.30769230769230771</v>
      </c>
      <c r="J120" s="17">
        <v>-0.75555555555555554</v>
      </c>
      <c r="K120" s="17">
        <v>0.44444444444444442</v>
      </c>
      <c r="L120" s="17">
        <v>-0.2608695652173913</v>
      </c>
      <c r="M120" s="17"/>
      <c r="N120" s="18" t="s">
        <v>5</v>
      </c>
      <c r="O120" s="131" t="s">
        <v>8</v>
      </c>
    </row>
    <row r="121" spans="1:15" x14ac:dyDescent="0.35">
      <c r="A121" s="182"/>
      <c r="B121" s="163"/>
      <c r="C121" s="17" t="s">
        <v>31</v>
      </c>
      <c r="D121" s="17">
        <v>2.75</v>
      </c>
      <c r="E121" s="17">
        <v>4</v>
      </c>
      <c r="F121" s="17">
        <v>7</v>
      </c>
      <c r="G121" s="17">
        <v>0</v>
      </c>
      <c r="H121" s="17">
        <v>-1</v>
      </c>
      <c r="I121" s="17">
        <v>0</v>
      </c>
      <c r="J121" s="17">
        <v>-1</v>
      </c>
      <c r="K121" s="17">
        <v>1</v>
      </c>
      <c r="L121" s="17">
        <v>-1</v>
      </c>
      <c r="M121" s="17"/>
      <c r="N121" s="18" t="s">
        <v>5</v>
      </c>
      <c r="O121" s="131" t="s">
        <v>8</v>
      </c>
    </row>
    <row r="122" spans="1:15" x14ac:dyDescent="0.35">
      <c r="A122" s="182"/>
      <c r="B122" s="163"/>
      <c r="C122" s="17" t="s">
        <v>32</v>
      </c>
      <c r="D122" s="17">
        <v>-8.0369843527738266E-2</v>
      </c>
      <c r="E122" s="17">
        <v>0.16262975778546712</v>
      </c>
      <c r="F122" s="17">
        <v>0.25</v>
      </c>
      <c r="G122" s="17">
        <v>-0.19939577039274925</v>
      </c>
      <c r="H122" s="17">
        <v>-7.7220077220077218E-2</v>
      </c>
      <c r="I122" s="17">
        <v>-0.11946902654867257</v>
      </c>
      <c r="J122" s="17">
        <v>0.2</v>
      </c>
      <c r="K122" s="17">
        <v>2.78125</v>
      </c>
      <c r="L122" s="17">
        <v>-8.7071240105540904E-2</v>
      </c>
      <c r="M122" s="17"/>
      <c r="N122" s="18" t="s">
        <v>5</v>
      </c>
      <c r="O122" s="131" t="s">
        <v>8</v>
      </c>
    </row>
    <row r="123" spans="1:15" x14ac:dyDescent="0.35">
      <c r="A123" s="182"/>
      <c r="B123" s="163"/>
      <c r="C123" s="17" t="s">
        <v>33</v>
      </c>
      <c r="D123" s="17">
        <v>0.35087719298245612</v>
      </c>
      <c r="E123" s="17">
        <v>0.16129032258064516</v>
      </c>
      <c r="F123" s="17">
        <v>-0.3135593220338983</v>
      </c>
      <c r="G123" s="17">
        <v>-0.67479674796747968</v>
      </c>
      <c r="H123" s="17">
        <v>0.88461538461538458</v>
      </c>
      <c r="I123" s="17">
        <v>0.3</v>
      </c>
      <c r="J123" s="17">
        <v>0.93103448275862066</v>
      </c>
      <c r="K123" s="17">
        <v>8.35</v>
      </c>
      <c r="L123" s="17">
        <v>0.89743589743589747</v>
      </c>
      <c r="M123" s="17"/>
      <c r="N123" s="18" t="s">
        <v>5</v>
      </c>
      <c r="O123" s="131" t="s">
        <v>8</v>
      </c>
    </row>
    <row r="124" spans="1:15" x14ac:dyDescent="0.35">
      <c r="A124" s="182"/>
      <c r="B124" s="163"/>
      <c r="C124" s="17" t="s">
        <v>34</v>
      </c>
      <c r="D124" s="17">
        <v>8.3550913838120106E-2</v>
      </c>
      <c r="E124" s="17">
        <v>-0.91666666666666663</v>
      </c>
      <c r="F124" s="17">
        <v>8.1632653061224483E-2</v>
      </c>
      <c r="G124" s="17">
        <v>-0.22950819672131148</v>
      </c>
      <c r="H124" s="17">
        <v>0.24242424242424243</v>
      </c>
      <c r="I124" s="17">
        <v>-0.30434782608695654</v>
      </c>
      <c r="J124" s="17">
        <v>2.0833333333333335</v>
      </c>
      <c r="K124" s="17">
        <v>-0.38461538461538464</v>
      </c>
      <c r="L124" s="17">
        <v>-0.27272727272727271</v>
      </c>
      <c r="M124" s="17"/>
      <c r="N124" s="18" t="s">
        <v>5</v>
      </c>
      <c r="O124" s="131" t="s">
        <v>8</v>
      </c>
    </row>
    <row r="125" spans="1:15" ht="15" thickBot="1" x14ac:dyDescent="0.4">
      <c r="A125" s="52"/>
      <c r="B125" s="6"/>
      <c r="C125" s="58" t="s">
        <v>63</v>
      </c>
      <c r="D125" s="58">
        <f>AVERAGE(D118:D124)</f>
        <v>0.43627326575917147</v>
      </c>
      <c r="E125" s="58">
        <f t="shared" ref="E125" si="11">AVERAGE(E118:E124)</f>
        <v>0.91163025465637937</v>
      </c>
      <c r="F125" s="58">
        <f t="shared" ref="F125" si="12">AVERAGE(F118:F124)</f>
        <v>1.1804763955622604</v>
      </c>
      <c r="G125" s="58">
        <f t="shared" ref="G125" si="13">AVERAGE(G118:G124)</f>
        <v>-0.31527338009607636</v>
      </c>
      <c r="H125" s="58">
        <f t="shared" ref="H125" si="14">AVERAGE(H118:H124)</f>
        <v>2.5156437146233057E-2</v>
      </c>
      <c r="I125" s="58">
        <f t="shared" ref="I125" si="15">AVERAGE(I118:I124)</f>
        <v>-0.12746701057850326</v>
      </c>
      <c r="J125" s="58">
        <f t="shared" ref="J125" si="16">AVERAGE(J118:J124)</f>
        <v>0.33689417411526945</v>
      </c>
      <c r="K125" s="58">
        <f t="shared" ref="K125" si="17">AVERAGE(K118:K124)</f>
        <v>2.6316926129426137</v>
      </c>
      <c r="L125" s="58">
        <f t="shared" ref="L125" si="18">AVERAGE(L118:L124)</f>
        <v>-9.7515311516329625E-2</v>
      </c>
      <c r="M125" s="10"/>
      <c r="N125" s="11" t="s">
        <v>6</v>
      </c>
      <c r="O125" s="130" t="s">
        <v>8</v>
      </c>
    </row>
    <row r="126" spans="1:15" ht="14.5" customHeight="1" x14ac:dyDescent="0.35">
      <c r="A126" s="175" t="s">
        <v>4</v>
      </c>
      <c r="B126" s="179" t="s">
        <v>7</v>
      </c>
      <c r="C126" s="23" t="s">
        <v>22</v>
      </c>
      <c r="D126" s="23">
        <v>5.0632911392405063E-2</v>
      </c>
      <c r="E126" s="23">
        <v>0</v>
      </c>
      <c r="F126" s="23">
        <v>0</v>
      </c>
      <c r="G126" s="23">
        <v>-0.55555555555555558</v>
      </c>
      <c r="H126" s="23">
        <v>-1</v>
      </c>
      <c r="I126" s="23">
        <v>-0.25</v>
      </c>
      <c r="J126" s="23">
        <v>-0.5</v>
      </c>
      <c r="K126" s="23">
        <v>0</v>
      </c>
      <c r="L126" s="23">
        <v>-0.5</v>
      </c>
      <c r="M126" s="23"/>
      <c r="N126" s="24" t="s">
        <v>4</v>
      </c>
      <c r="O126" s="132" t="s">
        <v>7</v>
      </c>
    </row>
    <row r="127" spans="1:15" x14ac:dyDescent="0.35">
      <c r="A127" s="175"/>
      <c r="B127" s="180"/>
      <c r="C127" s="23" t="s">
        <v>23</v>
      </c>
      <c r="D127" s="23">
        <v>0.20512820512820512</v>
      </c>
      <c r="E127" s="23">
        <v>0</v>
      </c>
      <c r="F127" s="23">
        <v>-0.83333333333333337</v>
      </c>
      <c r="G127" s="23">
        <v>-0.33333333333333331</v>
      </c>
      <c r="H127" s="23">
        <v>0</v>
      </c>
      <c r="I127" s="23">
        <v>-0.75</v>
      </c>
      <c r="J127" s="23">
        <v>0</v>
      </c>
      <c r="K127" s="23">
        <v>0</v>
      </c>
      <c r="L127" s="23">
        <v>0</v>
      </c>
      <c r="M127" s="23"/>
      <c r="N127" s="24" t="s">
        <v>4</v>
      </c>
      <c r="O127" s="132" t="s">
        <v>7</v>
      </c>
    </row>
    <row r="128" spans="1:15" x14ac:dyDescent="0.35">
      <c r="A128" s="175"/>
      <c r="B128" s="180"/>
      <c r="C128" s="23" t="s">
        <v>24</v>
      </c>
      <c r="D128" s="23">
        <v>0.54545454545454541</v>
      </c>
      <c r="E128" s="23">
        <v>0</v>
      </c>
      <c r="F128" s="23">
        <v>4</v>
      </c>
      <c r="G128" s="23">
        <v>1</v>
      </c>
      <c r="H128" s="23">
        <v>1</v>
      </c>
      <c r="I128" s="23">
        <v>0</v>
      </c>
      <c r="J128" s="23">
        <v>0</v>
      </c>
      <c r="K128" s="23">
        <v>0</v>
      </c>
      <c r="L128" s="23">
        <v>-1</v>
      </c>
      <c r="M128" s="23"/>
      <c r="N128" s="24" t="s">
        <v>4</v>
      </c>
      <c r="O128" s="132" t="s">
        <v>7</v>
      </c>
    </row>
    <row r="129" spans="1:15" x14ac:dyDescent="0.35">
      <c r="A129" s="175"/>
      <c r="B129" s="180"/>
      <c r="C129" s="23" t="s">
        <v>25</v>
      </c>
      <c r="D129" s="23">
        <v>1.5714285714285714</v>
      </c>
      <c r="E129" s="23">
        <v>2</v>
      </c>
      <c r="F129" s="23">
        <v>1</v>
      </c>
      <c r="G129" s="23">
        <v>-0.33333333333333331</v>
      </c>
      <c r="H129" s="23">
        <v>5</v>
      </c>
      <c r="I129" s="23">
        <v>0.5</v>
      </c>
      <c r="J129" s="23">
        <v>1</v>
      </c>
      <c r="K129" s="23">
        <v>1</v>
      </c>
      <c r="L129" s="23">
        <v>1</v>
      </c>
      <c r="M129" s="23"/>
      <c r="N129" s="24" t="s">
        <v>4</v>
      </c>
      <c r="O129" s="132" t="s">
        <v>7</v>
      </c>
    </row>
    <row r="130" spans="1:15" x14ac:dyDescent="0.35">
      <c r="A130" s="175"/>
      <c r="B130" s="180"/>
      <c r="C130" s="23" t="s">
        <v>26</v>
      </c>
      <c r="D130" s="23">
        <v>0.5</v>
      </c>
      <c r="E130" s="23">
        <v>-1</v>
      </c>
      <c r="F130" s="23">
        <v>1</v>
      </c>
      <c r="G130" s="23">
        <v>0</v>
      </c>
      <c r="H130" s="23">
        <v>0</v>
      </c>
      <c r="I130" s="23">
        <v>0</v>
      </c>
      <c r="J130" s="23">
        <v>-1</v>
      </c>
      <c r="K130" s="23">
        <v>0</v>
      </c>
      <c r="L130" s="23">
        <v>0</v>
      </c>
      <c r="M130" s="23"/>
      <c r="N130" s="24" t="s">
        <v>4</v>
      </c>
      <c r="O130" s="132" t="s">
        <v>7</v>
      </c>
    </row>
    <row r="131" spans="1:15" x14ac:dyDescent="0.35">
      <c r="A131" s="175"/>
      <c r="B131" s="180"/>
      <c r="C131" s="23" t="s">
        <v>27</v>
      </c>
      <c r="D131" s="23">
        <v>0</v>
      </c>
      <c r="E131" s="23">
        <v>1</v>
      </c>
      <c r="F131" s="23">
        <v>0</v>
      </c>
      <c r="G131" s="23">
        <v>-1</v>
      </c>
      <c r="H131" s="23">
        <v>0</v>
      </c>
      <c r="I131" s="23">
        <v>0</v>
      </c>
      <c r="J131" s="23">
        <v>0</v>
      </c>
      <c r="K131" s="23">
        <v>1</v>
      </c>
      <c r="L131" s="23">
        <v>0</v>
      </c>
      <c r="M131" s="23"/>
      <c r="N131" s="24" t="s">
        <v>4</v>
      </c>
      <c r="O131" s="132" t="s">
        <v>7</v>
      </c>
    </row>
    <row r="132" spans="1:15" ht="15" thickBot="1" x14ac:dyDescent="0.4">
      <c r="A132" s="175"/>
      <c r="B132" s="60"/>
      <c r="C132" s="58" t="s">
        <v>63</v>
      </c>
      <c r="D132" s="58">
        <f>AVERAGE(D126:D131)</f>
        <v>0.47877403890062115</v>
      </c>
      <c r="E132" s="58">
        <f t="shared" ref="E132" si="19">AVERAGE(E126:E131)</f>
        <v>0.33333333333333331</v>
      </c>
      <c r="F132" s="58">
        <f t="shared" ref="F132" si="20">AVERAGE(F126:F131)</f>
        <v>0.86111111111111105</v>
      </c>
      <c r="G132" s="58">
        <f t="shared" ref="G132" si="21">AVERAGE(G126:G131)</f>
        <v>-0.20370370370370369</v>
      </c>
      <c r="H132" s="58">
        <f t="shared" ref="H132" si="22">AVERAGE(H126:H131)</f>
        <v>0.83333333333333337</v>
      </c>
      <c r="I132" s="58">
        <f t="shared" ref="I132" si="23">AVERAGE(I126:I131)</f>
        <v>-8.3333333333333329E-2</v>
      </c>
      <c r="J132" s="58">
        <f t="shared" ref="J132" si="24">AVERAGE(J126:J131)</f>
        <v>-8.3333333333333329E-2</v>
      </c>
      <c r="K132" s="58">
        <f t="shared" ref="K132" si="25">AVERAGE(K126:K131)</f>
        <v>0.33333333333333331</v>
      </c>
      <c r="L132" s="58">
        <f t="shared" ref="L132" si="26">AVERAGE(L126:L131)</f>
        <v>-8.3333333333333329E-2</v>
      </c>
      <c r="M132" s="58"/>
      <c r="N132" s="59" t="s">
        <v>35</v>
      </c>
      <c r="O132" s="137" t="s">
        <v>7</v>
      </c>
    </row>
    <row r="133" spans="1:15" x14ac:dyDescent="0.35">
      <c r="A133" s="175"/>
      <c r="B133" s="179" t="s">
        <v>8</v>
      </c>
      <c r="C133" s="23" t="s">
        <v>28</v>
      </c>
      <c r="D133" s="23">
        <v>8.7516087516087512E-2</v>
      </c>
      <c r="E133" s="23">
        <v>-6.3291139240506333E-2</v>
      </c>
      <c r="F133" s="23">
        <v>-0.2975206611570248</v>
      </c>
      <c r="G133" s="23">
        <v>0.58914728682170547</v>
      </c>
      <c r="H133" s="23">
        <v>-4.8543689320388349E-2</v>
      </c>
      <c r="I133" s="23">
        <v>-0.40291262135922329</v>
      </c>
      <c r="J133" s="23">
        <v>0</v>
      </c>
      <c r="K133" s="23">
        <v>-0.1875</v>
      </c>
      <c r="L133" s="23">
        <v>-0.46887966804979253</v>
      </c>
      <c r="M133" s="23"/>
      <c r="N133" s="24" t="s">
        <v>4</v>
      </c>
      <c r="O133" s="132" t="s">
        <v>8</v>
      </c>
    </row>
    <row r="134" spans="1:15" x14ac:dyDescent="0.35">
      <c r="A134" s="175"/>
      <c r="B134" s="180"/>
      <c r="C134" s="23" t="s">
        <v>29</v>
      </c>
      <c r="D134" s="23">
        <v>0.41232227488151657</v>
      </c>
      <c r="E134" s="23">
        <v>0.9</v>
      </c>
      <c r="F134" s="23">
        <v>-0.27272727272727271</v>
      </c>
      <c r="G134" s="23">
        <v>3.1052631578947367</v>
      </c>
      <c r="H134" s="23">
        <v>-0.15789473684210525</v>
      </c>
      <c r="I134" s="23">
        <v>3.4545454545454546</v>
      </c>
      <c r="J134" s="23">
        <v>-0.2608695652173913</v>
      </c>
      <c r="K134" s="23">
        <v>3</v>
      </c>
      <c r="L134" s="23">
        <v>-0.26470588235294118</v>
      </c>
      <c r="M134" s="23"/>
      <c r="N134" s="24" t="s">
        <v>4</v>
      </c>
      <c r="O134" s="132" t="s">
        <v>8</v>
      </c>
    </row>
    <row r="135" spans="1:15" x14ac:dyDescent="0.35">
      <c r="A135" s="175"/>
      <c r="B135" s="180"/>
      <c r="C135" s="23" t="s">
        <v>30</v>
      </c>
      <c r="D135" s="23">
        <v>0.68085106382978722</v>
      </c>
      <c r="E135" s="23">
        <v>-0.4375</v>
      </c>
      <c r="F135" s="23">
        <v>-5.2631578947368418E-2</v>
      </c>
      <c r="G135" s="23">
        <v>0.77777777777777779</v>
      </c>
      <c r="H135" s="23">
        <v>0.125</v>
      </c>
      <c r="I135" s="23">
        <v>-0.36585365853658536</v>
      </c>
      <c r="J135" s="23">
        <v>4.625</v>
      </c>
      <c r="K135" s="23">
        <v>0.5</v>
      </c>
      <c r="L135" s="23">
        <v>0.15</v>
      </c>
      <c r="M135" s="23"/>
      <c r="N135" s="24" t="s">
        <v>4</v>
      </c>
      <c r="O135" s="132" t="s">
        <v>8</v>
      </c>
    </row>
    <row r="136" spans="1:15" x14ac:dyDescent="0.35">
      <c r="A136" s="175"/>
      <c r="B136" s="180"/>
      <c r="C136" s="23" t="s">
        <v>31</v>
      </c>
      <c r="D136" s="23">
        <v>-0.63636363636363635</v>
      </c>
      <c r="E136" s="23">
        <v>1</v>
      </c>
      <c r="F136" s="23">
        <v>0</v>
      </c>
      <c r="G136" s="23">
        <v>-1</v>
      </c>
      <c r="H136" s="23">
        <v>0</v>
      </c>
      <c r="I136" s="23">
        <v>-1</v>
      </c>
      <c r="J136" s="23">
        <v>-0.78947368421052633</v>
      </c>
      <c r="K136" s="23">
        <v>0</v>
      </c>
      <c r="L136" s="23">
        <v>0.25</v>
      </c>
      <c r="M136" s="23"/>
      <c r="N136" s="24" t="s">
        <v>4</v>
      </c>
      <c r="O136" s="132" t="s">
        <v>8</v>
      </c>
    </row>
    <row r="137" spans="1:15" x14ac:dyDescent="0.35">
      <c r="A137" s="175"/>
      <c r="B137" s="180"/>
      <c r="C137" s="23" t="s">
        <v>32</v>
      </c>
      <c r="D137" s="23">
        <v>8.4040092521202772E-2</v>
      </c>
      <c r="E137" s="23">
        <v>0.22457627118644069</v>
      </c>
      <c r="F137" s="23">
        <v>-3.5294117647058823E-2</v>
      </c>
      <c r="G137" s="23">
        <v>0.14930555555555555</v>
      </c>
      <c r="H137" s="23">
        <v>0.49710982658959535</v>
      </c>
      <c r="I137" s="23">
        <v>-0.10317460317460317</v>
      </c>
      <c r="J137" s="23">
        <v>3.7234042553191488E-2</v>
      </c>
      <c r="K137" s="23">
        <v>-0.42857142857142855</v>
      </c>
      <c r="L137" s="23">
        <v>0.31141868512110726</v>
      </c>
      <c r="M137" s="23"/>
      <c r="N137" s="24" t="s">
        <v>4</v>
      </c>
      <c r="O137" s="132" t="s">
        <v>8</v>
      </c>
    </row>
    <row r="138" spans="1:15" x14ac:dyDescent="0.35">
      <c r="A138" s="175"/>
      <c r="B138" s="180"/>
      <c r="C138" s="23" t="s">
        <v>33</v>
      </c>
      <c r="D138" s="23">
        <v>-0.10337078651685393</v>
      </c>
      <c r="E138" s="23">
        <v>0.40909090909090912</v>
      </c>
      <c r="F138" s="23">
        <v>1.1454545454545455</v>
      </c>
      <c r="G138" s="23">
        <v>-6.8181818181818177E-2</v>
      </c>
      <c r="H138" s="23">
        <v>-1.8867924528301886E-2</v>
      </c>
      <c r="I138" s="23">
        <v>-0.50354609929078009</v>
      </c>
      <c r="J138" s="23">
        <v>-0.49122807017543857</v>
      </c>
      <c r="K138" s="23">
        <v>-0.58333333333333337</v>
      </c>
      <c r="L138" s="23">
        <v>-0.5214723926380368</v>
      </c>
      <c r="M138" s="23"/>
      <c r="N138" s="24" t="s">
        <v>4</v>
      </c>
      <c r="O138" s="132" t="s">
        <v>8</v>
      </c>
    </row>
    <row r="139" spans="1:15" x14ac:dyDescent="0.35">
      <c r="A139" s="175"/>
      <c r="B139" s="180"/>
      <c r="C139" s="23" t="s">
        <v>34</v>
      </c>
      <c r="D139" s="23">
        <v>-0.2606177606177606</v>
      </c>
      <c r="E139" s="23">
        <v>8.473684210526315</v>
      </c>
      <c r="F139" s="23">
        <v>1.45</v>
      </c>
      <c r="G139" s="23">
        <v>0.90625</v>
      </c>
      <c r="H139" s="23">
        <v>0.22222222222222221</v>
      </c>
      <c r="I139" s="23">
        <v>9.5238095238095233E-2</v>
      </c>
      <c r="J139" s="23">
        <v>-0.27272727272727271</v>
      </c>
      <c r="K139" s="23">
        <v>-0.72340425531914898</v>
      </c>
      <c r="L139" s="23">
        <v>2.2592592592592591</v>
      </c>
      <c r="M139" s="23"/>
      <c r="N139" s="24" t="s">
        <v>4</v>
      </c>
      <c r="O139" s="132" t="s">
        <v>8</v>
      </c>
    </row>
    <row r="140" spans="1:15" ht="15" thickBot="1" x14ac:dyDescent="0.4">
      <c r="A140" s="53"/>
      <c r="B140" s="6"/>
      <c r="C140" s="58" t="s">
        <v>63</v>
      </c>
      <c r="D140" s="58">
        <f>AVERAGE(D133:D139)</f>
        <v>3.7768190750049023E-2</v>
      </c>
      <c r="E140" s="58">
        <f t="shared" ref="E140" si="27">AVERAGE(E133:E139)</f>
        <v>1.500937178794737</v>
      </c>
      <c r="F140" s="58">
        <f t="shared" ref="F140" si="28">AVERAGE(F133:F139)</f>
        <v>0.27675441642511728</v>
      </c>
      <c r="G140" s="58">
        <f t="shared" ref="G140" si="29">AVERAGE(G133:G139)</f>
        <v>0.63708027998113681</v>
      </c>
      <c r="H140" s="58">
        <f t="shared" ref="H140" si="30">AVERAGE(H133:H139)</f>
        <v>8.843224258871743E-2</v>
      </c>
      <c r="I140" s="58">
        <f t="shared" ref="I140" si="31">AVERAGE(I133:I139)</f>
        <v>0.16775665248890828</v>
      </c>
      <c r="J140" s="58">
        <f t="shared" ref="J140" si="32">AVERAGE(J133:J139)</f>
        <v>0.40684792146036602</v>
      </c>
      <c r="K140" s="58">
        <f t="shared" ref="K140" si="33">AVERAGE(K133:K139)</f>
        <v>0.22531299753944131</v>
      </c>
      <c r="L140" s="58">
        <f t="shared" ref="L140" si="34">AVERAGE(L133:L139)</f>
        <v>0.24508857161994227</v>
      </c>
      <c r="M140" s="10"/>
      <c r="N140" s="11" t="s">
        <v>6</v>
      </c>
      <c r="O140" s="130" t="s">
        <v>8</v>
      </c>
    </row>
    <row r="141" spans="1:15" ht="14.5" customHeight="1" x14ac:dyDescent="0.35">
      <c r="A141" s="176" t="s">
        <v>3</v>
      </c>
      <c r="B141" s="177" t="s">
        <v>7</v>
      </c>
      <c r="C141" s="28" t="s">
        <v>22</v>
      </c>
      <c r="D141" s="28">
        <v>-8.1395348837209308E-2</v>
      </c>
      <c r="E141" s="28">
        <v>0</v>
      </c>
      <c r="F141" s="28">
        <v>0</v>
      </c>
      <c r="G141" s="28">
        <v>3.5</v>
      </c>
      <c r="H141" s="28">
        <v>0.5</v>
      </c>
      <c r="I141" s="28">
        <v>1</v>
      </c>
      <c r="J141" s="28">
        <v>6</v>
      </c>
      <c r="K141" s="28">
        <v>-1</v>
      </c>
      <c r="L141" s="28">
        <v>1</v>
      </c>
      <c r="M141" s="28"/>
      <c r="N141" s="31" t="s">
        <v>3</v>
      </c>
      <c r="O141" s="133" t="s">
        <v>7</v>
      </c>
    </row>
    <row r="142" spans="1:15" x14ac:dyDescent="0.35">
      <c r="A142" s="176"/>
      <c r="B142" s="178"/>
      <c r="C142" s="28" t="s">
        <v>23</v>
      </c>
      <c r="D142" s="28">
        <v>-9.3023255813953487E-2</v>
      </c>
      <c r="E142" s="28">
        <v>0</v>
      </c>
      <c r="F142" s="28">
        <v>6</v>
      </c>
      <c r="G142" s="28">
        <v>0.5</v>
      </c>
      <c r="H142" s="28">
        <v>-1</v>
      </c>
      <c r="I142" s="28">
        <v>0.33333333333333331</v>
      </c>
      <c r="J142" s="28">
        <v>0</v>
      </c>
      <c r="K142" s="28">
        <v>-1</v>
      </c>
      <c r="L142" s="28">
        <v>3</v>
      </c>
      <c r="M142" s="28"/>
      <c r="N142" s="31" t="s">
        <v>3</v>
      </c>
      <c r="O142" s="133" t="s">
        <v>7</v>
      </c>
    </row>
    <row r="143" spans="1:15" x14ac:dyDescent="0.35">
      <c r="A143" s="176"/>
      <c r="B143" s="178"/>
      <c r="C143" s="28" t="s">
        <v>24</v>
      </c>
      <c r="D143" s="28">
        <v>-0.54166666666666663</v>
      </c>
      <c r="E143" s="28">
        <v>0</v>
      </c>
      <c r="F143" s="28">
        <v>0</v>
      </c>
      <c r="G143" s="28">
        <v>0</v>
      </c>
      <c r="H143" s="28">
        <v>0</v>
      </c>
      <c r="I143" s="28">
        <v>-1</v>
      </c>
      <c r="J143" s="28">
        <v>0</v>
      </c>
      <c r="K143" s="28">
        <v>0</v>
      </c>
      <c r="L143" s="28">
        <v>2</v>
      </c>
      <c r="M143" s="28"/>
      <c r="N143" s="31" t="s">
        <v>3</v>
      </c>
      <c r="O143" s="133" t="s">
        <v>7</v>
      </c>
    </row>
    <row r="144" spans="1:15" x14ac:dyDescent="0.35">
      <c r="A144" s="176"/>
      <c r="B144" s="178"/>
      <c r="C144" s="28" t="s">
        <v>25</v>
      </c>
      <c r="D144" s="28">
        <v>-0.66666666666666663</v>
      </c>
      <c r="E144" s="28">
        <v>-1</v>
      </c>
      <c r="F144" s="28">
        <v>-0.5</v>
      </c>
      <c r="G144" s="28">
        <v>0.5</v>
      </c>
      <c r="H144" s="28">
        <v>-0.875</v>
      </c>
      <c r="I144" s="28">
        <v>0</v>
      </c>
      <c r="J144" s="28">
        <v>-1</v>
      </c>
      <c r="K144" s="28">
        <v>0</v>
      </c>
      <c r="L144" s="28">
        <v>-0.25</v>
      </c>
      <c r="M144" s="28"/>
      <c r="N144" s="31" t="s">
        <v>3</v>
      </c>
      <c r="O144" s="133" t="s">
        <v>7</v>
      </c>
    </row>
    <row r="145" spans="1:15" x14ac:dyDescent="0.35">
      <c r="A145" s="176"/>
      <c r="B145" s="178"/>
      <c r="C145" s="28" t="s">
        <v>26</v>
      </c>
      <c r="D145" s="28">
        <v>2</v>
      </c>
      <c r="E145" s="28">
        <v>1</v>
      </c>
      <c r="F145" s="28">
        <v>0</v>
      </c>
      <c r="G145" s="28">
        <v>0</v>
      </c>
      <c r="H145" s="28">
        <v>0</v>
      </c>
      <c r="I145" s="28">
        <v>0</v>
      </c>
      <c r="J145" s="28">
        <v>0</v>
      </c>
      <c r="K145" s="28">
        <v>0</v>
      </c>
      <c r="L145" s="28">
        <v>0</v>
      </c>
      <c r="M145" s="28"/>
      <c r="N145" s="31" t="s">
        <v>3</v>
      </c>
      <c r="O145" s="133" t="s">
        <v>7</v>
      </c>
    </row>
    <row r="146" spans="1:15" x14ac:dyDescent="0.35">
      <c r="A146" s="176"/>
      <c r="B146" s="178"/>
      <c r="C146" s="28" t="s">
        <v>27</v>
      </c>
      <c r="D146" s="28">
        <v>-0.61111111111111116</v>
      </c>
      <c r="E146" s="28">
        <v>0</v>
      </c>
      <c r="F146" s="28">
        <v>0</v>
      </c>
      <c r="G146" s="28">
        <v>1</v>
      </c>
      <c r="H146" s="28">
        <v>0</v>
      </c>
      <c r="I146" s="28">
        <v>0</v>
      </c>
      <c r="J146" s="28">
        <v>0</v>
      </c>
      <c r="K146" s="28">
        <v>0</v>
      </c>
      <c r="L146" s="28">
        <v>0</v>
      </c>
      <c r="M146" s="28"/>
      <c r="N146" s="31" t="s">
        <v>3</v>
      </c>
      <c r="O146" s="133" t="s">
        <v>7</v>
      </c>
    </row>
    <row r="147" spans="1:15" ht="15" thickBot="1" x14ac:dyDescent="0.4">
      <c r="A147" s="176"/>
      <c r="B147" s="60"/>
      <c r="C147" s="58" t="s">
        <v>63</v>
      </c>
      <c r="D147" s="58">
        <f>AVERAGE(D141:D146)</f>
        <v>1.0228251507321169E-3</v>
      </c>
      <c r="E147" s="58">
        <f t="shared" ref="E147" si="35">AVERAGE(E141:E146)</f>
        <v>0</v>
      </c>
      <c r="F147" s="58">
        <f t="shared" ref="F147" si="36">AVERAGE(F141:F146)</f>
        <v>0.91666666666666663</v>
      </c>
      <c r="G147" s="58">
        <f t="shared" ref="G147" si="37">AVERAGE(G141:G146)</f>
        <v>0.91666666666666663</v>
      </c>
      <c r="H147" s="58">
        <f t="shared" ref="H147" si="38">AVERAGE(H141:H146)</f>
        <v>-0.22916666666666666</v>
      </c>
      <c r="I147" s="58">
        <f t="shared" ref="I147" si="39">AVERAGE(I141:I146)</f>
        <v>5.5555555555555546E-2</v>
      </c>
      <c r="J147" s="58">
        <f t="shared" ref="J147" si="40">AVERAGE(J141:J146)</f>
        <v>0.83333333333333337</v>
      </c>
      <c r="K147" s="58">
        <f t="shared" ref="K147" si="41">AVERAGE(K141:K146)</f>
        <v>-0.33333333333333331</v>
      </c>
      <c r="L147" s="58">
        <f t="shared" ref="L147" si="42">AVERAGE(L141:L146)</f>
        <v>0.95833333333333337</v>
      </c>
      <c r="M147" s="58"/>
      <c r="N147" s="59" t="s">
        <v>35</v>
      </c>
      <c r="O147" s="137" t="s">
        <v>7</v>
      </c>
    </row>
    <row r="148" spans="1:15" x14ac:dyDescent="0.35">
      <c r="A148" s="176"/>
      <c r="B148" s="177" t="s">
        <v>8</v>
      </c>
      <c r="C148" s="28" t="s">
        <v>28</v>
      </c>
      <c r="D148" s="28">
        <v>-0.20225872689938398</v>
      </c>
      <c r="E148" s="28">
        <v>-0.17708333333333334</v>
      </c>
      <c r="F148" s="28">
        <v>8.0357142857142863E-2</v>
      </c>
      <c r="G148" s="28">
        <v>0.449438202247191</v>
      </c>
      <c r="H148" s="28">
        <v>1.288888888888889</v>
      </c>
      <c r="I148" s="28">
        <v>0.98076923076923073</v>
      </c>
      <c r="J148" s="28">
        <v>0.88709677419354838</v>
      </c>
      <c r="K148" s="28">
        <v>-3.0303030303030304E-2</v>
      </c>
      <c r="L148" s="28">
        <v>1.41</v>
      </c>
      <c r="M148" s="28"/>
      <c r="N148" s="31" t="s">
        <v>3</v>
      </c>
      <c r="O148" s="133" t="s">
        <v>8</v>
      </c>
    </row>
    <row r="149" spans="1:15" x14ac:dyDescent="0.35">
      <c r="A149" s="176"/>
      <c r="B149" s="178"/>
      <c r="C149" s="28" t="s">
        <v>29</v>
      </c>
      <c r="D149" s="28">
        <v>-0.32802547770700635</v>
      </c>
      <c r="E149" s="28">
        <v>-0.56521739130434778</v>
      </c>
      <c r="F149" s="28">
        <v>-0.21428571428571427</v>
      </c>
      <c r="G149" s="28">
        <v>0.26666666666666666</v>
      </c>
      <c r="H149" s="28">
        <v>5.5555555555555552E-2</v>
      </c>
      <c r="I149" s="28">
        <v>-0.42105263157894735</v>
      </c>
      <c r="J149" s="28">
        <v>-4.1666666666666664E-2</v>
      </c>
      <c r="K149" s="28">
        <v>-0.92307692307692313</v>
      </c>
      <c r="L149" s="28">
        <v>0.94285714285714284</v>
      </c>
      <c r="M149" s="28"/>
      <c r="N149" s="31" t="s">
        <v>3</v>
      </c>
      <c r="O149" s="133" t="s">
        <v>8</v>
      </c>
    </row>
    <row r="150" spans="1:15" x14ac:dyDescent="0.35">
      <c r="A150" s="176"/>
      <c r="B150" s="178"/>
      <c r="C150" s="28" t="s">
        <v>30</v>
      </c>
      <c r="D150" s="28">
        <v>-0.35616438356164382</v>
      </c>
      <c r="E150" s="28">
        <v>1.6666666666666667</v>
      </c>
      <c r="F150" s="28">
        <v>2.1666666666666665</v>
      </c>
      <c r="G150" s="28">
        <v>-0.18181818181818182</v>
      </c>
      <c r="H150" s="28">
        <v>-0.52941176470588236</v>
      </c>
      <c r="I150" s="28">
        <v>0.41379310344827586</v>
      </c>
      <c r="J150" s="28">
        <v>0</v>
      </c>
      <c r="K150" s="28">
        <v>-0.14285714285714285</v>
      </c>
      <c r="L150" s="28">
        <v>-0.2857142857142857</v>
      </c>
      <c r="M150" s="28"/>
      <c r="N150" s="31" t="s">
        <v>3</v>
      </c>
      <c r="O150" s="133" t="s">
        <v>8</v>
      </c>
    </row>
    <row r="151" spans="1:15" x14ac:dyDescent="0.35">
      <c r="A151" s="176"/>
      <c r="B151" s="178"/>
      <c r="C151" s="28" t="s">
        <v>31</v>
      </c>
      <c r="D151" s="28">
        <v>-0.21428571428571427</v>
      </c>
      <c r="E151" s="28">
        <v>-1</v>
      </c>
      <c r="F151" s="28">
        <v>0</v>
      </c>
      <c r="G151" s="28">
        <v>1</v>
      </c>
      <c r="H151" s="28">
        <v>-0.5</v>
      </c>
      <c r="I151" s="28">
        <v>0</v>
      </c>
      <c r="J151" s="28">
        <v>19</v>
      </c>
      <c r="K151" s="28">
        <v>0</v>
      </c>
      <c r="L151" s="28">
        <v>4</v>
      </c>
      <c r="M151" s="28"/>
      <c r="N151" s="31" t="s">
        <v>3</v>
      </c>
      <c r="O151" s="133" t="s">
        <v>8</v>
      </c>
    </row>
    <row r="152" spans="1:15" x14ac:dyDescent="0.35">
      <c r="A152" s="176"/>
      <c r="B152" s="178"/>
      <c r="C152" s="28" t="s">
        <v>32</v>
      </c>
      <c r="D152" s="28">
        <v>-0.22288795686039545</v>
      </c>
      <c r="E152" s="28">
        <v>7.2727272727272724E-2</v>
      </c>
      <c r="F152" s="28">
        <v>-0.34108527131782945</v>
      </c>
      <c r="G152" s="28">
        <v>0.44</v>
      </c>
      <c r="H152" s="28">
        <v>-9.8958333333333329E-2</v>
      </c>
      <c r="I152" s="28">
        <v>-0.43370786516853932</v>
      </c>
      <c r="J152" s="28">
        <v>0.7570093457943925</v>
      </c>
      <c r="K152" s="28">
        <v>-0.39784946236559138</v>
      </c>
      <c r="L152" s="28">
        <v>0.79503105590062106</v>
      </c>
      <c r="M152" s="28"/>
      <c r="N152" s="31" t="s">
        <v>3</v>
      </c>
      <c r="O152" s="133" t="s">
        <v>8</v>
      </c>
    </row>
    <row r="153" spans="1:15" x14ac:dyDescent="0.35">
      <c r="A153" s="176"/>
      <c r="B153" s="178"/>
      <c r="C153" s="28" t="s">
        <v>33</v>
      </c>
      <c r="D153" s="28">
        <v>2.0642201834862386E-2</v>
      </c>
      <c r="E153" s="28">
        <v>-8.3333333333333329E-2</v>
      </c>
      <c r="F153" s="28">
        <v>-0.2857142857142857</v>
      </c>
      <c r="G153" s="28">
        <v>0.5</v>
      </c>
      <c r="H153" s="28">
        <v>0.1276595744680851</v>
      </c>
      <c r="I153" s="28">
        <v>-3.4246575342465752E-2</v>
      </c>
      <c r="J153" s="28">
        <v>0.16326530612244897</v>
      </c>
      <c r="K153" s="28">
        <v>0.33333333333333331</v>
      </c>
      <c r="L153" s="28">
        <v>3.5277777777777777</v>
      </c>
      <c r="M153" s="28"/>
      <c r="N153" s="31" t="s">
        <v>3</v>
      </c>
      <c r="O153" s="133" t="s">
        <v>8</v>
      </c>
    </row>
    <row r="154" spans="1:15" x14ac:dyDescent="0.35">
      <c r="A154" s="176"/>
      <c r="B154" s="178"/>
      <c r="C154" s="28" t="s">
        <v>34</v>
      </c>
      <c r="D154" s="28">
        <v>0.5370919881305638</v>
      </c>
      <c r="E154" s="28">
        <v>-0.45714285714285713</v>
      </c>
      <c r="F154" s="28">
        <v>-4.7619047619047616E-2</v>
      </c>
      <c r="G154" s="28">
        <v>-0.7168141592920354</v>
      </c>
      <c r="H154" s="28">
        <v>1.8421052631578947</v>
      </c>
      <c r="I154" s="28">
        <v>0.16666666666666666</v>
      </c>
      <c r="J154" s="28">
        <v>0.94117647058823528</v>
      </c>
      <c r="K154" s="28">
        <v>0.5161290322580645</v>
      </c>
      <c r="L154" s="28">
        <v>3.8461538461538464E-2</v>
      </c>
      <c r="M154" s="28"/>
      <c r="N154" s="31" t="s">
        <v>3</v>
      </c>
      <c r="O154" s="133" t="s">
        <v>8</v>
      </c>
    </row>
    <row r="155" spans="1:15" ht="15" thickBot="1" x14ac:dyDescent="0.4">
      <c r="A155" s="54"/>
      <c r="B155" s="6"/>
      <c r="C155" s="58" t="s">
        <v>63</v>
      </c>
      <c r="D155" s="58">
        <f>AVERAGE(D148:D154)</f>
        <v>-0.10941258133553108</v>
      </c>
      <c r="E155" s="58">
        <f t="shared" ref="E155" si="43">AVERAGE(E148:E154)</f>
        <v>-7.7626139388561735E-2</v>
      </c>
      <c r="F155" s="58">
        <f t="shared" ref="F155" si="44">AVERAGE(F148:F154)</f>
        <v>0.19404564151241885</v>
      </c>
      <c r="G155" s="58">
        <f t="shared" ref="G155" si="45">AVERAGE(G148:G154)</f>
        <v>0.2510675039719486</v>
      </c>
      <c r="H155" s="58">
        <f t="shared" ref="H155" si="46">AVERAGE(H148:H154)</f>
        <v>0.31226274057588693</v>
      </c>
      <c r="I155" s="58">
        <f t="shared" ref="I155" si="47">AVERAGE(I148:I154)</f>
        <v>9.6031704113460112E-2</v>
      </c>
      <c r="J155" s="58">
        <f t="shared" ref="J155" si="48">AVERAGE(J148:J154)</f>
        <v>3.1009830328617083</v>
      </c>
      <c r="K155" s="58">
        <f t="shared" ref="K155" si="49">AVERAGE(K148:K154)</f>
        <v>-9.2089170430184247E-2</v>
      </c>
      <c r="L155" s="58">
        <f t="shared" ref="L155" si="50">AVERAGE(L148:L154)</f>
        <v>1.4897733184689705</v>
      </c>
      <c r="M155" s="10"/>
      <c r="N155" s="11" t="s">
        <v>6</v>
      </c>
      <c r="O155" s="130" t="s">
        <v>8</v>
      </c>
    </row>
    <row r="156" spans="1:15" ht="14.5" customHeight="1" x14ac:dyDescent="0.35">
      <c r="A156" s="173" t="s">
        <v>2</v>
      </c>
      <c r="B156" s="171" t="s">
        <v>7</v>
      </c>
      <c r="C156" s="33" t="s">
        <v>22</v>
      </c>
      <c r="D156" s="33">
        <v>0.91111111111111109</v>
      </c>
      <c r="E156" s="33">
        <v>0</v>
      </c>
      <c r="F156" s="33">
        <v>0</v>
      </c>
      <c r="G156" s="33">
        <v>2</v>
      </c>
      <c r="H156" s="33">
        <v>2</v>
      </c>
      <c r="I156" s="33">
        <v>-0.66666666666666663</v>
      </c>
      <c r="J156" s="33">
        <v>0</v>
      </c>
      <c r="K156" s="33">
        <v>1</v>
      </c>
      <c r="L156" s="33">
        <v>-0.75</v>
      </c>
      <c r="M156" s="33"/>
      <c r="N156" s="34" t="s">
        <v>2</v>
      </c>
      <c r="O156" s="134" t="s">
        <v>7</v>
      </c>
    </row>
    <row r="157" spans="1:15" x14ac:dyDescent="0.35">
      <c r="A157" s="173"/>
      <c r="B157" s="172"/>
      <c r="C157" s="33" t="s">
        <v>23</v>
      </c>
      <c r="D157" s="33">
        <v>-0.43421052631578949</v>
      </c>
      <c r="E157" s="33">
        <v>0</v>
      </c>
      <c r="F157" s="33">
        <v>-1</v>
      </c>
      <c r="G157" s="33">
        <v>2</v>
      </c>
      <c r="H157" s="33">
        <v>1</v>
      </c>
      <c r="I157" s="33">
        <v>-0.5714285714285714</v>
      </c>
      <c r="J157" s="33">
        <v>0</v>
      </c>
      <c r="K157" s="33">
        <v>-0.66666666666666663</v>
      </c>
      <c r="L157" s="33">
        <v>-1</v>
      </c>
      <c r="M157" s="33"/>
      <c r="N157" s="34" t="s">
        <v>2</v>
      </c>
      <c r="O157" s="134" t="s">
        <v>7</v>
      </c>
    </row>
    <row r="158" spans="1:15" x14ac:dyDescent="0.35">
      <c r="A158" s="173"/>
      <c r="B158" s="172"/>
      <c r="C158" s="33" t="s">
        <v>24</v>
      </c>
      <c r="D158" s="33">
        <v>0.5</v>
      </c>
      <c r="E158" s="33">
        <v>0</v>
      </c>
      <c r="F158" s="33">
        <v>-1</v>
      </c>
      <c r="G158" s="33">
        <v>-1</v>
      </c>
      <c r="H158" s="33">
        <v>0</v>
      </c>
      <c r="I158" s="33">
        <v>0</v>
      </c>
      <c r="J158" s="33">
        <v>0</v>
      </c>
      <c r="K158" s="33">
        <v>-1</v>
      </c>
      <c r="L158" s="33">
        <v>-1</v>
      </c>
      <c r="M158" s="33"/>
      <c r="N158" s="34" t="s">
        <v>2</v>
      </c>
      <c r="O158" s="134" t="s">
        <v>7</v>
      </c>
    </row>
    <row r="159" spans="1:15" x14ac:dyDescent="0.35">
      <c r="A159" s="173"/>
      <c r="B159" s="172"/>
      <c r="C159" s="33" t="s">
        <v>25</v>
      </c>
      <c r="D159" s="33">
        <v>0.5</v>
      </c>
      <c r="E159" s="33">
        <v>4.5</v>
      </c>
      <c r="F159" s="33">
        <v>0.33333333333333331</v>
      </c>
      <c r="G159" s="33">
        <v>-0.33333333333333331</v>
      </c>
      <c r="H159" s="33">
        <v>-0.1111111111111111</v>
      </c>
      <c r="I159" s="33">
        <v>-0.66666666666666663</v>
      </c>
      <c r="J159" s="33">
        <v>1</v>
      </c>
      <c r="K159" s="33">
        <v>2</v>
      </c>
      <c r="L159" s="33">
        <v>0.33333333333333331</v>
      </c>
      <c r="M159" s="33"/>
      <c r="N159" s="34" t="s">
        <v>2</v>
      </c>
      <c r="O159" s="134" t="s">
        <v>7</v>
      </c>
    </row>
    <row r="160" spans="1:15" x14ac:dyDescent="0.35">
      <c r="A160" s="173"/>
      <c r="B160" s="172"/>
      <c r="C160" s="33" t="s">
        <v>26</v>
      </c>
      <c r="D160" s="33">
        <v>-1</v>
      </c>
      <c r="E160" s="33">
        <v>1</v>
      </c>
      <c r="F160" s="33">
        <v>0</v>
      </c>
      <c r="G160" s="33">
        <v>0</v>
      </c>
      <c r="H160" s="33">
        <v>0</v>
      </c>
      <c r="I160" s="33">
        <v>0</v>
      </c>
      <c r="J160" s="33">
        <v>1</v>
      </c>
      <c r="K160" s="33">
        <v>0</v>
      </c>
      <c r="L160" s="33">
        <v>-1</v>
      </c>
      <c r="M160" s="33"/>
      <c r="N160" s="34" t="s">
        <v>2</v>
      </c>
      <c r="O160" s="134" t="s">
        <v>7</v>
      </c>
    </row>
    <row r="161" spans="1:15" x14ac:dyDescent="0.35">
      <c r="A161" s="173"/>
      <c r="B161" s="172"/>
      <c r="C161" s="33" t="s">
        <v>27</v>
      </c>
      <c r="D161" s="33">
        <v>0.2857142857142857</v>
      </c>
      <c r="E161" s="33">
        <v>-1</v>
      </c>
      <c r="F161" s="33">
        <v>0</v>
      </c>
      <c r="G161" s="33">
        <v>0</v>
      </c>
      <c r="H161" s="33">
        <v>0</v>
      </c>
      <c r="I161" s="33">
        <v>0</v>
      </c>
      <c r="J161" s="33">
        <v>0</v>
      </c>
      <c r="K161" s="33">
        <v>0</v>
      </c>
      <c r="L161" s="33">
        <v>0</v>
      </c>
      <c r="M161" s="33"/>
      <c r="N161" s="34" t="s">
        <v>2</v>
      </c>
      <c r="O161" s="134" t="s">
        <v>7</v>
      </c>
    </row>
    <row r="162" spans="1:15" ht="15" thickBot="1" x14ac:dyDescent="0.4">
      <c r="A162" s="173"/>
      <c r="B162" s="60"/>
      <c r="C162" s="58" t="s">
        <v>63</v>
      </c>
      <c r="D162" s="58">
        <f>AVERAGE(D156:D161)</f>
        <v>0.12710247841826788</v>
      </c>
      <c r="E162" s="58">
        <f t="shared" ref="E162" si="51">AVERAGE(E156:E161)</f>
        <v>0.75</v>
      </c>
      <c r="F162" s="58">
        <f t="shared" ref="F162" si="52">AVERAGE(F156:F161)</f>
        <v>-0.27777777777777779</v>
      </c>
      <c r="G162" s="58">
        <f t="shared" ref="G162" si="53">AVERAGE(G156:G161)</f>
        <v>0.44444444444444442</v>
      </c>
      <c r="H162" s="58">
        <f t="shared" ref="H162" si="54">AVERAGE(H156:H161)</f>
        <v>0.48148148148148145</v>
      </c>
      <c r="I162" s="58">
        <f t="shared" ref="I162" si="55">AVERAGE(I156:I161)</f>
        <v>-0.31746031746031744</v>
      </c>
      <c r="J162" s="58">
        <f t="shared" ref="J162" si="56">AVERAGE(J156:J161)</f>
        <v>0.33333333333333331</v>
      </c>
      <c r="K162" s="58">
        <f t="shared" ref="K162" si="57">AVERAGE(K156:K161)</f>
        <v>0.22222222222222224</v>
      </c>
      <c r="L162" s="58">
        <f t="shared" ref="L162" si="58">AVERAGE(L156:L161)</f>
        <v>-0.56944444444444442</v>
      </c>
      <c r="M162" s="58"/>
      <c r="N162" s="59" t="s">
        <v>35</v>
      </c>
      <c r="O162" s="137" t="s">
        <v>7</v>
      </c>
    </row>
    <row r="163" spans="1:15" x14ac:dyDescent="0.35">
      <c r="A163" s="173"/>
      <c r="B163" s="171" t="s">
        <v>8</v>
      </c>
      <c r="C163" s="33" t="s">
        <v>28</v>
      </c>
      <c r="D163" s="33">
        <v>0.56843800322061189</v>
      </c>
      <c r="E163" s="33">
        <v>-0.10280373831775701</v>
      </c>
      <c r="F163" s="33">
        <v>0.41772151898734178</v>
      </c>
      <c r="G163" s="33">
        <v>-0.32575757575757575</v>
      </c>
      <c r="H163" s="33">
        <v>-0.68965517241379315</v>
      </c>
      <c r="I163" s="33">
        <v>0.2839506172839506</v>
      </c>
      <c r="J163" s="33">
        <v>-1.5873015873015872E-2</v>
      </c>
      <c r="K163" s="33">
        <v>0.32</v>
      </c>
      <c r="L163" s="33">
        <v>-0.43181818181818182</v>
      </c>
      <c r="M163" s="33"/>
      <c r="N163" s="34" t="s">
        <v>2</v>
      </c>
      <c r="O163" s="134" t="s">
        <v>8</v>
      </c>
    </row>
    <row r="164" spans="1:15" x14ac:dyDescent="0.35">
      <c r="A164" s="173"/>
      <c r="B164" s="172"/>
      <c r="C164" s="33" t="s">
        <v>29</v>
      </c>
      <c r="D164" s="33">
        <v>0.51690821256038644</v>
      </c>
      <c r="E164" s="33">
        <v>-0.42499999999999999</v>
      </c>
      <c r="F164" s="33">
        <v>0.33333333333333331</v>
      </c>
      <c r="G164" s="33">
        <v>-0.58333333333333337</v>
      </c>
      <c r="H164" s="33">
        <v>-0.35714285714285715</v>
      </c>
      <c r="I164" s="33">
        <v>-0.24</v>
      </c>
      <c r="J164" s="33">
        <v>0.6</v>
      </c>
      <c r="K164" s="33">
        <v>0.625</v>
      </c>
      <c r="L164" s="33">
        <v>0.25</v>
      </c>
      <c r="M164" s="33"/>
      <c r="N164" s="34" t="s">
        <v>2</v>
      </c>
      <c r="O164" s="134" t="s">
        <v>8</v>
      </c>
    </row>
    <row r="165" spans="1:15" x14ac:dyDescent="0.35">
      <c r="A165" s="173"/>
      <c r="B165" s="172"/>
      <c r="C165" s="33" t="s">
        <v>30</v>
      </c>
      <c r="D165" s="33">
        <v>0.43137254901960786</v>
      </c>
      <c r="E165" s="33">
        <v>-0.7</v>
      </c>
      <c r="F165" s="33">
        <v>-0.83783783783783783</v>
      </c>
      <c r="G165" s="33">
        <v>-0.69444444444444442</v>
      </c>
      <c r="H165" s="33">
        <v>0.41666666666666669</v>
      </c>
      <c r="I165" s="33">
        <v>-0.42</v>
      </c>
      <c r="J165" s="33">
        <v>-0.6</v>
      </c>
      <c r="K165" s="33">
        <v>-0.53333333333333333</v>
      </c>
      <c r="L165" s="33">
        <v>0.16666666666666666</v>
      </c>
      <c r="M165" s="33"/>
      <c r="N165" s="34" t="s">
        <v>2</v>
      </c>
      <c r="O165" s="134" t="s">
        <v>8</v>
      </c>
    </row>
    <row r="166" spans="1:15" x14ac:dyDescent="0.35">
      <c r="A166" s="173"/>
      <c r="B166" s="172"/>
      <c r="C166" s="33" t="s">
        <v>31</v>
      </c>
      <c r="D166" s="33">
        <v>-0.6216216216216216</v>
      </c>
      <c r="E166" s="33">
        <v>2</v>
      </c>
      <c r="F166" s="33">
        <v>0</v>
      </c>
      <c r="G166" s="33">
        <v>0</v>
      </c>
      <c r="H166" s="33">
        <v>2</v>
      </c>
      <c r="I166" s="33">
        <v>0</v>
      </c>
      <c r="J166" s="33">
        <v>-1</v>
      </c>
      <c r="K166" s="33">
        <v>-1</v>
      </c>
      <c r="L166" s="33">
        <v>-1</v>
      </c>
      <c r="M166" s="33"/>
      <c r="N166" s="34" t="s">
        <v>2</v>
      </c>
      <c r="O166" s="134" t="s">
        <v>8</v>
      </c>
    </row>
    <row r="167" spans="1:15" x14ac:dyDescent="0.35">
      <c r="A167" s="173"/>
      <c r="B167" s="172"/>
      <c r="C167" s="33" t="s">
        <v>32</v>
      </c>
      <c r="D167" s="33">
        <v>0.31210691823899372</v>
      </c>
      <c r="E167" s="33">
        <v>-0.19117647058823528</v>
      </c>
      <c r="F167" s="33">
        <v>0.52662721893491127</v>
      </c>
      <c r="G167" s="33">
        <v>-0.34210526315789475</v>
      </c>
      <c r="H167" s="33">
        <v>-0.35570469798657717</v>
      </c>
      <c r="I167" s="33">
        <v>1.6488095238095237</v>
      </c>
      <c r="J167" s="33">
        <v>-0.4022346368715084</v>
      </c>
      <c r="K167" s="33">
        <v>0.25675675675675674</v>
      </c>
      <c r="L167" s="33">
        <v>-0.47385620915032678</v>
      </c>
      <c r="M167" s="33"/>
      <c r="N167" s="34" t="s">
        <v>2</v>
      </c>
      <c r="O167" s="134" t="s">
        <v>8</v>
      </c>
    </row>
    <row r="168" spans="1:15" x14ac:dyDescent="0.35">
      <c r="A168" s="173"/>
      <c r="B168" s="172"/>
      <c r="C168" s="33" t="s">
        <v>33</v>
      </c>
      <c r="D168" s="33">
        <v>-1.8018018018018018E-2</v>
      </c>
      <c r="E168" s="33">
        <v>-0.43529411764705883</v>
      </c>
      <c r="F168" s="33">
        <v>-0.45</v>
      </c>
      <c r="G168" s="33">
        <v>-0.25423728813559321</v>
      </c>
      <c r="H168" s="33">
        <v>-0.76500000000000001</v>
      </c>
      <c r="I168" s="33">
        <v>0.82499999999999996</v>
      </c>
      <c r="J168" s="33">
        <v>-0.61111111111111116</v>
      </c>
      <c r="K168" s="33">
        <v>-0.73333333333333328</v>
      </c>
      <c r="L168" s="33">
        <v>-0.61290322580645162</v>
      </c>
      <c r="M168" s="33"/>
      <c r="N168" s="34" t="s">
        <v>2</v>
      </c>
      <c r="O168" s="134" t="s">
        <v>8</v>
      </c>
    </row>
    <row r="169" spans="1:15" x14ac:dyDescent="0.35">
      <c r="A169" s="173"/>
      <c r="B169" s="172"/>
      <c r="C169" s="33" t="s">
        <v>34</v>
      </c>
      <c r="D169" s="33">
        <v>0.85164835164835162</v>
      </c>
      <c r="E169" s="33">
        <v>0.45833333333333331</v>
      </c>
      <c r="F169" s="33">
        <v>-0.22222222222222221</v>
      </c>
      <c r="G169" s="33">
        <v>1.0925925925925926</v>
      </c>
      <c r="H169" s="33">
        <v>-0.26923076923076922</v>
      </c>
      <c r="I169" s="33">
        <v>0.56521739130434778</v>
      </c>
      <c r="J169" s="33">
        <v>-0.51428571428571423</v>
      </c>
      <c r="K169" s="33">
        <v>0.72222222222222221</v>
      </c>
      <c r="L169" s="33">
        <v>1</v>
      </c>
      <c r="M169" s="33"/>
      <c r="N169" s="34" t="s">
        <v>2</v>
      </c>
      <c r="O169" s="134" t="s">
        <v>8</v>
      </c>
    </row>
    <row r="170" spans="1:15" ht="15" thickBot="1" x14ac:dyDescent="0.4">
      <c r="A170" s="55"/>
      <c r="B170" s="6"/>
      <c r="C170" s="58" t="s">
        <v>63</v>
      </c>
      <c r="D170" s="58">
        <f>AVERAGE(D163:D169)</f>
        <v>0.29154777072118737</v>
      </c>
      <c r="E170" s="58">
        <f t="shared" ref="E170" si="59">AVERAGE(E163:E169)</f>
        <v>8.6294143825754607E-2</v>
      </c>
      <c r="F170" s="58">
        <f t="shared" ref="F170" si="60">AVERAGE(F163:F169)</f>
        <v>-3.3196855543496252E-2</v>
      </c>
      <c r="G170" s="58">
        <f t="shared" ref="G170" si="61">AVERAGE(G163:G169)</f>
        <v>-0.15818361603374984</v>
      </c>
      <c r="H170" s="58">
        <f t="shared" ref="H170" si="62">AVERAGE(H163:H169)</f>
        <v>-2.8666900153328672E-3</v>
      </c>
      <c r="I170" s="58">
        <f t="shared" ref="I170" si="63">AVERAGE(I163:I169)</f>
        <v>0.38042536177111741</v>
      </c>
      <c r="J170" s="58">
        <f t="shared" ref="J170" si="64">AVERAGE(J163:J169)</f>
        <v>-0.36335778259162138</v>
      </c>
      <c r="K170" s="58">
        <f t="shared" ref="K170" si="65">AVERAGE(K163:K169)</f>
        <v>-4.8955383955383937E-2</v>
      </c>
      <c r="L170" s="58">
        <f t="shared" ref="L170" si="66">AVERAGE(L163:L169)</f>
        <v>-0.15741585001547051</v>
      </c>
      <c r="M170" s="10"/>
      <c r="N170" s="11" t="s">
        <v>6</v>
      </c>
      <c r="O170" s="130" t="s">
        <v>8</v>
      </c>
    </row>
    <row r="171" spans="1:15" ht="14.5" customHeight="1" x14ac:dyDescent="0.35">
      <c r="A171" s="174" t="s">
        <v>1</v>
      </c>
      <c r="B171" s="169" t="s">
        <v>7</v>
      </c>
      <c r="C171" s="45" t="s">
        <v>22</v>
      </c>
      <c r="D171" s="45">
        <v>-0.43037974683544306</v>
      </c>
      <c r="E171" s="45">
        <v>0</v>
      </c>
      <c r="F171" s="45">
        <v>1.6666666666666667</v>
      </c>
      <c r="G171" s="45">
        <v>-1</v>
      </c>
      <c r="H171" s="45">
        <v>-1</v>
      </c>
      <c r="I171" s="45">
        <v>0.2</v>
      </c>
      <c r="J171" s="45">
        <v>0</v>
      </c>
      <c r="K171" s="45">
        <v>0</v>
      </c>
      <c r="L171" s="45">
        <v>-0.42857142857142855</v>
      </c>
      <c r="M171" s="45"/>
      <c r="N171" s="46" t="s">
        <v>1</v>
      </c>
      <c r="O171" s="135" t="s">
        <v>7</v>
      </c>
    </row>
    <row r="172" spans="1:15" x14ac:dyDescent="0.35">
      <c r="A172" s="174"/>
      <c r="B172" s="170"/>
      <c r="C172" s="45" t="s">
        <v>23</v>
      </c>
      <c r="D172" s="45">
        <v>-1.2987012987012988E-2</v>
      </c>
      <c r="E172" s="45">
        <v>0</v>
      </c>
      <c r="F172" s="45">
        <v>29</v>
      </c>
      <c r="G172" s="45">
        <v>-1</v>
      </c>
      <c r="H172" s="45">
        <v>0</v>
      </c>
      <c r="I172" s="45">
        <v>6</v>
      </c>
      <c r="J172" s="45">
        <v>0</v>
      </c>
      <c r="K172" s="45">
        <v>2</v>
      </c>
      <c r="L172" s="45">
        <v>2</v>
      </c>
      <c r="M172" s="45"/>
      <c r="N172" s="46" t="s">
        <v>1</v>
      </c>
      <c r="O172" s="135" t="s">
        <v>7</v>
      </c>
    </row>
    <row r="173" spans="1:15" x14ac:dyDescent="0.35">
      <c r="A173" s="174"/>
      <c r="B173" s="170"/>
      <c r="C173" s="45" t="s">
        <v>24</v>
      </c>
      <c r="D173" s="45">
        <v>-0.38461538461538464</v>
      </c>
      <c r="E173" s="45">
        <v>0</v>
      </c>
      <c r="F173" s="45">
        <v>0</v>
      </c>
      <c r="G173" s="45">
        <v>-0.5</v>
      </c>
      <c r="H173" s="45">
        <v>0</v>
      </c>
      <c r="I173" s="45">
        <v>-0.5</v>
      </c>
      <c r="J173" s="45">
        <v>0</v>
      </c>
      <c r="K173" s="45">
        <v>1</v>
      </c>
      <c r="L173" s="45">
        <v>2</v>
      </c>
      <c r="M173" s="45"/>
      <c r="N173" s="46" t="s">
        <v>1</v>
      </c>
      <c r="O173" s="135" t="s">
        <v>7</v>
      </c>
    </row>
    <row r="174" spans="1:15" x14ac:dyDescent="0.35">
      <c r="A174" s="174"/>
      <c r="B174" s="170"/>
      <c r="C174" s="45" t="s">
        <v>25</v>
      </c>
      <c r="D174" s="45">
        <v>-6.6666666666666666E-2</v>
      </c>
      <c r="E174" s="45">
        <v>-0.5</v>
      </c>
      <c r="F174" s="45">
        <v>0</v>
      </c>
      <c r="G174" s="45">
        <v>-0.4</v>
      </c>
      <c r="H174" s="45">
        <v>0</v>
      </c>
      <c r="I174" s="45">
        <v>-0.33333333333333331</v>
      </c>
      <c r="J174" s="45">
        <v>1</v>
      </c>
      <c r="K174" s="45">
        <v>-1</v>
      </c>
      <c r="L174" s="45">
        <v>-0.4</v>
      </c>
      <c r="M174" s="45"/>
      <c r="N174" s="46" t="s">
        <v>1</v>
      </c>
      <c r="O174" s="135" t="s">
        <v>7</v>
      </c>
    </row>
    <row r="175" spans="1:15" x14ac:dyDescent="0.35">
      <c r="A175" s="174"/>
      <c r="B175" s="170"/>
      <c r="C175" s="45" t="s">
        <v>26</v>
      </c>
      <c r="D175" s="45">
        <v>-0.25</v>
      </c>
      <c r="E175" s="45">
        <v>0</v>
      </c>
      <c r="F175" s="45">
        <v>-1</v>
      </c>
      <c r="G175" s="45">
        <v>-1</v>
      </c>
      <c r="H175" s="45">
        <v>0</v>
      </c>
      <c r="I175" s="45">
        <v>0</v>
      </c>
      <c r="J175" s="45">
        <v>0</v>
      </c>
      <c r="K175" s="45">
        <v>0</v>
      </c>
      <c r="L175" s="45">
        <v>2</v>
      </c>
      <c r="M175" s="45"/>
      <c r="N175" s="46" t="s">
        <v>1</v>
      </c>
      <c r="O175" s="135" t="s">
        <v>7</v>
      </c>
    </row>
    <row r="176" spans="1:15" x14ac:dyDescent="0.35">
      <c r="A176" s="174"/>
      <c r="B176" s="170"/>
      <c r="C176" s="45" t="s">
        <v>27</v>
      </c>
      <c r="D176" s="45">
        <v>0.16666666666666666</v>
      </c>
      <c r="E176" s="45">
        <v>1</v>
      </c>
      <c r="F176" s="45">
        <v>-1</v>
      </c>
      <c r="G176" s="45">
        <v>0</v>
      </c>
      <c r="H176" s="45">
        <v>0</v>
      </c>
      <c r="I176" s="45">
        <v>0</v>
      </c>
      <c r="J176" s="45">
        <v>0</v>
      </c>
      <c r="K176" s="45">
        <v>0</v>
      </c>
      <c r="L176" s="45">
        <v>0</v>
      </c>
      <c r="M176" s="45"/>
      <c r="N176" s="46" t="s">
        <v>1</v>
      </c>
      <c r="O176" s="135" t="s">
        <v>7</v>
      </c>
    </row>
    <row r="177" spans="1:15" ht="15" thickBot="1" x14ac:dyDescent="0.4">
      <c r="A177" s="174"/>
      <c r="B177" s="60"/>
      <c r="C177" s="58" t="s">
        <v>63</v>
      </c>
      <c r="D177" s="58">
        <f>AVERAGE(D171:D176)</f>
        <v>-0.16299702407297342</v>
      </c>
      <c r="E177" s="58">
        <f t="shared" ref="E177" si="67">AVERAGE(E171:E176)</f>
        <v>8.3333333333333329E-2</v>
      </c>
      <c r="F177" s="58">
        <f t="shared" ref="F177" si="68">AVERAGE(F171:F176)</f>
        <v>4.7777777777777777</v>
      </c>
      <c r="G177" s="58">
        <f t="shared" ref="G177" si="69">AVERAGE(G171:G176)</f>
        <v>-0.65</v>
      </c>
      <c r="H177" s="58">
        <f t="shared" ref="H177" si="70">AVERAGE(H171:H176)</f>
        <v>-0.16666666666666666</v>
      </c>
      <c r="I177" s="58">
        <f t="shared" ref="I177" si="71">AVERAGE(I171:I176)</f>
        <v>0.89444444444444449</v>
      </c>
      <c r="J177" s="58">
        <f t="shared" ref="J177" si="72">AVERAGE(J171:J176)</f>
        <v>0.16666666666666666</v>
      </c>
      <c r="K177" s="58">
        <f t="shared" ref="K177" si="73">AVERAGE(K171:K176)</f>
        <v>0.33333333333333331</v>
      </c>
      <c r="L177" s="58">
        <f t="shared" ref="L177" si="74">AVERAGE(L171:L176)</f>
        <v>0.86190476190476184</v>
      </c>
      <c r="M177" s="58"/>
      <c r="N177" s="59" t="s">
        <v>35</v>
      </c>
      <c r="O177" s="137" t="s">
        <v>7</v>
      </c>
    </row>
    <row r="178" spans="1:15" x14ac:dyDescent="0.35">
      <c r="A178" s="174"/>
      <c r="B178" s="169" t="s">
        <v>8</v>
      </c>
      <c r="C178" s="45" t="s">
        <v>28</v>
      </c>
      <c r="D178" s="45">
        <v>0.16729323308270677</v>
      </c>
      <c r="E178" s="45">
        <v>-0.13008130081300814</v>
      </c>
      <c r="F178" s="45">
        <v>0.234375</v>
      </c>
      <c r="G178" s="45">
        <v>0.2</v>
      </c>
      <c r="H178" s="45">
        <v>1.4576271186440677</v>
      </c>
      <c r="I178" s="45">
        <v>0.30645161290322581</v>
      </c>
      <c r="J178" s="45">
        <v>0.23529411764705882</v>
      </c>
      <c r="K178" s="45">
        <v>-3.8461538461538464E-2</v>
      </c>
      <c r="L178" s="45">
        <v>0.23076923076923078</v>
      </c>
      <c r="M178" s="45"/>
      <c r="N178" s="46" t="s">
        <v>1</v>
      </c>
      <c r="O178" s="135" t="s">
        <v>8</v>
      </c>
    </row>
    <row r="179" spans="1:15" x14ac:dyDescent="0.35">
      <c r="A179" s="174"/>
      <c r="B179" s="170"/>
      <c r="C179" s="45" t="s">
        <v>29</v>
      </c>
      <c r="D179" s="45">
        <v>2.4752475247524754E-2</v>
      </c>
      <c r="E179" s="45">
        <v>1.5</v>
      </c>
      <c r="F179" s="45">
        <v>-0.34375</v>
      </c>
      <c r="G179" s="45">
        <v>0.56521739130434778</v>
      </c>
      <c r="H179" s="45">
        <v>0.47368421052631576</v>
      </c>
      <c r="I179" s="45">
        <v>-3.8461538461538464E-2</v>
      </c>
      <c r="J179" s="45">
        <v>0.5</v>
      </c>
      <c r="K179" s="45">
        <v>0.14285714285714285</v>
      </c>
      <c r="L179" s="45">
        <v>-0.2</v>
      </c>
      <c r="M179" s="45"/>
      <c r="N179" s="46" t="s">
        <v>1</v>
      </c>
      <c r="O179" s="135" t="s">
        <v>8</v>
      </c>
    </row>
    <row r="180" spans="1:15" x14ac:dyDescent="0.35">
      <c r="A180" s="174"/>
      <c r="B180" s="170"/>
      <c r="C180" s="45" t="s">
        <v>30</v>
      </c>
      <c r="D180" s="45">
        <v>-0.5641025641025641</v>
      </c>
      <c r="E180" s="45">
        <v>0.53846153846153844</v>
      </c>
      <c r="F180" s="45">
        <v>1.6428571428571428</v>
      </c>
      <c r="G180" s="45">
        <v>1.5714285714285714</v>
      </c>
      <c r="H180" s="45">
        <v>-0.5</v>
      </c>
      <c r="I180" s="45">
        <v>1.5</v>
      </c>
      <c r="J180" s="45">
        <v>3</v>
      </c>
      <c r="K180" s="45">
        <v>-0.84536082474226804</v>
      </c>
      <c r="L180" s="45">
        <v>1</v>
      </c>
      <c r="M180" s="45"/>
      <c r="N180" s="46" t="s">
        <v>1</v>
      </c>
      <c r="O180" s="135" t="s">
        <v>8</v>
      </c>
    </row>
    <row r="181" spans="1:15" x14ac:dyDescent="0.35">
      <c r="A181" s="174"/>
      <c r="B181" s="170"/>
      <c r="C181" s="45" t="s">
        <v>31</v>
      </c>
      <c r="D181" s="45">
        <v>-0.24489795918367346</v>
      </c>
      <c r="E181" s="45">
        <v>-0.8</v>
      </c>
      <c r="F181" s="45">
        <v>-1</v>
      </c>
      <c r="G181" s="45">
        <v>-1</v>
      </c>
      <c r="H181" s="45">
        <v>-1</v>
      </c>
      <c r="I181" s="45">
        <v>1</v>
      </c>
      <c r="J181" s="45">
        <v>0</v>
      </c>
      <c r="K181" s="45">
        <v>1</v>
      </c>
      <c r="L181" s="45">
        <v>2.5</v>
      </c>
      <c r="M181" s="45"/>
      <c r="N181" s="46" t="s">
        <v>1</v>
      </c>
      <c r="O181" s="135" t="s">
        <v>8</v>
      </c>
    </row>
    <row r="182" spans="1:15" x14ac:dyDescent="0.35">
      <c r="A182" s="174"/>
      <c r="B182" s="170"/>
      <c r="C182" s="45" t="s">
        <v>32</v>
      </c>
      <c r="D182" s="45">
        <v>-0.21771217712177121</v>
      </c>
      <c r="E182" s="45">
        <v>0.46236559139784944</v>
      </c>
      <c r="F182" s="45">
        <v>1.1976047904191617E-2</v>
      </c>
      <c r="G182" s="45">
        <v>0.23577235772357724</v>
      </c>
      <c r="H182" s="45">
        <v>0.12030075187969924</v>
      </c>
      <c r="I182" s="45">
        <v>0.42372881355932202</v>
      </c>
      <c r="J182" s="45">
        <v>1.0112359550561798</v>
      </c>
      <c r="K182" s="45">
        <v>0.17460317460317459</v>
      </c>
      <c r="L182" s="45">
        <v>0.25925925925925924</v>
      </c>
      <c r="M182" s="45"/>
      <c r="N182" s="46" t="s">
        <v>1</v>
      </c>
      <c r="O182" s="135" t="s">
        <v>8</v>
      </c>
    </row>
    <row r="183" spans="1:15" x14ac:dyDescent="0.35">
      <c r="A183" s="174"/>
      <c r="B183" s="170"/>
      <c r="C183" s="45" t="s">
        <v>33</v>
      </c>
      <c r="D183" s="45">
        <v>-0.53507853403141359</v>
      </c>
      <c r="E183" s="45">
        <v>0.5178571428571429</v>
      </c>
      <c r="F183" s="45">
        <v>0.28440366972477066</v>
      </c>
      <c r="G183" s="45">
        <v>-0.23376623376623376</v>
      </c>
      <c r="H183" s="45">
        <v>3.4444444444444446</v>
      </c>
      <c r="I183" s="45">
        <v>0.23076923076923078</v>
      </c>
      <c r="J183" s="45">
        <v>-2.3255813953488372E-2</v>
      </c>
      <c r="K183" s="45">
        <v>1.1774193548387097</v>
      </c>
      <c r="L183" s="45">
        <v>-0.69902912621359226</v>
      </c>
      <c r="M183" s="45"/>
      <c r="N183" s="46" t="s">
        <v>1</v>
      </c>
      <c r="O183" s="135" t="s">
        <v>8</v>
      </c>
    </row>
    <row r="184" spans="1:15" x14ac:dyDescent="0.35">
      <c r="A184" s="174"/>
      <c r="B184" s="170"/>
      <c r="C184" s="45" t="s">
        <v>34</v>
      </c>
      <c r="D184" s="45">
        <v>-0.28627450980392155</v>
      </c>
      <c r="E184" s="45">
        <v>-0.1111111111111111</v>
      </c>
      <c r="F184" s="45">
        <v>-0.81118881118881114</v>
      </c>
      <c r="G184" s="45">
        <v>1.25</v>
      </c>
      <c r="H184" s="45">
        <v>0.625</v>
      </c>
      <c r="I184" s="45">
        <v>-4.1666666666666664E-2</v>
      </c>
      <c r="J184" s="45">
        <v>2.1818181818181817</v>
      </c>
      <c r="K184" s="45">
        <v>-0.63265306122448983</v>
      </c>
      <c r="L184" s="45">
        <v>-0.69047619047619047</v>
      </c>
      <c r="M184" s="45"/>
      <c r="N184" s="46" t="s">
        <v>1</v>
      </c>
      <c r="O184" s="135" t="s">
        <v>8</v>
      </c>
    </row>
    <row r="185" spans="1:15" ht="15" thickBot="1" x14ac:dyDescent="0.4">
      <c r="A185" s="57"/>
      <c r="B185" s="6"/>
      <c r="C185" s="58" t="s">
        <v>63</v>
      </c>
      <c r="D185" s="58">
        <f>AVERAGE(D178:D184)</f>
        <v>-0.23657429084473033</v>
      </c>
      <c r="E185" s="58">
        <f t="shared" ref="E185" si="75">AVERAGE(E178:E184)</f>
        <v>0.28249883725605879</v>
      </c>
      <c r="F185" s="58">
        <f t="shared" ref="F185" si="76">AVERAGE(F178:F184)</f>
        <v>2.6675784710419792E-3</v>
      </c>
      <c r="G185" s="58">
        <f t="shared" ref="G185" si="77">AVERAGE(G178:G184)</f>
        <v>0.3698074409557518</v>
      </c>
      <c r="H185" s="58">
        <f t="shared" ref="H185" si="78">AVERAGE(H178:H184)</f>
        <v>0.66015093221350385</v>
      </c>
      <c r="I185" s="58">
        <f t="shared" ref="I185" si="79">AVERAGE(I178:I184)</f>
        <v>0.4829744931576534</v>
      </c>
      <c r="J185" s="58">
        <f t="shared" ref="J185" si="80">AVERAGE(J178:J184)</f>
        <v>0.98644177722399029</v>
      </c>
      <c r="K185" s="58">
        <f t="shared" ref="K185" si="81">AVERAGE(K178:K184)</f>
        <v>0.13977203541010441</v>
      </c>
      <c r="L185" s="58">
        <f t="shared" ref="L185" si="82">AVERAGE(L178:L184)</f>
        <v>0.34293188190552953</v>
      </c>
      <c r="M185" s="10"/>
      <c r="N185" s="11" t="s">
        <v>6</v>
      </c>
      <c r="O185" s="130" t="s">
        <v>8</v>
      </c>
    </row>
    <row r="186" spans="1:15" x14ac:dyDescent="0.35">
      <c r="A186" s="166"/>
      <c r="B186" s="167"/>
      <c r="C186" s="39"/>
      <c r="D186" s="39"/>
      <c r="E186" s="39"/>
      <c r="F186" s="39"/>
      <c r="G186" s="39"/>
      <c r="H186" s="39"/>
      <c r="I186" s="39"/>
      <c r="J186" s="39"/>
      <c r="K186" s="39"/>
      <c r="L186" s="39"/>
      <c r="M186" s="39"/>
      <c r="N186" s="40"/>
      <c r="O186" s="136"/>
    </row>
    <row r="187" spans="1:15" x14ac:dyDescent="0.35">
      <c r="A187" s="166"/>
      <c r="B187" s="168"/>
      <c r="C187" s="39"/>
      <c r="D187" s="39"/>
      <c r="E187" s="39"/>
      <c r="F187" s="39"/>
      <c r="G187" s="39"/>
      <c r="H187" s="39"/>
      <c r="I187" s="39"/>
      <c r="J187" s="39"/>
      <c r="K187" s="39"/>
      <c r="L187" s="39"/>
      <c r="M187" s="39"/>
      <c r="N187" s="40"/>
      <c r="O187" s="136"/>
    </row>
    <row r="188" spans="1:15" x14ac:dyDescent="0.35">
      <c r="A188" s="166"/>
      <c r="B188" s="168"/>
      <c r="C188" s="39"/>
      <c r="D188" s="39"/>
      <c r="E188" s="39"/>
      <c r="F188" s="39"/>
      <c r="G188" s="39"/>
      <c r="H188" s="39"/>
      <c r="I188" s="39"/>
      <c r="J188" s="39"/>
      <c r="K188" s="39"/>
      <c r="L188" s="39"/>
      <c r="M188" s="39"/>
      <c r="N188" s="40"/>
      <c r="O188" s="136"/>
    </row>
    <row r="189" spans="1:15" x14ac:dyDescent="0.35">
      <c r="A189" s="166"/>
      <c r="B189" s="168"/>
      <c r="C189" s="39"/>
      <c r="D189" s="39"/>
      <c r="E189" s="39"/>
      <c r="F189" s="39"/>
      <c r="G189" s="39"/>
      <c r="H189" s="39"/>
      <c r="I189" s="39"/>
      <c r="J189" s="39"/>
      <c r="K189" s="39"/>
      <c r="L189" s="39"/>
      <c r="M189" s="39"/>
      <c r="N189" s="40"/>
      <c r="O189" s="136"/>
    </row>
    <row r="190" spans="1:15" x14ac:dyDescent="0.35">
      <c r="A190" s="166"/>
      <c r="B190" s="168"/>
      <c r="C190" s="39"/>
      <c r="D190" s="39"/>
      <c r="E190" s="39"/>
      <c r="F190" s="39"/>
      <c r="G190" s="39"/>
      <c r="H190" s="39"/>
      <c r="I190" s="39"/>
      <c r="J190" s="39"/>
      <c r="K190" s="39"/>
      <c r="L190" s="39"/>
      <c r="M190" s="39"/>
      <c r="N190" s="40"/>
      <c r="O190" s="136"/>
    </row>
    <row r="191" spans="1:15" ht="15" thickBot="1" x14ac:dyDescent="0.4">
      <c r="A191" s="166"/>
      <c r="B191" s="168"/>
      <c r="C191" s="39"/>
      <c r="D191" s="39"/>
      <c r="E191" s="39"/>
      <c r="F191" s="39"/>
      <c r="G191" s="39"/>
      <c r="H191" s="39"/>
      <c r="I191" s="39"/>
      <c r="J191" s="39"/>
      <c r="K191" s="39"/>
      <c r="L191" s="39"/>
      <c r="M191" s="39"/>
      <c r="N191" s="40"/>
      <c r="O191" s="136"/>
    </row>
    <row r="192" spans="1:15" x14ac:dyDescent="0.35">
      <c r="A192" s="166"/>
      <c r="B192" s="167"/>
      <c r="C192" s="39"/>
      <c r="D192" s="39"/>
      <c r="E192" s="39"/>
      <c r="F192" s="39"/>
      <c r="G192" s="39"/>
      <c r="H192" s="39"/>
      <c r="I192" s="39"/>
      <c r="J192" s="39"/>
      <c r="K192" s="39"/>
      <c r="L192" s="39"/>
      <c r="M192" s="39"/>
      <c r="N192" s="40"/>
      <c r="O192" s="136"/>
    </row>
    <row r="193" spans="1:15" x14ac:dyDescent="0.35">
      <c r="A193" s="166"/>
      <c r="B193" s="168"/>
      <c r="C193" s="39"/>
      <c r="D193" s="39"/>
      <c r="E193" s="39"/>
      <c r="F193" s="39"/>
      <c r="G193" s="39"/>
      <c r="H193" s="39"/>
      <c r="I193" s="39"/>
      <c r="J193" s="39"/>
      <c r="K193" s="39"/>
      <c r="L193" s="39"/>
      <c r="M193" s="39"/>
      <c r="N193" s="40"/>
      <c r="O193" s="136"/>
    </row>
    <row r="194" spans="1:15" x14ac:dyDescent="0.35">
      <c r="A194" s="166"/>
      <c r="B194" s="168"/>
      <c r="C194" s="39"/>
      <c r="D194" s="39"/>
      <c r="E194" s="39"/>
      <c r="F194" s="39"/>
      <c r="G194" s="39"/>
      <c r="H194" s="39"/>
      <c r="I194" s="39"/>
      <c r="J194" s="39"/>
      <c r="K194" s="39"/>
      <c r="L194" s="39"/>
      <c r="M194" s="39"/>
      <c r="N194" s="40"/>
      <c r="O194" s="136"/>
    </row>
    <row r="195" spans="1:15" x14ac:dyDescent="0.35">
      <c r="A195" s="166"/>
      <c r="B195" s="168"/>
      <c r="C195" s="39"/>
      <c r="D195" s="39"/>
      <c r="E195" s="39"/>
      <c r="F195" s="39"/>
      <c r="G195" s="39"/>
      <c r="H195" s="39"/>
      <c r="I195" s="39"/>
      <c r="J195" s="39"/>
      <c r="K195" s="39"/>
      <c r="L195" s="39"/>
      <c r="M195" s="39"/>
      <c r="N195" s="40"/>
      <c r="O195" s="136"/>
    </row>
    <row r="196" spans="1:15" x14ac:dyDescent="0.35">
      <c r="A196" s="166"/>
      <c r="B196" s="168"/>
      <c r="C196" s="39"/>
      <c r="D196" s="39"/>
      <c r="E196" s="39"/>
      <c r="F196" s="39"/>
      <c r="G196" s="39"/>
      <c r="H196" s="39"/>
      <c r="I196" s="39"/>
      <c r="J196" s="39"/>
      <c r="K196" s="39"/>
      <c r="L196" s="39"/>
      <c r="M196" s="39"/>
      <c r="N196" s="40"/>
      <c r="O196" s="136"/>
    </row>
    <row r="197" spans="1:15" x14ac:dyDescent="0.35">
      <c r="A197" s="166"/>
      <c r="B197" s="168"/>
      <c r="C197" s="39"/>
      <c r="D197" s="39"/>
      <c r="E197" s="39"/>
      <c r="F197" s="39"/>
      <c r="G197" s="39"/>
      <c r="H197" s="39"/>
      <c r="I197" s="39"/>
      <c r="J197" s="39"/>
      <c r="K197" s="39"/>
      <c r="L197" s="39"/>
      <c r="M197" s="39"/>
      <c r="N197" s="40"/>
      <c r="O197" s="136"/>
    </row>
    <row r="198" spans="1:15" x14ac:dyDescent="0.35">
      <c r="A198" s="166"/>
      <c r="B198" s="168"/>
      <c r="C198" s="39"/>
      <c r="D198" s="39"/>
      <c r="E198" s="39"/>
      <c r="F198" s="39"/>
      <c r="G198" s="39"/>
      <c r="H198" s="39"/>
      <c r="I198" s="39"/>
      <c r="J198" s="39"/>
      <c r="K198" s="39"/>
      <c r="L198" s="39"/>
      <c r="M198" s="39"/>
      <c r="N198" s="40"/>
      <c r="O198" s="136"/>
    </row>
  </sheetData>
  <mergeCells count="42">
    <mergeCell ref="A80:A92"/>
    <mergeCell ref="B80:B85"/>
    <mergeCell ref="B86:B92"/>
    <mergeCell ref="A2:A14"/>
    <mergeCell ref="B2:B7"/>
    <mergeCell ref="B8:B14"/>
    <mergeCell ref="A15:A27"/>
    <mergeCell ref="B15:B20"/>
    <mergeCell ref="B21:B27"/>
    <mergeCell ref="A28:A40"/>
    <mergeCell ref="A41:A53"/>
    <mergeCell ref="B41:B46"/>
    <mergeCell ref="B47:B53"/>
    <mergeCell ref="A54:A66"/>
    <mergeCell ref="B28:B33"/>
    <mergeCell ref="B34:B40"/>
    <mergeCell ref="B54:B59"/>
    <mergeCell ref="B60:B66"/>
    <mergeCell ref="A67:A79"/>
    <mergeCell ref="B67:B72"/>
    <mergeCell ref="B73:B79"/>
    <mergeCell ref="A96:A109"/>
    <mergeCell ref="B96:B101"/>
    <mergeCell ref="B103:B109"/>
    <mergeCell ref="A111:A124"/>
    <mergeCell ref="B111:B116"/>
    <mergeCell ref="B118:B124"/>
    <mergeCell ref="A126:A139"/>
    <mergeCell ref="B126:B131"/>
    <mergeCell ref="B133:B139"/>
    <mergeCell ref="A141:A154"/>
    <mergeCell ref="B141:B146"/>
    <mergeCell ref="B148:B154"/>
    <mergeCell ref="A186:A198"/>
    <mergeCell ref="B186:B191"/>
    <mergeCell ref="B192:B198"/>
    <mergeCell ref="A156:A169"/>
    <mergeCell ref="B156:B161"/>
    <mergeCell ref="B163:B169"/>
    <mergeCell ref="A171:A184"/>
    <mergeCell ref="B171:B176"/>
    <mergeCell ref="B178:B184"/>
  </mergeCells>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A5BF74-9909-4000-A135-FC26501F6F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Raw Data Totals</vt:lpstr>
      <vt:lpstr>Dashboard</vt:lpstr>
      <vt:lpstr>pivot3</vt:lpstr>
      <vt:lpstr>pivot2</vt:lpstr>
      <vt:lpstr>pivot1</vt:lpstr>
      <vt:lpstr>Unpivoted</vt:lpstr>
      <vt:lpstr>Total Data</vt:lpstr>
      <vt:lpstr>Crime Totals Pivot Chart</vt:lpstr>
      <vt:lpstr>Raw Data Rates</vt:lpstr>
      <vt:lpstr>Crime Rates Pivot Chart</vt:lpstr>
      <vt:lpstr>Raw Data Totals With Totals</vt:lpstr>
      <vt:lpstr>Raw Data Rates With Averages</vt:lpstr>
      <vt:lpstr>Pivot Increase</vt:lpstr>
      <vt:lpstr>Raw Data Increase factor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 Bignall</dc:creator>
  <cp:lastModifiedBy>Sam Bignall</cp:lastModifiedBy>
  <dcterms:created xsi:type="dcterms:W3CDTF">2024-05-23T09:52:47Z</dcterms:created>
  <dcterms:modified xsi:type="dcterms:W3CDTF">2024-05-24T03:30:45Z</dcterms:modified>
</cp:coreProperties>
</file>